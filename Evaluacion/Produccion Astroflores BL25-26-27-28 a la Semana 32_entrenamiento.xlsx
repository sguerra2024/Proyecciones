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-15" yWindow="-15" windowWidth="10260" windowHeight="7365"/>
  </bookViews>
  <sheets>
    <sheet name="Hoja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Hoja1!$A$1:$K$9702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266" i="1"/>
  <c r="H9265"/>
  <c r="H9264"/>
  <c r="H9263"/>
  <c r="H9262"/>
  <c r="H9261"/>
  <c r="H9260"/>
  <c r="H9259"/>
  <c r="H9258"/>
  <c r="H9257"/>
  <c r="H9256"/>
  <c r="H9255"/>
  <c r="H9254"/>
  <c r="H9253"/>
  <c r="H9252"/>
  <c r="H9251"/>
  <c r="H9250"/>
  <c r="H9249"/>
  <c r="H9248"/>
  <c r="H9247"/>
  <c r="H9246"/>
  <c r="H9245"/>
  <c r="H9244"/>
  <c r="H9243"/>
  <c r="H9242"/>
  <c r="H9241"/>
  <c r="H9240"/>
  <c r="H9239"/>
  <c r="H9238"/>
  <c r="H9237"/>
  <c r="H9236"/>
  <c r="H9235"/>
  <c r="H9234"/>
  <c r="H9233"/>
  <c r="H9232"/>
  <c r="H9231"/>
  <c r="H9230"/>
  <c r="H9229"/>
  <c r="H9228"/>
  <c r="H9227"/>
  <c r="H9226"/>
  <c r="H9225"/>
  <c r="H9224"/>
  <c r="H9223"/>
  <c r="H9222"/>
  <c r="H9221"/>
  <c r="H9220"/>
  <c r="H9219"/>
  <c r="H9218"/>
  <c r="H9217"/>
  <c r="H9216"/>
  <c r="H9215"/>
  <c r="H9214"/>
  <c r="H9213"/>
  <c r="H9212"/>
  <c r="H9211"/>
  <c r="H9210"/>
  <c r="H9209"/>
  <c r="H9208"/>
  <c r="H9207"/>
  <c r="H9206"/>
  <c r="H9205"/>
  <c r="H9204"/>
  <c r="H9203"/>
  <c r="H9202"/>
  <c r="H9201"/>
  <c r="H9200"/>
  <c r="H9199"/>
  <c r="H9198"/>
  <c r="H9197"/>
  <c r="H9196"/>
  <c r="H9195"/>
  <c r="H9194"/>
  <c r="H9193"/>
  <c r="H9192"/>
  <c r="H9191"/>
  <c r="H9190"/>
  <c r="H9189"/>
  <c r="H9188"/>
  <c r="H9187"/>
  <c r="H9186"/>
  <c r="H9185"/>
  <c r="H9184"/>
  <c r="H9183"/>
  <c r="H9182"/>
  <c r="H9181"/>
  <c r="H9180"/>
  <c r="H9179"/>
  <c r="H9178"/>
  <c r="H9177"/>
  <c r="H9176"/>
  <c r="H9175"/>
  <c r="H9174"/>
  <c r="H9173"/>
  <c r="H9172"/>
  <c r="H9171"/>
  <c r="H9170"/>
  <c r="H9169"/>
  <c r="H9168"/>
  <c r="H9167"/>
  <c r="H9166"/>
  <c r="H9165"/>
  <c r="H9164"/>
  <c r="H9163"/>
  <c r="H9162"/>
  <c r="H9161"/>
  <c r="H9160"/>
  <c r="H9159"/>
  <c r="H9158"/>
  <c r="H9157"/>
  <c r="H9155"/>
  <c r="H9143"/>
  <c r="K9702"/>
  <c r="G9702"/>
  <c r="K9701"/>
  <c r="G9701"/>
  <c r="K9700"/>
  <c r="G9700"/>
  <c r="K9699"/>
  <c r="G9699"/>
  <c r="K9698"/>
  <c r="G9698"/>
  <c r="K9697"/>
  <c r="G9697"/>
  <c r="K9696"/>
  <c r="G9696"/>
  <c r="K9695"/>
  <c r="G9695"/>
  <c r="K9694"/>
  <c r="G9694"/>
  <c r="K9693"/>
  <c r="G9693"/>
  <c r="K9692"/>
  <c r="G9692"/>
  <c r="K9691"/>
  <c r="G9691"/>
  <c r="K9690"/>
  <c r="G9690"/>
  <c r="K9689"/>
  <c r="G9689"/>
  <c r="K9688"/>
  <c r="G9688"/>
  <c r="K9687"/>
  <c r="G9687"/>
  <c r="K9686"/>
  <c r="G9686"/>
  <c r="K9685"/>
  <c r="G9685"/>
  <c r="K9684"/>
  <c r="G9684"/>
  <c r="K9683"/>
  <c r="G9683"/>
  <c r="K9682"/>
  <c r="G9682"/>
  <c r="K9681"/>
  <c r="G9681"/>
  <c r="K9680"/>
  <c r="G9680"/>
  <c r="K9679"/>
  <c r="G9679"/>
  <c r="K9678"/>
  <c r="G9678"/>
  <c r="K9677"/>
  <c r="G9677"/>
  <c r="K9676"/>
  <c r="G9676"/>
  <c r="K9675"/>
  <c r="G9675"/>
  <c r="K9674"/>
  <c r="G9674"/>
  <c r="K9673"/>
  <c r="G9673"/>
  <c r="K9672"/>
  <c r="G9672"/>
  <c r="K9671"/>
  <c r="G9671"/>
  <c r="K9670"/>
  <c r="G9670"/>
  <c r="K9669"/>
  <c r="G9669"/>
  <c r="K9668"/>
  <c r="G9668"/>
  <c r="K9667"/>
  <c r="G9667"/>
  <c r="K9666"/>
  <c r="G9666"/>
  <c r="K9665"/>
  <c r="G9665"/>
  <c r="K9664"/>
  <c r="G9664"/>
  <c r="K9663"/>
  <c r="G9663"/>
  <c r="K9662"/>
  <c r="G9662"/>
  <c r="K9661"/>
  <c r="G9661"/>
  <c r="K9660"/>
  <c r="G9660"/>
  <c r="K9659"/>
  <c r="G9659"/>
  <c r="K9658"/>
  <c r="G9658"/>
  <c r="K9657"/>
  <c r="G9657"/>
  <c r="K9656"/>
  <c r="G9656"/>
  <c r="K9655"/>
  <c r="G9655"/>
  <c r="K9654"/>
  <c r="G9654"/>
  <c r="K9653"/>
  <c r="G9653"/>
  <c r="K9652"/>
  <c r="G9652"/>
  <c r="K9651"/>
  <c r="G9651"/>
  <c r="K9650"/>
  <c r="G9650"/>
  <c r="K9649"/>
  <c r="G9649"/>
  <c r="K9648"/>
  <c r="G9648"/>
  <c r="K9647"/>
  <c r="G9647"/>
  <c r="K9646"/>
  <c r="G9646"/>
  <c r="K9645"/>
  <c r="G9645"/>
  <c r="K9644"/>
  <c r="G9644"/>
  <c r="K9643"/>
  <c r="G9643"/>
  <c r="K9642"/>
  <c r="G9642"/>
  <c r="K9641"/>
  <c r="G9641"/>
  <c r="K9640"/>
  <c r="G9640"/>
  <c r="K9639"/>
  <c r="G9639"/>
  <c r="K9638"/>
  <c r="G9638"/>
  <c r="K9637"/>
  <c r="G9637"/>
  <c r="K9636"/>
  <c r="G9636"/>
  <c r="K9635"/>
  <c r="G9635"/>
  <c r="K9634"/>
  <c r="G9634"/>
  <c r="K9633"/>
  <c r="G9633"/>
  <c r="K9632"/>
  <c r="G9632"/>
  <c r="K9631"/>
  <c r="G9631"/>
  <c r="K9630"/>
  <c r="G9630"/>
  <c r="K9629"/>
  <c r="G9629"/>
  <c r="K9628"/>
  <c r="G9628"/>
  <c r="K9627"/>
  <c r="G9627"/>
  <c r="K9626"/>
  <c r="G9626"/>
  <c r="K9625"/>
  <c r="G9625"/>
  <c r="K9624"/>
  <c r="G9624"/>
  <c r="K9623"/>
  <c r="G9623"/>
  <c r="K9622"/>
  <c r="G9622"/>
  <c r="K9621"/>
  <c r="G9621"/>
  <c r="K9620"/>
  <c r="G9620"/>
  <c r="K9619"/>
  <c r="G9619"/>
  <c r="K9618"/>
  <c r="G9618"/>
  <c r="K9617"/>
  <c r="G9617"/>
  <c r="K9616"/>
  <c r="G9616"/>
  <c r="K9615"/>
  <c r="G9615"/>
  <c r="K9614"/>
  <c r="G9614"/>
  <c r="K9613"/>
  <c r="G9613"/>
  <c r="K9612"/>
  <c r="G9612"/>
  <c r="K9611"/>
  <c r="G9611"/>
  <c r="K9610"/>
  <c r="G9610"/>
  <c r="K9609"/>
  <c r="G9609"/>
  <c r="K9608"/>
  <c r="G9608"/>
  <c r="K9607"/>
  <c r="G9607"/>
  <c r="K9606"/>
  <c r="G9606"/>
  <c r="K9605"/>
  <c r="G9605"/>
  <c r="K9604"/>
  <c r="G9604"/>
  <c r="K9603"/>
  <c r="G9603"/>
  <c r="K9602"/>
  <c r="G9602"/>
  <c r="K9601"/>
  <c r="G9601"/>
  <c r="K9600"/>
  <c r="G9600"/>
  <c r="K9599"/>
  <c r="G9599"/>
  <c r="K9598"/>
  <c r="G9598"/>
  <c r="K9597"/>
  <c r="G9597"/>
  <c r="K9596"/>
  <c r="G9596"/>
  <c r="K9595"/>
  <c r="G9595"/>
  <c r="K9594"/>
  <c r="G9594"/>
  <c r="K9593"/>
  <c r="G9593"/>
  <c r="K9592"/>
  <c r="G9592"/>
  <c r="K9591"/>
  <c r="G9591"/>
  <c r="K9590"/>
  <c r="G9590"/>
  <c r="K9589"/>
  <c r="G9589"/>
  <c r="K9588"/>
  <c r="G9588"/>
  <c r="K9587"/>
  <c r="G9587"/>
  <c r="K9586"/>
  <c r="G9586"/>
  <c r="K9585"/>
  <c r="G9585"/>
  <c r="K9584"/>
  <c r="G9584"/>
  <c r="K9583"/>
  <c r="G9583"/>
  <c r="K9582"/>
  <c r="G9582"/>
  <c r="K9581"/>
  <c r="G9581"/>
  <c r="K9580"/>
  <c r="G9580"/>
  <c r="K9579"/>
  <c r="G9579"/>
  <c r="K9578"/>
  <c r="G9578"/>
  <c r="K9577"/>
  <c r="G9577"/>
  <c r="K9576"/>
  <c r="G9576"/>
  <c r="K9575"/>
  <c r="G9575"/>
  <c r="K9574"/>
  <c r="G9574"/>
  <c r="K9573"/>
  <c r="G9573"/>
  <c r="K9572"/>
  <c r="G9572"/>
  <c r="K9571"/>
  <c r="G9571"/>
  <c r="K9570"/>
  <c r="G9570"/>
  <c r="K9569"/>
  <c r="G9569"/>
  <c r="K9568"/>
  <c r="G9568"/>
  <c r="K9567"/>
  <c r="G9567"/>
  <c r="K9566"/>
  <c r="G9566"/>
  <c r="K9565"/>
  <c r="G9565"/>
  <c r="K9564"/>
  <c r="G9564"/>
  <c r="K9563"/>
  <c r="G9563"/>
  <c r="K9562"/>
  <c r="G9562"/>
  <c r="K9561"/>
  <c r="G9561"/>
  <c r="K9560"/>
  <c r="G9560"/>
  <c r="K9559"/>
  <c r="G9559"/>
  <c r="K9558"/>
  <c r="G9558"/>
  <c r="K9557"/>
  <c r="G9557"/>
  <c r="K9556"/>
  <c r="G9556"/>
  <c r="K9555"/>
  <c r="G9555"/>
  <c r="K9554"/>
  <c r="G9554"/>
  <c r="K9553"/>
  <c r="G9553"/>
  <c r="K9552"/>
  <c r="G9552"/>
  <c r="K9551"/>
  <c r="G9551"/>
  <c r="K9550"/>
  <c r="G9550"/>
  <c r="K9549"/>
  <c r="G9549"/>
  <c r="K9548"/>
  <c r="G9548"/>
  <c r="K9547"/>
  <c r="G9547"/>
  <c r="K9546"/>
  <c r="G9546"/>
  <c r="K9545"/>
  <c r="G9545"/>
  <c r="K9544"/>
  <c r="G9544"/>
  <c r="K9543"/>
  <c r="G9543"/>
  <c r="K9542"/>
  <c r="G9542"/>
  <c r="K9541"/>
  <c r="G9541"/>
  <c r="K9540"/>
  <c r="G9540"/>
  <c r="K9539"/>
  <c r="G9539"/>
  <c r="K9538"/>
  <c r="G9538"/>
  <c r="K9537"/>
  <c r="G9537"/>
  <c r="K9536"/>
  <c r="G9536"/>
  <c r="K9535"/>
  <c r="G9535"/>
  <c r="K9534"/>
  <c r="G9534"/>
  <c r="K9533"/>
  <c r="G9533"/>
  <c r="K9532"/>
  <c r="G9532"/>
  <c r="K9531"/>
  <c r="G9531"/>
  <c r="K9530"/>
  <c r="G9530"/>
  <c r="K9529"/>
  <c r="G9529"/>
  <c r="K9528"/>
  <c r="G9528"/>
  <c r="K9527"/>
  <c r="G9527"/>
  <c r="K9526"/>
  <c r="G9526"/>
  <c r="K9525"/>
  <c r="G9525"/>
  <c r="K9524"/>
  <c r="G9524"/>
  <c r="K9523"/>
  <c r="G9523"/>
  <c r="K9522"/>
  <c r="G9522"/>
  <c r="K9521"/>
  <c r="G9521"/>
  <c r="K9520"/>
  <c r="G9520"/>
  <c r="K9519"/>
  <c r="G9519"/>
  <c r="K9518"/>
  <c r="G9518"/>
  <c r="K9517"/>
  <c r="G9517"/>
  <c r="K9516"/>
  <c r="G9516"/>
  <c r="K9515"/>
  <c r="G9515"/>
  <c r="K9514"/>
  <c r="G9514"/>
  <c r="K9513"/>
  <c r="G9513"/>
  <c r="K9512"/>
  <c r="G9512"/>
  <c r="K9511"/>
  <c r="G9511"/>
  <c r="K9510"/>
  <c r="G9510"/>
  <c r="K9509"/>
  <c r="G9509"/>
  <c r="K9508"/>
  <c r="G9508"/>
  <c r="K9507"/>
  <c r="G9507"/>
  <c r="K9506"/>
  <c r="G9506"/>
  <c r="K9505"/>
  <c r="G9505"/>
  <c r="K9504"/>
  <c r="G9504"/>
  <c r="K9503"/>
  <c r="G9503"/>
  <c r="K9502"/>
  <c r="G9502"/>
  <c r="K9501"/>
  <c r="G9501"/>
  <c r="K9500"/>
  <c r="G9500"/>
  <c r="K9499"/>
  <c r="G9499"/>
  <c r="K9498"/>
  <c r="G9498"/>
  <c r="K9497"/>
  <c r="G9497"/>
  <c r="K9496"/>
  <c r="G9496"/>
  <c r="K9495"/>
  <c r="G9495"/>
  <c r="K9494"/>
  <c r="G9494"/>
  <c r="K9493"/>
  <c r="G9493"/>
  <c r="K9492"/>
  <c r="G9492"/>
  <c r="K9491"/>
  <c r="G9491"/>
  <c r="K9490"/>
  <c r="G9490"/>
  <c r="K9489"/>
  <c r="G9489"/>
  <c r="K9488"/>
  <c r="G9488"/>
  <c r="K9487"/>
  <c r="G9487"/>
  <c r="K9486"/>
  <c r="G9486"/>
  <c r="K9485"/>
  <c r="G9485"/>
  <c r="G9153"/>
  <c r="H9153" s="1"/>
  <c r="G9141"/>
  <c r="H9141" s="1"/>
  <c r="G9023"/>
  <c r="H9023" s="1"/>
  <c r="G9022"/>
  <c r="H9022" s="1"/>
  <c r="G9021"/>
  <c r="H9021" s="1"/>
  <c r="G9020"/>
  <c r="H9020" s="1"/>
  <c r="G9019"/>
  <c r="H9019" s="1"/>
  <c r="G9018"/>
  <c r="H9018" s="1"/>
  <c r="G9017"/>
  <c r="H9017" s="1"/>
  <c r="G9016"/>
  <c r="H9016" s="1"/>
  <c r="G9015"/>
  <c r="H9015" s="1"/>
  <c r="G9014"/>
  <c r="H9014" s="1"/>
  <c r="G9013"/>
  <c r="H9013" s="1"/>
  <c r="G9012"/>
  <c r="H9012" s="1"/>
  <c r="G9011"/>
  <c r="H9011" s="1"/>
  <c r="G9010"/>
  <c r="H9010" s="1"/>
  <c r="G9009"/>
  <c r="H9009" s="1"/>
  <c r="G9008"/>
  <c r="H9008" s="1"/>
  <c r="G9007"/>
  <c r="H9007" s="1"/>
  <c r="G9006"/>
  <c r="H9006" s="1"/>
  <c r="G9005"/>
  <c r="H9005" s="1"/>
  <c r="G9004"/>
  <c r="H9004" s="1"/>
  <c r="G9003"/>
  <c r="H9003" s="1"/>
  <c r="G9002"/>
  <c r="H9002" s="1"/>
  <c r="G9001"/>
  <c r="H9001" s="1"/>
  <c r="G9000"/>
  <c r="H9000" s="1"/>
  <c r="G8999"/>
  <c r="H8999" s="1"/>
  <c r="G8998"/>
  <c r="H8998" s="1"/>
  <c r="G8997"/>
  <c r="H8997" s="1"/>
  <c r="G8996"/>
  <c r="H8996" s="1"/>
  <c r="G8995"/>
  <c r="H8995" s="1"/>
  <c r="G8994"/>
  <c r="H8994" s="1"/>
  <c r="G8993"/>
  <c r="H8993" s="1"/>
  <c r="G8992"/>
  <c r="H8992" s="1"/>
  <c r="G8991"/>
  <c r="H8991" s="1"/>
  <c r="G8990"/>
  <c r="H8990" s="1"/>
  <c r="G8989"/>
  <c r="H8989" s="1"/>
  <c r="G8988"/>
  <c r="H8988" s="1"/>
  <c r="G8987"/>
  <c r="H8987" s="1"/>
  <c r="G8986"/>
  <c r="H8986" s="1"/>
  <c r="G8985"/>
  <c r="H8985" s="1"/>
  <c r="G8984"/>
  <c r="H8984" s="1"/>
  <c r="G8983"/>
  <c r="H8983" s="1"/>
  <c r="G8982"/>
  <c r="H8982" s="1"/>
  <c r="G8981"/>
  <c r="H8981" s="1"/>
  <c r="G8980"/>
  <c r="H8980" s="1"/>
  <c r="G8979"/>
  <c r="H8979" s="1"/>
  <c r="G8978"/>
  <c r="H8978" s="1"/>
  <c r="G8977"/>
  <c r="H8977" s="1"/>
  <c r="G8976"/>
  <c r="H8976" s="1"/>
  <c r="G8975"/>
  <c r="H8975" s="1"/>
  <c r="G8974"/>
  <c r="H8974" s="1"/>
  <c r="G8973"/>
  <c r="H8973" s="1"/>
  <c r="G8972"/>
  <c r="H8972" s="1"/>
  <c r="G8971"/>
  <c r="H8971" s="1"/>
  <c r="G8970"/>
  <c r="H8970" s="1"/>
  <c r="G8969"/>
  <c r="H8969" s="1"/>
  <c r="G8968"/>
  <c r="H8968" s="1"/>
  <c r="G8967"/>
  <c r="H8967" s="1"/>
  <c r="G8966"/>
  <c r="H8966" s="1"/>
  <c r="G8965"/>
  <c r="H8965" s="1"/>
  <c r="G8964"/>
  <c r="H8964" s="1"/>
  <c r="G8963"/>
  <c r="H8963" s="1"/>
  <c r="G8962"/>
  <c r="H8962" s="1"/>
  <c r="G8961"/>
  <c r="H8961" s="1"/>
  <c r="G8960"/>
  <c r="H8960" s="1"/>
  <c r="G8959"/>
  <c r="H8959" s="1"/>
  <c r="G8958"/>
  <c r="H8958" s="1"/>
  <c r="G8957"/>
  <c r="H8957" s="1"/>
  <c r="G8956"/>
  <c r="H8956" s="1"/>
  <c r="G8955"/>
  <c r="H8955" s="1"/>
  <c r="G8954"/>
  <c r="H8954" s="1"/>
  <c r="G8953"/>
  <c r="H8953" s="1"/>
  <c r="G8952"/>
  <c r="H8952" s="1"/>
  <c r="G8951"/>
  <c r="H8951" s="1"/>
  <c r="G8950"/>
  <c r="H8950" s="1"/>
  <c r="G8949"/>
  <c r="H8949" s="1"/>
  <c r="G8948"/>
  <c r="H8948" s="1"/>
  <c r="G8947"/>
  <c r="H8947" s="1"/>
  <c r="G8946"/>
  <c r="H8946" s="1"/>
  <c r="G8945"/>
  <c r="H8945" s="1"/>
  <c r="G8944"/>
  <c r="H8944" s="1"/>
  <c r="G8943"/>
  <c r="H8943" s="1"/>
  <c r="G8942"/>
  <c r="H8942" s="1"/>
  <c r="G8941"/>
  <c r="H8941" s="1"/>
  <c r="G8940"/>
  <c r="H8940" s="1"/>
  <c r="G8939"/>
  <c r="H8939" s="1"/>
  <c r="G8938"/>
  <c r="H8938" s="1"/>
  <c r="G8937"/>
  <c r="H8937" s="1"/>
  <c r="G8936"/>
  <c r="H8936" s="1"/>
  <c r="G8935"/>
  <c r="H8935" s="1"/>
  <c r="G8934"/>
  <c r="H8934" s="1"/>
  <c r="G8933"/>
  <c r="H8933" s="1"/>
  <c r="G8932"/>
  <c r="H8932" s="1"/>
  <c r="G8931"/>
  <c r="H8931" s="1"/>
  <c r="G8930"/>
  <c r="H8930" s="1"/>
  <c r="G8929"/>
  <c r="H8929" s="1"/>
  <c r="G8928"/>
  <c r="H8928" s="1"/>
  <c r="G8927"/>
  <c r="H8927" s="1"/>
  <c r="G8926"/>
  <c r="H8926" s="1"/>
  <c r="G8925"/>
  <c r="H8925" s="1"/>
  <c r="G8924"/>
  <c r="H8924" s="1"/>
  <c r="G8923"/>
  <c r="H8923" s="1"/>
  <c r="G8922"/>
  <c r="H8922" s="1"/>
  <c r="G8921"/>
  <c r="H8921" s="1"/>
  <c r="G8920"/>
  <c r="H8920" s="1"/>
  <c r="G8919"/>
  <c r="H8919" s="1"/>
  <c r="G8918"/>
  <c r="H8918" s="1"/>
  <c r="K9156" l="1"/>
  <c r="G9156"/>
  <c r="K9155"/>
  <c r="G9155"/>
  <c r="K9375"/>
  <c r="G9375"/>
  <c r="K9374"/>
  <c r="G9374"/>
  <c r="K9373"/>
  <c r="G9373"/>
  <c r="K9144"/>
  <c r="G9144"/>
  <c r="K9143"/>
  <c r="G9143"/>
  <c r="K9372"/>
  <c r="G9372"/>
  <c r="K9371"/>
  <c r="G9371"/>
  <c r="K9370"/>
  <c r="G9370"/>
  <c r="K9369"/>
  <c r="G9369"/>
  <c r="K9368"/>
  <c r="G9368"/>
  <c r="K9367"/>
  <c r="G9367"/>
  <c r="K9366"/>
  <c r="G9366"/>
  <c r="K9365"/>
  <c r="G9365"/>
  <c r="K9364"/>
  <c r="G9364"/>
  <c r="K9363"/>
  <c r="G9363"/>
  <c r="K9362"/>
  <c r="G9362"/>
  <c r="K9361"/>
  <c r="G9361"/>
  <c r="K9360"/>
  <c r="G9360"/>
  <c r="K9359"/>
  <c r="G9359"/>
  <c r="K9358"/>
  <c r="G9358"/>
  <c r="K9357"/>
  <c r="G9357"/>
  <c r="K9356"/>
  <c r="G9356"/>
  <c r="K9355"/>
  <c r="G9355"/>
  <c r="K9354"/>
  <c r="G9354"/>
  <c r="K9353"/>
  <c r="G9353"/>
  <c r="K9352"/>
  <c r="G9352"/>
  <c r="K9351"/>
  <c r="G9351"/>
  <c r="K9350"/>
  <c r="G9350"/>
  <c r="K9349"/>
  <c r="G9349"/>
  <c r="K9348"/>
  <c r="G9348"/>
  <c r="K9347"/>
  <c r="G9347"/>
  <c r="K9346"/>
  <c r="G9346"/>
  <c r="K9345"/>
  <c r="G9345"/>
  <c r="K9344"/>
  <c r="G9344"/>
  <c r="K9343"/>
  <c r="G9343"/>
  <c r="K9342"/>
  <c r="G9342"/>
  <c r="K9341"/>
  <c r="G9341"/>
  <c r="K9340"/>
  <c r="G9340"/>
  <c r="K9339"/>
  <c r="G9339"/>
  <c r="K9338"/>
  <c r="G9338"/>
  <c r="K9337"/>
  <c r="G9337"/>
  <c r="K9336"/>
  <c r="G9336"/>
  <c r="K9335"/>
  <c r="G9335"/>
  <c r="K9334"/>
  <c r="G9334"/>
  <c r="K9333"/>
  <c r="G9333"/>
  <c r="K9332"/>
  <c r="G9332"/>
  <c r="K9331"/>
  <c r="G9331"/>
  <c r="K9330"/>
  <c r="G9330"/>
  <c r="K9329"/>
  <c r="G9329"/>
  <c r="K9328"/>
  <c r="G9328"/>
  <c r="K9327"/>
  <c r="G9327"/>
  <c r="K9326"/>
  <c r="G9326"/>
  <c r="K9325"/>
  <c r="G9325"/>
  <c r="K9324"/>
  <c r="G9324"/>
  <c r="K9323"/>
  <c r="G9323"/>
  <c r="K9322"/>
  <c r="G9322"/>
  <c r="K9321"/>
  <c r="G9321"/>
  <c r="K9320"/>
  <c r="G9320"/>
  <c r="K9319"/>
  <c r="G9319"/>
  <c r="K9318"/>
  <c r="G9318"/>
  <c r="K9317"/>
  <c r="G9317"/>
  <c r="K9316"/>
  <c r="G9316"/>
  <c r="K9315"/>
  <c r="G9315"/>
  <c r="K9314"/>
  <c r="G9314"/>
  <c r="K9313"/>
  <c r="G9313"/>
  <c r="K9312"/>
  <c r="G9312"/>
  <c r="K9311"/>
  <c r="G9311"/>
  <c r="K9310"/>
  <c r="G9310"/>
  <c r="K9309"/>
  <c r="G9309"/>
  <c r="K9308"/>
  <c r="G9308"/>
  <c r="K9307"/>
  <c r="G9307"/>
  <c r="K9306"/>
  <c r="G9306"/>
  <c r="K9305"/>
  <c r="G9305"/>
  <c r="K9304"/>
  <c r="G9304"/>
  <c r="K9303"/>
  <c r="G9303"/>
  <c r="K9302"/>
  <c r="G9302"/>
  <c r="K9301"/>
  <c r="G9301"/>
  <c r="K9300"/>
  <c r="G9300"/>
  <c r="K9299"/>
  <c r="G9299"/>
  <c r="K9298"/>
  <c r="G9298"/>
  <c r="K9297"/>
  <c r="G9297"/>
  <c r="K9296"/>
  <c r="G9296"/>
  <c r="K9295"/>
  <c r="G9295"/>
  <c r="K9294"/>
  <c r="G9294"/>
  <c r="K9293"/>
  <c r="G9293"/>
  <c r="K9292"/>
  <c r="G9292"/>
  <c r="K9291"/>
  <c r="G9291"/>
  <c r="K9290"/>
  <c r="G9290"/>
  <c r="K9289"/>
  <c r="G9289"/>
  <c r="K9288"/>
  <c r="G9288"/>
  <c r="K9287"/>
  <c r="G9287"/>
  <c r="K9286"/>
  <c r="G9286"/>
  <c r="K9285"/>
  <c r="G9285"/>
  <c r="K9284"/>
  <c r="G9284"/>
  <c r="K9283"/>
  <c r="G9283"/>
  <c r="K9282"/>
  <c r="G9282"/>
  <c r="K9281"/>
  <c r="G9281"/>
  <c r="K9280"/>
  <c r="G9280"/>
  <c r="K9279"/>
  <c r="G9279"/>
  <c r="K9278"/>
  <c r="G9278"/>
  <c r="K9277"/>
  <c r="G9277"/>
  <c r="K9276"/>
  <c r="G9276"/>
  <c r="K9275"/>
  <c r="G9275"/>
  <c r="K9274"/>
  <c r="G9274"/>
  <c r="K9273"/>
  <c r="G9273"/>
  <c r="K9272"/>
  <c r="G9272"/>
  <c r="K9271"/>
  <c r="G9271"/>
  <c r="K9270"/>
  <c r="G9270"/>
  <c r="K9269"/>
  <c r="G9269"/>
  <c r="K9268"/>
  <c r="G9268"/>
  <c r="K9267"/>
  <c r="G9267"/>
  <c r="K9265" l="1"/>
  <c r="G9265"/>
  <c r="K9264"/>
  <c r="G9264"/>
  <c r="K9263"/>
  <c r="G9263"/>
  <c r="K9262"/>
  <c r="G9262"/>
  <c r="K9261"/>
  <c r="G9261"/>
  <c r="K9260"/>
  <c r="G9260"/>
  <c r="K9259"/>
  <c r="G9259"/>
  <c r="K9258"/>
  <c r="G9258"/>
  <c r="K9257"/>
  <c r="G9257"/>
  <c r="K9256"/>
  <c r="G9256"/>
  <c r="K9255"/>
  <c r="G9255"/>
  <c r="K9254"/>
  <c r="G9254"/>
  <c r="K9253"/>
  <c r="G9253"/>
  <c r="K9252"/>
  <c r="G9252"/>
  <c r="K9251"/>
  <c r="G9251"/>
  <c r="K9250"/>
  <c r="G9250"/>
  <c r="K9249"/>
  <c r="G9249"/>
  <c r="K9248"/>
  <c r="G9248"/>
  <c r="K9247"/>
  <c r="G9247"/>
  <c r="K9246"/>
  <c r="G9246"/>
  <c r="K9245"/>
  <c r="G9245"/>
  <c r="K9244"/>
  <c r="G9244"/>
  <c r="K9243"/>
  <c r="G9243"/>
  <c r="K9242"/>
  <c r="G9242"/>
  <c r="K9241"/>
  <c r="G9241"/>
  <c r="K9240"/>
  <c r="G9240"/>
  <c r="K9239"/>
  <c r="G9239"/>
  <c r="K9238"/>
  <c r="G9238"/>
  <c r="K9237"/>
  <c r="G9237"/>
  <c r="K9236"/>
  <c r="G9236"/>
  <c r="K9235"/>
  <c r="G9235"/>
  <c r="K9234"/>
  <c r="G9234"/>
  <c r="K9233"/>
  <c r="G9233"/>
  <c r="K9232"/>
  <c r="G9232"/>
  <c r="K9231"/>
  <c r="G9231"/>
  <c r="K9230"/>
  <c r="G9230"/>
  <c r="K9229"/>
  <c r="G9229"/>
  <c r="K9228"/>
  <c r="G9228"/>
  <c r="K9227"/>
  <c r="G9227"/>
  <c r="K9226"/>
  <c r="G9226"/>
  <c r="K9225"/>
  <c r="G9225"/>
  <c r="K9224"/>
  <c r="G9224"/>
  <c r="K9223"/>
  <c r="G9223"/>
  <c r="K9222"/>
  <c r="G9222"/>
  <c r="K9221"/>
  <c r="G9221"/>
  <c r="K9220"/>
  <c r="G9220"/>
  <c r="K9219"/>
  <c r="G9219"/>
  <c r="K9218"/>
  <c r="G9218"/>
  <c r="K9217"/>
  <c r="G9217"/>
  <c r="K9216"/>
  <c r="G9216"/>
  <c r="K9215"/>
  <c r="G9215"/>
  <c r="K9214"/>
  <c r="G9214"/>
  <c r="K9213"/>
  <c r="G9213"/>
  <c r="K9212"/>
  <c r="G9212"/>
  <c r="K9211"/>
  <c r="G9211"/>
  <c r="K9210"/>
  <c r="G9210"/>
  <c r="K9209"/>
  <c r="G9209"/>
  <c r="K9208"/>
  <c r="G9208"/>
  <c r="K9207"/>
  <c r="G9207"/>
  <c r="K9206"/>
  <c r="G9206"/>
  <c r="K9205"/>
  <c r="G9205"/>
  <c r="K9204"/>
  <c r="G9204"/>
  <c r="K9203"/>
  <c r="G9203"/>
  <c r="K9202"/>
  <c r="G9202"/>
  <c r="K9201"/>
  <c r="G9201"/>
  <c r="K9200"/>
  <c r="G9200"/>
  <c r="K9199"/>
  <c r="G9199"/>
  <c r="K9198"/>
  <c r="G9198"/>
  <c r="K9197"/>
  <c r="G9197"/>
  <c r="K9196"/>
  <c r="G9196"/>
  <c r="K9195"/>
  <c r="G9195"/>
  <c r="K9194"/>
  <c r="G9194"/>
  <c r="K9193"/>
  <c r="G9193"/>
  <c r="K9192"/>
  <c r="G9192"/>
  <c r="K9191"/>
  <c r="G9191"/>
  <c r="K9190"/>
  <c r="G9190"/>
  <c r="K9189"/>
  <c r="G9189"/>
  <c r="K9188"/>
  <c r="G9188"/>
  <c r="K9187"/>
  <c r="G9187"/>
  <c r="K9186"/>
  <c r="G9186"/>
  <c r="K9185"/>
  <c r="G9185"/>
  <c r="K9184"/>
  <c r="G9184"/>
  <c r="K9183"/>
  <c r="G9183"/>
  <c r="K9182"/>
  <c r="G9182"/>
  <c r="K9181"/>
  <c r="G9181"/>
  <c r="K9180"/>
  <c r="G9180"/>
  <c r="K9179"/>
  <c r="G9179"/>
  <c r="K9178"/>
  <c r="G9178"/>
  <c r="K9177"/>
  <c r="G9177"/>
  <c r="K9176"/>
  <c r="G9176"/>
  <c r="K9175"/>
  <c r="G9175"/>
  <c r="K9174"/>
  <c r="G9174"/>
  <c r="K9173"/>
  <c r="G9173"/>
  <c r="K9172"/>
  <c r="G9172"/>
  <c r="K9171"/>
  <c r="G9171"/>
  <c r="K9170"/>
  <c r="G9170"/>
  <c r="K9169"/>
  <c r="G9169"/>
  <c r="K9168"/>
  <c r="G9168"/>
  <c r="K9167"/>
  <c r="G9167"/>
  <c r="K9166"/>
  <c r="G9166"/>
  <c r="K9165"/>
  <c r="G9165"/>
  <c r="K9164"/>
  <c r="G9164"/>
  <c r="K9163"/>
  <c r="G9163"/>
  <c r="K9162"/>
  <c r="G9162"/>
  <c r="K9161"/>
  <c r="G9161"/>
  <c r="K9160"/>
  <c r="G9160"/>
  <c r="K9159"/>
  <c r="G9159"/>
  <c r="K9158"/>
  <c r="G9158"/>
  <c r="K9157"/>
  <c r="G9157"/>
  <c r="G9154"/>
  <c r="H9154" s="1"/>
  <c r="K9154" s="1"/>
  <c r="K9153"/>
  <c r="K9152"/>
  <c r="G9152"/>
  <c r="K9151"/>
  <c r="G9151"/>
  <c r="G9150"/>
  <c r="H9150" s="1"/>
  <c r="K9150" s="1"/>
  <c r="G9149"/>
  <c r="H9149" s="1"/>
  <c r="K9149" s="1"/>
  <c r="K9148"/>
  <c r="G9148"/>
  <c r="K9147"/>
  <c r="G9147"/>
  <c r="K9146"/>
  <c r="G9146"/>
  <c r="K9145"/>
  <c r="G9145"/>
  <c r="G9142"/>
  <c r="H9142" s="1"/>
  <c r="K9142" s="1"/>
  <c r="K9141"/>
  <c r="K9140"/>
  <c r="G9140"/>
  <c r="K9139"/>
  <c r="G9139"/>
  <c r="G9138"/>
  <c r="H9138" s="1"/>
  <c r="K9138" s="1"/>
  <c r="G9137"/>
  <c r="H9137" s="1"/>
  <c r="K9137" s="1"/>
  <c r="K9136"/>
  <c r="G9136"/>
  <c r="K9135"/>
  <c r="G9135"/>
  <c r="K9133"/>
  <c r="G9133"/>
  <c r="K9134"/>
  <c r="G9134"/>
  <c r="G9132"/>
  <c r="H9132" s="1"/>
  <c r="K9132" s="1"/>
  <c r="G9131"/>
  <c r="H9131" s="1"/>
  <c r="K9131" s="1"/>
  <c r="G9130"/>
  <c r="H9130" s="1"/>
  <c r="K9130" s="1"/>
  <c r="G9129"/>
  <c r="H9129" s="1"/>
  <c r="K9129" s="1"/>
  <c r="G9128"/>
  <c r="H9128" s="1"/>
  <c r="K9128" s="1"/>
  <c r="G9127"/>
  <c r="H9127" s="1"/>
  <c r="K9127" s="1"/>
  <c r="G9126"/>
  <c r="H9126" s="1"/>
  <c r="K9126" s="1"/>
  <c r="G9125"/>
  <c r="H9125" s="1"/>
  <c r="K9125" s="1"/>
  <c r="G9124"/>
  <c r="H9124" s="1"/>
  <c r="K9124" s="1"/>
  <c r="G9123"/>
  <c r="H9123" s="1"/>
  <c r="K9123" s="1"/>
  <c r="G9122"/>
  <c r="H9122" s="1"/>
  <c r="K9122" s="1"/>
  <c r="G9121"/>
  <c r="H9121" s="1"/>
  <c r="K9121" s="1"/>
  <c r="G9120"/>
  <c r="H9120" s="1"/>
  <c r="K9120" s="1"/>
  <c r="G9119"/>
  <c r="H9119" s="1"/>
  <c r="K9119" s="1"/>
  <c r="K9118"/>
  <c r="G9118"/>
  <c r="H9118" s="1"/>
  <c r="G9117"/>
  <c r="H9117" s="1"/>
  <c r="K9117" s="1"/>
  <c r="G9116"/>
  <c r="H9116" s="1"/>
  <c r="K9116" s="1"/>
  <c r="G9115"/>
  <c r="H9115" s="1"/>
  <c r="K9115" s="1"/>
  <c r="G9114"/>
  <c r="H9114" s="1"/>
  <c r="K9114" s="1"/>
  <c r="G9113"/>
  <c r="H9113" s="1"/>
  <c r="K9113" s="1"/>
  <c r="G9112"/>
  <c r="H9112" s="1"/>
  <c r="K9112" s="1"/>
  <c r="G9111"/>
  <c r="H9111" s="1"/>
  <c r="K9111" s="1"/>
  <c r="G9110"/>
  <c r="H9110" s="1"/>
  <c r="K9110" s="1"/>
  <c r="G9109"/>
  <c r="H9109" s="1"/>
  <c r="K9109" s="1"/>
  <c r="G9108"/>
  <c r="H9108" s="1"/>
  <c r="K9108" s="1"/>
  <c r="G9107"/>
  <c r="H9107" s="1"/>
  <c r="K9107" s="1"/>
  <c r="G9106"/>
  <c r="H9106" s="1"/>
  <c r="K9106" s="1"/>
  <c r="G9105"/>
  <c r="H9105" s="1"/>
  <c r="K9105" s="1"/>
  <c r="G9104"/>
  <c r="H9104" s="1"/>
  <c r="K9104" s="1"/>
  <c r="G9103"/>
  <c r="H9103" s="1"/>
  <c r="K9103" s="1"/>
  <c r="G9102"/>
  <c r="H9102" s="1"/>
  <c r="K9102" s="1"/>
  <c r="G9101"/>
  <c r="H9101" s="1"/>
  <c r="K9101" s="1"/>
  <c r="G9100"/>
  <c r="H9100" s="1"/>
  <c r="K9100" s="1"/>
  <c r="G9099"/>
  <c r="H9099" s="1"/>
  <c r="K9099" s="1"/>
  <c r="G9098"/>
  <c r="H9098" s="1"/>
  <c r="K9098" s="1"/>
  <c r="G9097"/>
  <c r="H9097" s="1"/>
  <c r="K9097" s="1"/>
  <c r="G9096"/>
  <c r="H9096" s="1"/>
  <c r="K9096" s="1"/>
  <c r="G9095"/>
  <c r="H9095" s="1"/>
  <c r="K9095" s="1"/>
  <c r="G9094"/>
  <c r="H9094" s="1"/>
  <c r="K9094" s="1"/>
  <c r="G9093"/>
  <c r="H9093" s="1"/>
  <c r="K9093" s="1"/>
  <c r="G9092"/>
  <c r="H9092" s="1"/>
  <c r="K9092" s="1"/>
  <c r="G9091"/>
  <c r="H9091" s="1"/>
  <c r="K9091" s="1"/>
  <c r="G9090"/>
  <c r="H9090" s="1"/>
  <c r="K9090" s="1"/>
  <c r="G9089"/>
  <c r="H9089" s="1"/>
  <c r="K9089" s="1"/>
  <c r="G9088"/>
  <c r="H9088" s="1"/>
  <c r="K9088" s="1"/>
  <c r="G9087"/>
  <c r="H9087" s="1"/>
  <c r="K9087" s="1"/>
  <c r="G9086"/>
  <c r="H9086" s="1"/>
  <c r="K9086" s="1"/>
  <c r="G9085"/>
  <c r="H9085" s="1"/>
  <c r="K9085" s="1"/>
  <c r="G9084"/>
  <c r="H9084" s="1"/>
  <c r="K9084" s="1"/>
  <c r="G9083"/>
  <c r="H9083" s="1"/>
  <c r="K9083" s="1"/>
  <c r="G9082"/>
  <c r="H9082" s="1"/>
  <c r="K9082" s="1"/>
  <c r="G9081"/>
  <c r="H9081" s="1"/>
  <c r="K9081" s="1"/>
  <c r="G9080"/>
  <c r="H9080" s="1"/>
  <c r="K9080" s="1"/>
  <c r="G9079"/>
  <c r="H9079" s="1"/>
  <c r="K9079" s="1"/>
  <c r="G9078"/>
  <c r="H9078" s="1"/>
  <c r="K9078" s="1"/>
  <c r="G9077"/>
  <c r="H9077" s="1"/>
  <c r="K9077" s="1"/>
  <c r="G9076"/>
  <c r="H9076" s="1"/>
  <c r="K9076" s="1"/>
  <c r="G9075"/>
  <c r="H9075" s="1"/>
  <c r="K9075" s="1"/>
  <c r="G9074"/>
  <c r="H9074" s="1"/>
  <c r="K9074" s="1"/>
  <c r="G9073"/>
  <c r="H9073" s="1"/>
  <c r="K9073" s="1"/>
  <c r="G9072"/>
  <c r="H9072" s="1"/>
  <c r="K9072" s="1"/>
  <c r="G9071"/>
  <c r="H9071" s="1"/>
  <c r="K9071" s="1"/>
  <c r="G9070"/>
  <c r="H9070" s="1"/>
  <c r="K9070" s="1"/>
  <c r="G9069"/>
  <c r="H9069" s="1"/>
  <c r="K9069" s="1"/>
  <c r="G9068"/>
  <c r="H9068" s="1"/>
  <c r="K9068" s="1"/>
  <c r="G9067"/>
  <c r="H9067" s="1"/>
  <c r="K9067" s="1"/>
  <c r="G9066"/>
  <c r="H9066" s="1"/>
  <c r="K9066" s="1"/>
  <c r="G9065"/>
  <c r="H9065" s="1"/>
  <c r="K9065" s="1"/>
  <c r="G9064"/>
  <c r="H9064" s="1"/>
  <c r="K9064" s="1"/>
  <c r="G9063"/>
  <c r="H9063" s="1"/>
  <c r="K9063" s="1"/>
  <c r="G9062"/>
  <c r="H9062" s="1"/>
  <c r="K9062" s="1"/>
  <c r="G9061"/>
  <c r="H9061" s="1"/>
  <c r="K9061" s="1"/>
  <c r="G9060"/>
  <c r="H9060" s="1"/>
  <c r="K9060" s="1"/>
  <c r="G9059"/>
  <c r="H9059" s="1"/>
  <c r="K9059" s="1"/>
  <c r="G9058"/>
  <c r="H9058" s="1"/>
  <c r="K9058" s="1"/>
  <c r="G9057"/>
  <c r="H9057" s="1"/>
  <c r="K9057" s="1"/>
  <c r="G9056"/>
  <c r="H9056" s="1"/>
  <c r="K9056" s="1"/>
  <c r="G9055"/>
  <c r="H9055" s="1"/>
  <c r="K9055" s="1"/>
  <c r="G9054"/>
  <c r="H9054" s="1"/>
  <c r="K9054" s="1"/>
  <c r="G9053"/>
  <c r="H9053" s="1"/>
  <c r="K9053" s="1"/>
  <c r="G9052"/>
  <c r="H9052" s="1"/>
  <c r="K9052" s="1"/>
  <c r="G9051"/>
  <c r="H9051" s="1"/>
  <c r="K9051" s="1"/>
  <c r="G9050"/>
  <c r="H9050" s="1"/>
  <c r="K9050" s="1"/>
  <c r="G9049"/>
  <c r="H9049" s="1"/>
  <c r="K9049" s="1"/>
  <c r="G9048"/>
  <c r="H9048" s="1"/>
  <c r="K9048" s="1"/>
  <c r="G9047"/>
  <c r="H9047" s="1"/>
  <c r="K9047" s="1"/>
  <c r="G9046"/>
  <c r="H9046" s="1"/>
  <c r="K9046" s="1"/>
  <c r="G9045"/>
  <c r="H9045" s="1"/>
  <c r="K9045" s="1"/>
  <c r="G9044"/>
  <c r="H9044" s="1"/>
  <c r="K9044" s="1"/>
  <c r="G9043"/>
  <c r="H9043" s="1"/>
  <c r="K9043" s="1"/>
  <c r="G9042"/>
  <c r="H9042" s="1"/>
  <c r="K9042" s="1"/>
  <c r="G9041"/>
  <c r="H9041" s="1"/>
  <c r="K9041" s="1"/>
  <c r="G9040"/>
  <c r="H9040" s="1"/>
  <c r="K9040" s="1"/>
  <c r="G9039"/>
  <c r="H9039" s="1"/>
  <c r="K9039" s="1"/>
  <c r="G9038"/>
  <c r="H9038" s="1"/>
  <c r="K9038" s="1"/>
  <c r="G9037"/>
  <c r="H9037" s="1"/>
  <c r="K9037" s="1"/>
  <c r="G9036"/>
  <c r="H9036" s="1"/>
  <c r="K9036" s="1"/>
  <c r="G9035"/>
  <c r="H9035" s="1"/>
  <c r="K9035" s="1"/>
  <c r="G9034"/>
  <c r="H9034" s="1"/>
  <c r="K9034" s="1"/>
  <c r="G9033"/>
  <c r="H9033" s="1"/>
  <c r="K9033" s="1"/>
  <c r="G9032"/>
  <c r="H9032" s="1"/>
  <c r="K9032" s="1"/>
  <c r="G9031"/>
  <c r="H9031" s="1"/>
  <c r="K9031" s="1"/>
  <c r="G9030"/>
  <c r="H9030" s="1"/>
  <c r="K9030" s="1"/>
  <c r="G9029"/>
  <c r="H9029" s="1"/>
  <c r="K9029" s="1"/>
  <c r="G9028"/>
  <c r="H9028" s="1"/>
  <c r="K9028" s="1"/>
  <c r="G9027"/>
  <c r="H9027" s="1"/>
  <c r="K9027" s="1"/>
  <c r="G9026"/>
  <c r="H9026" s="1"/>
  <c r="K9026" s="1"/>
  <c r="G9025"/>
  <c r="H9025" s="1"/>
  <c r="K9025" s="1"/>
  <c r="G9024"/>
  <c r="H9024" s="1"/>
  <c r="K9024" s="1"/>
  <c r="K9023"/>
  <c r="K9022"/>
  <c r="K9021"/>
  <c r="K9020"/>
  <c r="K9019"/>
  <c r="K9018"/>
  <c r="K9017"/>
  <c r="K9016"/>
  <c r="K9015"/>
  <c r="K9014"/>
  <c r="K9013"/>
  <c r="K9012"/>
  <c r="K9011"/>
  <c r="K9010"/>
  <c r="K9009"/>
  <c r="K9008"/>
  <c r="K9007"/>
  <c r="K9006"/>
  <c r="K9005"/>
  <c r="K9004"/>
  <c r="K9003"/>
  <c r="K9002"/>
  <c r="K9001"/>
  <c r="K9000"/>
  <c r="K8999"/>
  <c r="K8998"/>
  <c r="K8997"/>
  <c r="K8996"/>
  <c r="K8995"/>
  <c r="K8994"/>
  <c r="K8993"/>
  <c r="K8992"/>
  <c r="K8991"/>
  <c r="K8990"/>
  <c r="K8989"/>
  <c r="K8988"/>
  <c r="K8987"/>
  <c r="K8986"/>
  <c r="K8985"/>
  <c r="K8984"/>
  <c r="K8983"/>
  <c r="K8982"/>
  <c r="K8981"/>
  <c r="K8980"/>
  <c r="K8979"/>
  <c r="K8978"/>
  <c r="K8977"/>
  <c r="K8976"/>
  <c r="K8975"/>
  <c r="K8974"/>
  <c r="K8973"/>
  <c r="K8972"/>
  <c r="K8971"/>
  <c r="K8970"/>
  <c r="K8969"/>
  <c r="K8968"/>
  <c r="K8967"/>
  <c r="K8966"/>
  <c r="K8965"/>
  <c r="K8964"/>
  <c r="K8963"/>
  <c r="K8962"/>
  <c r="K8961"/>
  <c r="K8960"/>
  <c r="K8959"/>
  <c r="K8958"/>
  <c r="K8957"/>
  <c r="K8956"/>
  <c r="K8955"/>
  <c r="K8954"/>
  <c r="K8953"/>
  <c r="K8952"/>
  <c r="K8951"/>
  <c r="K8950"/>
  <c r="K8949"/>
  <c r="K8948"/>
  <c r="K8947"/>
  <c r="K8946"/>
  <c r="K8945"/>
  <c r="K8944"/>
  <c r="K8943"/>
  <c r="K8942"/>
  <c r="K8941"/>
  <c r="K8940"/>
  <c r="K8939"/>
  <c r="K8938"/>
  <c r="K8937"/>
  <c r="K8936"/>
  <c r="K8935"/>
  <c r="K8934"/>
  <c r="K8933"/>
  <c r="K8932"/>
  <c r="K8931"/>
  <c r="K8930"/>
  <c r="K8929"/>
  <c r="K8928"/>
  <c r="K8927"/>
  <c r="K8926"/>
  <c r="K8925"/>
  <c r="K8924"/>
  <c r="K8923"/>
  <c r="K8922"/>
  <c r="K8921"/>
  <c r="K8920"/>
  <c r="K8919"/>
  <c r="K8918"/>
  <c r="G8917"/>
  <c r="H8917" s="1"/>
  <c r="K8917" s="1"/>
  <c r="G8916"/>
  <c r="H8916" s="1"/>
  <c r="K8916" s="1"/>
  <c r="G8915"/>
  <c r="H8915" s="1"/>
  <c r="K8915" s="1"/>
  <c r="G8914"/>
  <c r="H8914" s="1"/>
  <c r="K8914" s="1"/>
  <c r="G8913"/>
  <c r="H8913" s="1"/>
  <c r="K8913" s="1"/>
  <c r="G8912"/>
  <c r="H8912" s="1"/>
  <c r="K8912" s="1"/>
  <c r="G8911"/>
  <c r="H8911" s="1"/>
  <c r="K8911" s="1"/>
  <c r="G8910"/>
  <c r="H8910" s="1"/>
  <c r="K8910" s="1"/>
  <c r="G8909"/>
  <c r="H8909" s="1"/>
  <c r="K8909" s="1"/>
  <c r="G8908"/>
  <c r="H8908" s="1"/>
  <c r="K8908" s="1"/>
  <c r="G8907"/>
  <c r="H8907" s="1"/>
  <c r="K8907" s="1"/>
  <c r="G8906"/>
  <c r="H8906" s="1"/>
  <c r="K8906" s="1"/>
  <c r="G8905"/>
  <c r="H8905" s="1"/>
  <c r="K8905" s="1"/>
  <c r="G8904"/>
  <c r="H8904" s="1"/>
  <c r="K8904" s="1"/>
  <c r="G8903"/>
  <c r="H8903" s="1"/>
  <c r="K8903" s="1"/>
  <c r="G8902"/>
  <c r="H8902" s="1"/>
  <c r="K8902" s="1"/>
  <c r="G8901"/>
  <c r="H8901" s="1"/>
  <c r="K8901" s="1"/>
  <c r="G8900"/>
  <c r="H8900" s="1"/>
  <c r="K8900" s="1"/>
  <c r="G8899"/>
  <c r="H8899" s="1"/>
  <c r="K8899" s="1"/>
  <c r="G8898"/>
  <c r="H8898" s="1"/>
  <c r="K8898" s="1"/>
  <c r="G8897"/>
  <c r="H8897" s="1"/>
  <c r="K8897" s="1"/>
  <c r="G8896"/>
  <c r="H8896" s="1"/>
  <c r="K8896" s="1"/>
  <c r="G8895"/>
  <c r="H8895" s="1"/>
  <c r="K8895" s="1"/>
  <c r="G8894"/>
  <c r="H8894" s="1"/>
  <c r="K8894" s="1"/>
  <c r="G8893"/>
  <c r="H8893" s="1"/>
  <c r="K8893" s="1"/>
  <c r="G8892"/>
  <c r="H8892" s="1"/>
  <c r="K8892" s="1"/>
  <c r="G8891"/>
  <c r="H8891" s="1"/>
  <c r="K8891" s="1"/>
  <c r="G8890"/>
  <c r="H8890" s="1"/>
  <c r="K8890" s="1"/>
  <c r="G8889"/>
  <c r="H8889" s="1"/>
  <c r="K8889" s="1"/>
  <c r="G8888"/>
  <c r="H8888" s="1"/>
  <c r="K8888" s="1"/>
  <c r="G8887"/>
  <c r="H8887" s="1"/>
  <c r="K8887" s="1"/>
  <c r="G8886"/>
  <c r="H8886" s="1"/>
  <c r="K8886" s="1"/>
  <c r="G8885"/>
  <c r="H8885" s="1"/>
  <c r="K8885" s="1"/>
  <c r="G8884"/>
  <c r="H8884" s="1"/>
  <c r="K8884" s="1"/>
  <c r="G8883"/>
  <c r="H8883" s="1"/>
  <c r="K8883" s="1"/>
  <c r="G8882"/>
  <c r="H8882" s="1"/>
  <c r="K8882" s="1"/>
  <c r="G8881"/>
  <c r="H8881" s="1"/>
  <c r="K8881" s="1"/>
  <c r="G8880"/>
  <c r="H8880" s="1"/>
  <c r="K8880" s="1"/>
  <c r="G8879"/>
  <c r="H8879" s="1"/>
  <c r="K8879" s="1"/>
  <c r="G8878"/>
  <c r="H8878" s="1"/>
  <c r="K8878" s="1"/>
  <c r="G8877"/>
  <c r="H8877" s="1"/>
  <c r="K8877" s="1"/>
  <c r="G8876"/>
  <c r="H8876" s="1"/>
  <c r="K8876" s="1"/>
  <c r="G8875"/>
  <c r="H8875" s="1"/>
  <c r="K8875" s="1"/>
  <c r="G8874"/>
  <c r="H8874" s="1"/>
  <c r="K8874" s="1"/>
  <c r="G8873"/>
  <c r="H8873" s="1"/>
  <c r="K8873" s="1"/>
  <c r="G8872"/>
  <c r="H8872" s="1"/>
  <c r="K8872" s="1"/>
  <c r="G8871"/>
  <c r="H8871" s="1"/>
  <c r="K8871" s="1"/>
  <c r="G8870"/>
  <c r="H8870" s="1"/>
  <c r="K8870" s="1"/>
  <c r="G8869"/>
  <c r="H8869" s="1"/>
  <c r="K8869" s="1"/>
  <c r="G8868"/>
  <c r="H8868" s="1"/>
  <c r="K8868" s="1"/>
  <c r="G8867"/>
  <c r="H8867" s="1"/>
  <c r="K8867" s="1"/>
  <c r="G8866"/>
  <c r="H8866" s="1"/>
  <c r="K8866" s="1"/>
  <c r="G8865"/>
  <c r="H8865" s="1"/>
  <c r="K8865" s="1"/>
  <c r="G8864"/>
  <c r="H8864" s="1"/>
  <c r="K8864" s="1"/>
  <c r="G8863"/>
  <c r="H8863" s="1"/>
  <c r="K8863" s="1"/>
  <c r="G8862"/>
  <c r="H8862" s="1"/>
  <c r="K8862" s="1"/>
  <c r="G8861"/>
  <c r="H8861" s="1"/>
  <c r="K8861" s="1"/>
  <c r="G8860"/>
  <c r="H8860" s="1"/>
  <c r="K8860" s="1"/>
  <c r="G8859"/>
  <c r="H8859" s="1"/>
  <c r="K8859" s="1"/>
  <c r="G8858"/>
  <c r="H8858" s="1"/>
  <c r="K8858" s="1"/>
  <c r="G8857"/>
  <c r="H8857" s="1"/>
  <c r="K8857" s="1"/>
  <c r="G8856"/>
  <c r="H8856" s="1"/>
  <c r="K8856" s="1"/>
  <c r="G8855"/>
  <c r="H8855" s="1"/>
  <c r="K8855" s="1"/>
  <c r="G8854"/>
  <c r="H8854" s="1"/>
  <c r="K8854" s="1"/>
  <c r="G8853"/>
  <c r="H8853" s="1"/>
  <c r="K8853" s="1"/>
  <c r="G8852"/>
  <c r="H8852" s="1"/>
  <c r="K8852" s="1"/>
  <c r="G8851"/>
  <c r="H8851" s="1"/>
  <c r="K8851" s="1"/>
  <c r="G8850"/>
  <c r="H8850" s="1"/>
  <c r="K8850" s="1"/>
  <c r="G8849"/>
  <c r="H8849" s="1"/>
  <c r="K8849" s="1"/>
  <c r="G8848"/>
  <c r="H8848" s="1"/>
  <c r="K8848" s="1"/>
  <c r="G8847"/>
  <c r="H8847" s="1"/>
  <c r="K8847" s="1"/>
  <c r="G8846"/>
  <c r="H8846" s="1"/>
  <c r="K8846" s="1"/>
  <c r="G8845"/>
  <c r="H8845" s="1"/>
  <c r="K8845" s="1"/>
  <c r="G8844"/>
  <c r="H8844" s="1"/>
  <c r="K8844" s="1"/>
  <c r="G8843"/>
  <c r="H8843" s="1"/>
  <c r="K8843" s="1"/>
  <c r="G8842"/>
  <c r="H8842" s="1"/>
  <c r="K8842" s="1"/>
  <c r="G8841"/>
  <c r="H8841" s="1"/>
  <c r="K8841" s="1"/>
  <c r="G8840"/>
  <c r="H8840" s="1"/>
  <c r="K8840" s="1"/>
  <c r="G8839"/>
  <c r="H8839" s="1"/>
  <c r="K8839" s="1"/>
  <c r="G8838"/>
  <c r="H8838" s="1"/>
  <c r="K8838" s="1"/>
  <c r="G8837"/>
  <c r="H8837" s="1"/>
  <c r="K8837" s="1"/>
  <c r="G8836"/>
  <c r="H8836" s="1"/>
  <c r="K8836" s="1"/>
  <c r="G8835"/>
  <c r="H8835" s="1"/>
  <c r="K8835" s="1"/>
  <c r="G8834"/>
  <c r="H8834" s="1"/>
  <c r="K8834" s="1"/>
  <c r="G8833"/>
  <c r="H8833" s="1"/>
  <c r="K8833" s="1"/>
  <c r="G8832"/>
  <c r="H8832" s="1"/>
  <c r="K8832" s="1"/>
  <c r="G8831"/>
  <c r="H8831" s="1"/>
  <c r="K8831" s="1"/>
  <c r="G8830"/>
  <c r="H8830" s="1"/>
  <c r="K8830" s="1"/>
  <c r="G8829"/>
  <c r="H8829" s="1"/>
  <c r="K8829" s="1"/>
  <c r="G8828"/>
  <c r="H8828" s="1"/>
  <c r="K8828" s="1"/>
  <c r="G8827"/>
  <c r="H8827" s="1"/>
  <c r="K8827" s="1"/>
  <c r="G8826"/>
  <c r="H8826" s="1"/>
  <c r="K8826" s="1"/>
  <c r="G8825"/>
  <c r="H8825" s="1"/>
  <c r="K8825" s="1"/>
  <c r="G8824"/>
  <c r="H8824" s="1"/>
  <c r="K8824" s="1"/>
  <c r="G8823"/>
  <c r="H8823" s="1"/>
  <c r="K8823" s="1"/>
  <c r="G8822"/>
  <c r="H8822" s="1"/>
  <c r="K8822" s="1"/>
  <c r="G8821"/>
  <c r="H8821" s="1"/>
  <c r="K8821" s="1"/>
  <c r="G8820"/>
  <c r="H8820" s="1"/>
  <c r="K8820" s="1"/>
  <c r="G8819"/>
  <c r="H8819" s="1"/>
  <c r="K8819" s="1"/>
  <c r="G8818"/>
  <c r="H8818" s="1"/>
  <c r="K8818" s="1"/>
  <c r="G8817"/>
  <c r="H8817" s="1"/>
  <c r="K8817" s="1"/>
  <c r="G8816"/>
  <c r="H8816" s="1"/>
  <c r="K8816" s="1"/>
  <c r="G8815"/>
  <c r="H8815" s="1"/>
  <c r="K8815" s="1"/>
  <c r="G8814"/>
  <c r="H8814" s="1"/>
  <c r="K8814" s="1"/>
  <c r="G8813"/>
  <c r="H8813" s="1"/>
  <c r="K8813" s="1"/>
  <c r="G8812"/>
  <c r="H8812" s="1"/>
  <c r="K8812" s="1"/>
  <c r="G8811"/>
  <c r="H8811" s="1"/>
  <c r="K8811" s="1"/>
  <c r="G8810"/>
  <c r="H8810" s="1"/>
  <c r="K8810" s="1"/>
  <c r="G8809"/>
  <c r="H8809" s="1"/>
  <c r="K8809" s="1"/>
  <c r="K8808"/>
  <c r="G8808"/>
  <c r="K8807"/>
  <c r="G8807"/>
  <c r="K8806"/>
  <c r="G8806"/>
  <c r="K8805"/>
  <c r="G8805"/>
  <c r="K8804"/>
  <c r="G8804"/>
  <c r="K8803"/>
  <c r="G8803"/>
  <c r="K8802"/>
  <c r="G8802"/>
  <c r="K8801"/>
  <c r="G8801"/>
  <c r="K8800"/>
  <c r="G8800"/>
  <c r="K8799"/>
  <c r="G8799"/>
  <c r="K8798"/>
  <c r="G8798"/>
  <c r="K8797"/>
  <c r="G8797"/>
  <c r="K8796"/>
  <c r="G8796"/>
  <c r="K8795"/>
  <c r="G8795"/>
  <c r="K8794"/>
  <c r="G8794"/>
  <c r="K8793"/>
  <c r="G8793"/>
  <c r="K8792"/>
  <c r="G8792"/>
  <c r="K8791"/>
  <c r="G8791"/>
  <c r="K8790"/>
  <c r="G8790"/>
  <c r="K8789"/>
  <c r="G8789"/>
  <c r="K8788"/>
  <c r="G8788"/>
  <c r="K8787"/>
  <c r="G8787"/>
  <c r="K8786"/>
  <c r="G8786"/>
  <c r="K8785"/>
  <c r="G8785"/>
  <c r="K8784"/>
  <c r="G8784"/>
  <c r="K8783"/>
  <c r="G8783"/>
  <c r="K8782"/>
  <c r="G8782"/>
  <c r="K8781"/>
  <c r="G8781"/>
  <c r="K8780"/>
  <c r="G8780"/>
  <c r="K8779"/>
  <c r="G8779"/>
  <c r="K8778"/>
  <c r="G8778"/>
  <c r="K8777"/>
  <c r="G8777"/>
  <c r="K8776"/>
  <c r="G8776"/>
  <c r="K8775"/>
  <c r="G8775"/>
  <c r="K8774"/>
  <c r="G8774"/>
  <c r="K8773"/>
  <c r="G8773"/>
  <c r="K8772"/>
  <c r="G8772"/>
  <c r="K8771"/>
  <c r="G8771"/>
  <c r="K8770"/>
  <c r="G8770"/>
  <c r="K8769"/>
  <c r="G8769"/>
  <c r="K8768"/>
  <c r="G8768"/>
  <c r="K8767"/>
  <c r="G8767"/>
  <c r="K8766"/>
  <c r="G8766"/>
  <c r="K8765"/>
  <c r="G8765"/>
  <c r="K8764"/>
  <c r="G8764"/>
  <c r="K8763"/>
  <c r="G8763"/>
  <c r="K8762"/>
  <c r="G8762"/>
  <c r="K8761"/>
  <c r="G8761"/>
  <c r="K8760"/>
  <c r="G8760"/>
  <c r="K8759"/>
  <c r="G8759"/>
  <c r="K8758"/>
  <c r="G8758"/>
  <c r="K8757"/>
  <c r="G8757"/>
  <c r="K8756"/>
  <c r="G8756"/>
  <c r="K8755"/>
  <c r="G8755"/>
  <c r="K8754"/>
  <c r="G8754"/>
  <c r="K8753"/>
  <c r="G8753"/>
  <c r="K8752"/>
  <c r="G8752"/>
  <c r="K8751"/>
  <c r="G8751"/>
  <c r="K8750"/>
  <c r="G8750"/>
  <c r="K8749"/>
  <c r="G8749"/>
  <c r="K8748"/>
  <c r="G8748"/>
  <c r="K8747"/>
  <c r="G8747"/>
  <c r="K8746"/>
  <c r="G8746"/>
  <c r="K8745"/>
  <c r="G8745"/>
  <c r="K8744"/>
  <c r="G8744"/>
  <c r="K8743"/>
  <c r="G8743"/>
  <c r="K8742"/>
  <c r="G8742"/>
  <c r="K8741"/>
  <c r="G8741"/>
  <c r="K8740"/>
  <c r="G8740"/>
  <c r="K8739"/>
  <c r="G8739"/>
  <c r="K8738"/>
  <c r="G8738"/>
  <c r="K8737"/>
  <c r="G8737"/>
  <c r="K8736"/>
  <c r="G8736"/>
  <c r="K8735"/>
  <c r="G8735"/>
  <c r="K8734"/>
  <c r="G8734"/>
  <c r="K8733"/>
  <c r="G8733"/>
  <c r="K8732"/>
  <c r="G8732"/>
  <c r="K8731"/>
  <c r="G8731"/>
  <c r="K8730"/>
  <c r="G8730"/>
  <c r="K8729"/>
  <c r="G8729"/>
  <c r="K8728"/>
  <c r="G8728"/>
  <c r="K8727"/>
  <c r="G8727"/>
  <c r="K8726"/>
  <c r="G8726"/>
  <c r="K8725"/>
  <c r="G8725"/>
  <c r="K8724"/>
  <c r="G8724"/>
  <c r="K8723"/>
  <c r="G8723"/>
  <c r="K8722"/>
  <c r="G8722"/>
  <c r="K8721"/>
  <c r="G8721"/>
  <c r="K8720"/>
  <c r="G8720"/>
  <c r="K8719"/>
  <c r="G8719"/>
  <c r="K8718"/>
  <c r="G8718"/>
  <c r="K8717"/>
  <c r="G8717"/>
  <c r="K8716"/>
  <c r="G8716"/>
  <c r="K8715"/>
  <c r="G8715"/>
  <c r="K8714"/>
  <c r="G8714"/>
  <c r="K8713"/>
  <c r="G8713"/>
  <c r="K8712"/>
  <c r="G8712"/>
  <c r="K8711"/>
  <c r="G8711"/>
  <c r="K8710"/>
  <c r="G8710"/>
  <c r="K8709"/>
  <c r="G8709"/>
  <c r="K8708"/>
  <c r="G8708"/>
  <c r="K8707"/>
  <c r="G8707"/>
  <c r="K8706"/>
  <c r="G8706"/>
  <c r="K8705"/>
  <c r="G8705"/>
  <c r="K8704"/>
  <c r="G8704"/>
  <c r="K8703"/>
  <c r="G8703"/>
  <c r="G8702"/>
  <c r="H8702" s="1"/>
  <c r="K8702" s="1"/>
  <c r="G8701"/>
  <c r="H8701" s="1"/>
  <c r="K8701" s="1"/>
  <c r="G8700"/>
  <c r="H8700" s="1"/>
  <c r="K8700" s="1"/>
  <c r="G8699"/>
  <c r="H8699" s="1"/>
  <c r="K8699" s="1"/>
  <c r="G8698"/>
  <c r="H8698" s="1"/>
  <c r="K8698" s="1"/>
  <c r="G8697"/>
  <c r="H8697" s="1"/>
  <c r="K8697" s="1"/>
  <c r="G8696"/>
  <c r="H8696" s="1"/>
  <c r="K8696" s="1"/>
  <c r="G8695"/>
  <c r="H8695" s="1"/>
  <c r="K8695" s="1"/>
  <c r="G8694"/>
  <c r="H8694" s="1"/>
  <c r="K8694" s="1"/>
  <c r="G8693"/>
  <c r="H8693" s="1"/>
  <c r="K8693" s="1"/>
  <c r="G8692"/>
  <c r="H8692" s="1"/>
  <c r="K8692" s="1"/>
  <c r="G8691"/>
  <c r="H8691" s="1"/>
  <c r="K8691" s="1"/>
  <c r="G8690"/>
  <c r="H8690" s="1"/>
  <c r="K8690" s="1"/>
  <c r="G8689"/>
  <c r="H8689" s="1"/>
  <c r="K8689" s="1"/>
  <c r="G8688"/>
  <c r="H8688" s="1"/>
  <c r="K8688" s="1"/>
  <c r="G8687"/>
  <c r="H8687" s="1"/>
  <c r="K8687" s="1"/>
  <c r="G8686"/>
  <c r="H8686" s="1"/>
  <c r="K8686" s="1"/>
  <c r="G8685"/>
  <c r="H8685" s="1"/>
  <c r="K8685" s="1"/>
  <c r="G8684"/>
  <c r="H8684" s="1"/>
  <c r="K8684" s="1"/>
  <c r="G8683"/>
  <c r="H8683" s="1"/>
  <c r="K8683" s="1"/>
  <c r="G8682"/>
  <c r="H8682" s="1"/>
  <c r="K8682" s="1"/>
  <c r="G8681"/>
  <c r="H8681" s="1"/>
  <c r="K8681" s="1"/>
  <c r="G8680"/>
  <c r="H8680" s="1"/>
  <c r="K8680" s="1"/>
  <c r="G8679"/>
  <c r="H8679" s="1"/>
  <c r="K8679" s="1"/>
  <c r="G8678"/>
  <c r="H8678" s="1"/>
  <c r="K8678" s="1"/>
  <c r="G8677"/>
  <c r="H8677" s="1"/>
  <c r="K8677" s="1"/>
  <c r="G8676"/>
  <c r="H8676" s="1"/>
  <c r="K8676" s="1"/>
  <c r="G8675"/>
  <c r="H8675" s="1"/>
  <c r="K8675" s="1"/>
  <c r="G8674"/>
  <c r="H8674" s="1"/>
  <c r="K8674" s="1"/>
  <c r="G8673"/>
  <c r="H8673" s="1"/>
  <c r="K8673" s="1"/>
  <c r="G8672"/>
  <c r="H8672" s="1"/>
  <c r="K8672" s="1"/>
  <c r="G8671"/>
  <c r="H8671" s="1"/>
  <c r="K8671" s="1"/>
  <c r="G8670"/>
  <c r="H8670" s="1"/>
  <c r="K8670" s="1"/>
  <c r="G8669"/>
  <c r="H8669" s="1"/>
  <c r="K8669" s="1"/>
  <c r="G8668"/>
  <c r="H8668" s="1"/>
  <c r="K8668" s="1"/>
  <c r="G8667"/>
  <c r="H8667" s="1"/>
  <c r="K8667" s="1"/>
  <c r="G8666"/>
  <c r="H8666" s="1"/>
  <c r="K8666" s="1"/>
  <c r="G8665"/>
  <c r="H8665" s="1"/>
  <c r="K8665" s="1"/>
  <c r="G8664"/>
  <c r="H8664" s="1"/>
  <c r="K8664" s="1"/>
  <c r="G8663"/>
  <c r="H8663" s="1"/>
  <c r="K8663" s="1"/>
  <c r="G8662"/>
  <c r="H8662" s="1"/>
  <c r="K8662" s="1"/>
  <c r="G8661"/>
  <c r="H8661" s="1"/>
  <c r="K8661" s="1"/>
  <c r="G8660"/>
  <c r="H8660" s="1"/>
  <c r="K8660" s="1"/>
  <c r="G8659"/>
  <c r="H8659" s="1"/>
  <c r="K8659" s="1"/>
  <c r="G8658"/>
  <c r="H8658" s="1"/>
  <c r="K8658" s="1"/>
  <c r="G8657"/>
  <c r="H8657" s="1"/>
  <c r="K8657" s="1"/>
  <c r="G8656"/>
  <c r="H8656" s="1"/>
  <c r="K8656" s="1"/>
  <c r="G8655"/>
  <c r="H8655" s="1"/>
  <c r="K8655" s="1"/>
  <c r="G8654"/>
  <c r="H8654" s="1"/>
  <c r="K8654" s="1"/>
  <c r="G8653"/>
  <c r="H8653" s="1"/>
  <c r="K8653" s="1"/>
  <c r="G8652"/>
  <c r="H8652" s="1"/>
  <c r="K8652" s="1"/>
  <c r="G8651"/>
  <c r="H8651" s="1"/>
  <c r="K8651" s="1"/>
  <c r="G8650"/>
  <c r="H8650" s="1"/>
  <c r="K8650" s="1"/>
  <c r="G8649"/>
  <c r="H8649" s="1"/>
  <c r="K8649" s="1"/>
  <c r="G8648"/>
  <c r="H8648" s="1"/>
  <c r="K8648" s="1"/>
  <c r="G8647"/>
  <c r="H8647" s="1"/>
  <c r="K8647" s="1"/>
  <c r="G8646"/>
  <c r="H8646" s="1"/>
  <c r="K8646" s="1"/>
  <c r="G8645"/>
  <c r="H8645" s="1"/>
  <c r="K8645" s="1"/>
  <c r="G8644"/>
  <c r="H8644" s="1"/>
  <c r="K8644" s="1"/>
  <c r="G8643"/>
  <c r="H8643" s="1"/>
  <c r="K8643" s="1"/>
  <c r="G8642"/>
  <c r="H8642" s="1"/>
  <c r="K8642" s="1"/>
  <c r="G8641"/>
  <c r="H8641" s="1"/>
  <c r="K8641" s="1"/>
  <c r="G8640"/>
  <c r="H8640" s="1"/>
  <c r="K8640" s="1"/>
  <c r="G8639"/>
  <c r="H8639" s="1"/>
  <c r="K8639" s="1"/>
  <c r="G8638"/>
  <c r="H8638" s="1"/>
  <c r="K8638" s="1"/>
  <c r="G8637"/>
  <c r="H8637" s="1"/>
  <c r="K8637" s="1"/>
  <c r="G8636"/>
  <c r="H8636" s="1"/>
  <c r="K8636" s="1"/>
  <c r="G8635"/>
  <c r="H8635" s="1"/>
  <c r="K8635" s="1"/>
  <c r="G8634"/>
  <c r="H8634" s="1"/>
  <c r="K8634" s="1"/>
  <c r="G8633"/>
  <c r="H8633" s="1"/>
  <c r="K8633" s="1"/>
  <c r="G8632"/>
  <c r="H8632" s="1"/>
  <c r="K8632" s="1"/>
  <c r="G8631"/>
  <c r="H8631" s="1"/>
  <c r="K8631" s="1"/>
  <c r="G8630"/>
  <c r="H8630" s="1"/>
  <c r="K8630" s="1"/>
  <c r="G8629"/>
  <c r="H8629" s="1"/>
  <c r="K8629" s="1"/>
  <c r="G8628"/>
  <c r="H8628" s="1"/>
  <c r="K8628" s="1"/>
  <c r="G8627"/>
  <c r="H8627" s="1"/>
  <c r="K8627" s="1"/>
  <c r="G8626"/>
  <c r="H8626" s="1"/>
  <c r="K8626" s="1"/>
  <c r="G8625"/>
  <c r="H8625" s="1"/>
  <c r="K8625" s="1"/>
  <c r="G8624"/>
  <c r="H8624" s="1"/>
  <c r="K8624" s="1"/>
  <c r="G8623"/>
  <c r="H8623" s="1"/>
  <c r="K8623" s="1"/>
  <c r="G8622"/>
  <c r="H8622" s="1"/>
  <c r="K8622" s="1"/>
  <c r="G8621"/>
  <c r="H8621" s="1"/>
  <c r="K8621" s="1"/>
  <c r="G8620"/>
  <c r="H8620" s="1"/>
  <c r="K8620" s="1"/>
  <c r="G8619"/>
  <c r="H8619" s="1"/>
  <c r="K8619" s="1"/>
  <c r="G8618"/>
  <c r="H8618" s="1"/>
  <c r="K8618" s="1"/>
  <c r="G8617"/>
  <c r="H8617" s="1"/>
  <c r="K8617" s="1"/>
  <c r="G8616"/>
  <c r="H8616" s="1"/>
  <c r="K8616" s="1"/>
  <c r="G8615"/>
  <c r="H8615" s="1"/>
  <c r="K8615" s="1"/>
  <c r="G8614"/>
  <c r="H8614" s="1"/>
  <c r="K8614" s="1"/>
  <c r="G8613"/>
  <c r="H8613" s="1"/>
  <c r="K8613" s="1"/>
  <c r="G8612"/>
  <c r="H8612" s="1"/>
  <c r="K8612" s="1"/>
  <c r="G8611"/>
  <c r="H8611" s="1"/>
  <c r="K8611" s="1"/>
  <c r="G8610"/>
  <c r="H8610" s="1"/>
  <c r="K8610" s="1"/>
  <c r="G8609"/>
  <c r="H8609" s="1"/>
  <c r="K8609" s="1"/>
  <c r="G8608"/>
  <c r="H8608" s="1"/>
  <c r="K8608" s="1"/>
  <c r="G8607"/>
  <c r="H8607" s="1"/>
  <c r="K8607" s="1"/>
  <c r="G8606"/>
  <c r="H8606" s="1"/>
  <c r="K8606" s="1"/>
  <c r="G8605"/>
  <c r="H8605" s="1"/>
  <c r="K8605" s="1"/>
  <c r="G8604"/>
  <c r="H8604" s="1"/>
  <c r="K8604" s="1"/>
  <c r="G8603"/>
  <c r="H8603" s="1"/>
  <c r="K8603" s="1"/>
  <c r="G8602"/>
  <c r="H8602" s="1"/>
  <c r="K8602" s="1"/>
  <c r="G8601"/>
  <c r="H8601" s="1"/>
  <c r="K8601" s="1"/>
  <c r="G8600"/>
  <c r="H8600" s="1"/>
  <c r="K8600" s="1"/>
  <c r="G8599"/>
  <c r="H8599" s="1"/>
  <c r="K8599" s="1"/>
  <c r="G8598"/>
  <c r="H8598" s="1"/>
  <c r="K8598" s="1"/>
  <c r="G8597" l="1"/>
  <c r="H8597" s="1"/>
  <c r="K8597" s="1"/>
  <c r="G8596"/>
  <c r="H8596" s="1"/>
  <c r="K8596" s="1"/>
  <c r="G8595"/>
  <c r="H8595" s="1"/>
  <c r="K8595" s="1"/>
  <c r="G8594"/>
  <c r="H8594" s="1"/>
  <c r="G8593"/>
  <c r="H8593" s="1"/>
  <c r="K8593" s="1"/>
  <c r="G8592"/>
  <c r="H8592" s="1"/>
  <c r="G8591"/>
  <c r="H8591" s="1"/>
  <c r="K8591" s="1"/>
  <c r="G8590"/>
  <c r="H8590" s="1"/>
  <c r="G8589"/>
  <c r="H8589" s="1"/>
  <c r="K8589" s="1"/>
  <c r="G8588"/>
  <c r="H8588" s="1"/>
  <c r="K8588" s="1"/>
  <c r="G8587"/>
  <c r="H8587" s="1"/>
  <c r="K8587" s="1"/>
  <c r="G8586"/>
  <c r="H8586" s="1"/>
  <c r="G8585"/>
  <c r="H8585" s="1"/>
  <c r="K8585" s="1"/>
  <c r="G8584"/>
  <c r="H8584" s="1"/>
  <c r="G8583"/>
  <c r="H8583" s="1"/>
  <c r="K8583" s="1"/>
  <c r="G8582"/>
  <c r="H8582" s="1"/>
  <c r="K8582" s="1"/>
  <c r="G8581"/>
  <c r="H8581" s="1"/>
  <c r="K8581" s="1"/>
  <c r="G8580"/>
  <c r="H8580" s="1"/>
  <c r="K8580" s="1"/>
  <c r="G8579"/>
  <c r="H8579" s="1"/>
  <c r="K8579" s="1"/>
  <c r="G8578"/>
  <c r="H8578" s="1"/>
  <c r="K8578" s="1"/>
  <c r="G8577"/>
  <c r="H8577" s="1"/>
  <c r="K8577" s="1"/>
  <c r="G8576"/>
  <c r="H8576" s="1"/>
  <c r="G8575"/>
  <c r="H8575" s="1"/>
  <c r="K8575" s="1"/>
  <c r="G8574"/>
  <c r="H8574" s="1"/>
  <c r="K8574" s="1"/>
  <c r="G8573"/>
  <c r="H8573" s="1"/>
  <c r="K8573" s="1"/>
  <c r="G8572"/>
  <c r="H8572" s="1"/>
  <c r="K8572" s="1"/>
  <c r="G8571"/>
  <c r="H8571" s="1"/>
  <c r="K8571" s="1"/>
  <c r="G8570"/>
  <c r="H8570" s="1"/>
  <c r="G8569"/>
  <c r="H8569" s="1"/>
  <c r="K8569" s="1"/>
  <c r="G8568"/>
  <c r="H8568" s="1"/>
  <c r="G8567"/>
  <c r="H8567" s="1"/>
  <c r="K8567" s="1"/>
  <c r="G8566"/>
  <c r="H8566" s="1"/>
  <c r="K8566" s="1"/>
  <c r="G8565"/>
  <c r="H8565" s="1"/>
  <c r="K8565" s="1"/>
  <c r="G8564"/>
  <c r="H8564" s="1"/>
  <c r="K8564" s="1"/>
  <c r="G8563"/>
  <c r="H8563" s="1"/>
  <c r="G8562"/>
  <c r="H8562" s="1"/>
  <c r="G8561"/>
  <c r="H8561" s="1"/>
  <c r="K8561" s="1"/>
  <c r="G8560"/>
  <c r="H8560" s="1"/>
  <c r="G8559"/>
  <c r="H8559" s="1"/>
  <c r="G8558"/>
  <c r="H8558" s="1"/>
  <c r="K8558" s="1"/>
  <c r="G8557"/>
  <c r="H8557" s="1"/>
  <c r="K8557" s="1"/>
  <c r="G8556"/>
  <c r="H8556" s="1"/>
  <c r="K8556" s="1"/>
  <c r="G8555"/>
  <c r="H8555" s="1"/>
  <c r="K8555" s="1"/>
  <c r="G8554"/>
  <c r="H8554" s="1"/>
  <c r="G8553"/>
  <c r="H8553" s="1"/>
  <c r="K8553" s="1"/>
  <c r="G8552"/>
  <c r="H8552" s="1"/>
  <c r="G8551"/>
  <c r="H8551" s="1"/>
  <c r="K8551" s="1"/>
  <c r="G8550"/>
  <c r="H8550" s="1"/>
  <c r="K8550" s="1"/>
  <c r="G8549"/>
  <c r="H8549" s="1"/>
  <c r="K8549" s="1"/>
  <c r="G8548"/>
  <c r="H8548" s="1"/>
  <c r="K8548" s="1"/>
  <c r="G8547"/>
  <c r="H8547" s="1"/>
  <c r="K8547" s="1"/>
  <c r="G8546"/>
  <c r="H8546" s="1"/>
  <c r="G8545"/>
  <c r="H8545" s="1"/>
  <c r="K8545" s="1"/>
  <c r="G8544"/>
  <c r="H8544" s="1"/>
  <c r="G8543"/>
  <c r="H8543" s="1"/>
  <c r="K8543" s="1"/>
  <c r="G8542"/>
  <c r="H8542" s="1"/>
  <c r="K8542" s="1"/>
  <c r="G8541"/>
  <c r="H8541" s="1"/>
  <c r="K8541" s="1"/>
  <c r="G8540"/>
  <c r="H8540" s="1"/>
  <c r="K8540" s="1"/>
  <c r="G8539"/>
  <c r="H8539" s="1"/>
  <c r="K8539" s="1"/>
  <c r="G8538"/>
  <c r="H8538" s="1"/>
  <c r="G8537"/>
  <c r="H8537" s="1"/>
  <c r="K8537" s="1"/>
  <c r="G8536"/>
  <c r="H8536" s="1"/>
  <c r="G8535"/>
  <c r="H8535" s="1"/>
  <c r="K8535" s="1"/>
  <c r="G8534"/>
  <c r="H8534" s="1"/>
  <c r="K8534" s="1"/>
  <c r="G8533"/>
  <c r="H8533" s="1"/>
  <c r="K8533" s="1"/>
  <c r="G8532"/>
  <c r="H8532" s="1"/>
  <c r="K8532" s="1"/>
  <c r="G8531"/>
  <c r="H8531" s="1"/>
  <c r="K8531" s="1"/>
  <c r="G8530"/>
  <c r="H8530" s="1"/>
  <c r="G8529"/>
  <c r="H8529" s="1"/>
  <c r="K8529" s="1"/>
  <c r="G8528"/>
  <c r="H8528" s="1"/>
  <c r="K8528" s="1"/>
  <c r="G8527"/>
  <c r="H8527" s="1"/>
  <c r="K8527" s="1"/>
  <c r="G8526"/>
  <c r="H8526" s="1"/>
  <c r="K8526" s="1"/>
  <c r="G8525"/>
  <c r="H8525" s="1"/>
  <c r="K8525" s="1"/>
  <c r="G8524"/>
  <c r="H8524" s="1"/>
  <c r="K8524" s="1"/>
  <c r="G8523"/>
  <c r="H8523" s="1"/>
  <c r="K8523" s="1"/>
  <c r="G8522"/>
  <c r="H8522" s="1"/>
  <c r="K8522" s="1"/>
  <c r="G8521"/>
  <c r="H8521" s="1"/>
  <c r="K8521" s="1"/>
  <c r="G8520"/>
  <c r="H8520" s="1"/>
  <c r="G8519"/>
  <c r="H8519" s="1"/>
  <c r="K8519" s="1"/>
  <c r="G8518"/>
  <c r="H8518" s="1"/>
  <c r="K8518" s="1"/>
  <c r="G8517"/>
  <c r="H8517" s="1"/>
  <c r="K8517" s="1"/>
  <c r="G8516"/>
  <c r="H8516" s="1"/>
  <c r="K8516" s="1"/>
  <c r="G8515"/>
  <c r="H8515" s="1"/>
  <c r="K8515" s="1"/>
  <c r="G8514"/>
  <c r="H8514" s="1"/>
  <c r="K8514" s="1"/>
  <c r="G8513"/>
  <c r="H8513" s="1"/>
  <c r="K8513" s="1"/>
  <c r="G8512"/>
  <c r="H8512" s="1"/>
  <c r="K8512" s="1"/>
  <c r="G8511"/>
  <c r="H8511" s="1"/>
  <c r="K8511" s="1"/>
  <c r="G8510"/>
  <c r="H8510" s="1"/>
  <c r="K8510" s="1"/>
  <c r="G8509"/>
  <c r="H8509" s="1"/>
  <c r="K8509" s="1"/>
  <c r="G8508"/>
  <c r="H8508" s="1"/>
  <c r="K8508" s="1"/>
  <c r="G8507"/>
  <c r="H8507" s="1"/>
  <c r="K8507" s="1"/>
  <c r="G8506"/>
  <c r="H8506" s="1"/>
  <c r="G8505"/>
  <c r="H8505" s="1"/>
  <c r="K8505" s="1"/>
  <c r="G8504"/>
  <c r="H8504" s="1"/>
  <c r="K8504" s="1"/>
  <c r="G8503"/>
  <c r="H8503" s="1"/>
  <c r="K8503" s="1"/>
  <c r="G8502"/>
  <c r="H8502" s="1"/>
  <c r="K8502" s="1"/>
  <c r="G8501"/>
  <c r="H8501" s="1"/>
  <c r="K8501" s="1"/>
  <c r="G8500"/>
  <c r="H8500" s="1"/>
  <c r="K8500" s="1"/>
  <c r="G8499"/>
  <c r="H8499" s="1"/>
  <c r="K8499" s="1"/>
  <c r="G8498"/>
  <c r="H8498" s="1"/>
  <c r="G8497"/>
  <c r="H8497" s="1"/>
  <c r="K8497" s="1"/>
  <c r="G8496"/>
  <c r="H8496" s="1"/>
  <c r="K8496" s="1"/>
  <c r="G8495"/>
  <c r="H8495" s="1"/>
  <c r="K8495" s="1"/>
  <c r="G8494"/>
  <c r="H8494" s="1"/>
  <c r="K8494" s="1"/>
  <c r="G8493"/>
  <c r="H8493" s="1"/>
  <c r="K8493" s="1"/>
  <c r="G8492"/>
  <c r="H8492" s="1"/>
  <c r="K8492" s="1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H8385" s="1"/>
  <c r="K8385" s="1"/>
  <c r="G8384"/>
  <c r="H8384" s="1"/>
  <c r="K8384" s="1"/>
  <c r="G8383"/>
  <c r="H8383" s="1"/>
  <c r="K8383" s="1"/>
  <c r="G8382"/>
  <c r="H8382" s="1"/>
  <c r="K8382" s="1"/>
  <c r="G8381"/>
  <c r="H8381" s="1"/>
  <c r="K8381" s="1"/>
  <c r="G8380"/>
  <c r="H8380" s="1"/>
  <c r="K8380" s="1"/>
  <c r="G8379"/>
  <c r="H8379" s="1"/>
  <c r="K8379" s="1"/>
  <c r="G8378"/>
  <c r="H8378" s="1"/>
  <c r="G8377"/>
  <c r="H8377" s="1"/>
  <c r="K8377" s="1"/>
  <c r="G8376"/>
  <c r="H8376" s="1"/>
  <c r="K8376" s="1"/>
  <c r="G8375"/>
  <c r="H8375" s="1"/>
  <c r="K8375" s="1"/>
  <c r="G8374"/>
  <c r="H8374" s="1"/>
  <c r="K8374" s="1"/>
  <c r="G8373"/>
  <c r="H8373" s="1"/>
  <c r="K8373" s="1"/>
  <c r="G8372"/>
  <c r="H8372" s="1"/>
  <c r="K8372" s="1"/>
  <c r="G8371"/>
  <c r="H8371" s="1"/>
  <c r="K8371" s="1"/>
  <c r="G8370"/>
  <c r="H8370" s="1"/>
  <c r="K8370" s="1"/>
  <c r="G8369"/>
  <c r="H8369" s="1"/>
  <c r="K8369" s="1"/>
  <c r="G8368"/>
  <c r="H8368" s="1"/>
  <c r="K8368" s="1"/>
  <c r="G8367"/>
  <c r="H8367" s="1"/>
  <c r="K8367" s="1"/>
  <c r="G8366"/>
  <c r="H8366" s="1"/>
  <c r="K8366" s="1"/>
  <c r="G8365"/>
  <c r="H8365" s="1"/>
  <c r="K8365" s="1"/>
  <c r="G8364"/>
  <c r="H8364" s="1"/>
  <c r="K8364" s="1"/>
  <c r="G8363"/>
  <c r="H8363" s="1"/>
  <c r="K8363" s="1"/>
  <c r="G8362"/>
  <c r="H8362" s="1"/>
  <c r="G8361"/>
  <c r="H8361" s="1"/>
  <c r="K8361" s="1"/>
  <c r="G8360"/>
  <c r="H8360" s="1"/>
  <c r="K8360" s="1"/>
  <c r="G8359"/>
  <c r="H8359" s="1"/>
  <c r="K8359" s="1"/>
  <c r="G8358"/>
  <c r="H8358" s="1"/>
  <c r="K8358" s="1"/>
  <c r="G8357"/>
  <c r="H8357" s="1"/>
  <c r="K8357" s="1"/>
  <c r="G8356"/>
  <c r="H8356" s="1"/>
  <c r="K8356" s="1"/>
  <c r="G8355"/>
  <c r="H8355" s="1"/>
  <c r="K8355" s="1"/>
  <c r="G8354"/>
  <c r="H8354" s="1"/>
  <c r="K8354" s="1"/>
  <c r="G8353"/>
  <c r="H8353" s="1"/>
  <c r="K8353" s="1"/>
  <c r="G8352"/>
  <c r="H8352" s="1"/>
  <c r="K8352" s="1"/>
  <c r="G8351"/>
  <c r="H8351" s="1"/>
  <c r="K8351" s="1"/>
  <c r="G8350"/>
  <c r="H8350" s="1"/>
  <c r="K8350" s="1"/>
  <c r="G8349"/>
  <c r="H8349" s="1"/>
  <c r="K8349" s="1"/>
  <c r="G8348"/>
  <c r="H8348" s="1"/>
  <c r="K8348" s="1"/>
  <c r="G8347"/>
  <c r="H8347" s="1"/>
  <c r="K8347" s="1"/>
  <c r="G8346"/>
  <c r="H8346" s="1"/>
  <c r="K8346" s="1"/>
  <c r="G8345"/>
  <c r="H8345" s="1"/>
  <c r="K8345" s="1"/>
  <c r="G8344"/>
  <c r="H8344" s="1"/>
  <c r="K8344" s="1"/>
  <c r="G8343"/>
  <c r="H8343" s="1"/>
  <c r="K8343" s="1"/>
  <c r="G8342"/>
  <c r="H8342" s="1"/>
  <c r="K8342" s="1"/>
  <c r="G8341"/>
  <c r="H8341" s="1"/>
  <c r="K8341" s="1"/>
  <c r="G8340"/>
  <c r="H8340" s="1"/>
  <c r="K8340" s="1"/>
  <c r="G8339"/>
  <c r="H8339" s="1"/>
  <c r="K8339" s="1"/>
  <c r="G8338"/>
  <c r="H8338" s="1"/>
  <c r="K8338" s="1"/>
  <c r="G8337"/>
  <c r="H8337" s="1"/>
  <c r="K8337" s="1"/>
  <c r="G8336"/>
  <c r="H8336" s="1"/>
  <c r="K8336" s="1"/>
  <c r="G8335"/>
  <c r="H8335" s="1"/>
  <c r="K8335" s="1"/>
  <c r="G8334"/>
  <c r="H8334" s="1"/>
  <c r="K8334" s="1"/>
  <c r="G8333"/>
  <c r="H8333" s="1"/>
  <c r="K8333" s="1"/>
  <c r="G8332"/>
  <c r="H8332" s="1"/>
  <c r="K8332" s="1"/>
  <c r="G8331"/>
  <c r="H8331" s="1"/>
  <c r="K8331" s="1"/>
  <c r="G8330"/>
  <c r="H8330" s="1"/>
  <c r="K8330" s="1"/>
  <c r="G8329"/>
  <c r="H8329" s="1"/>
  <c r="K8329" s="1"/>
  <c r="G8328"/>
  <c r="H8328" s="1"/>
  <c r="K8328" s="1"/>
  <c r="G8327"/>
  <c r="H8327" s="1"/>
  <c r="K8327" s="1"/>
  <c r="G8326"/>
  <c r="H8326" s="1"/>
  <c r="K8326" s="1"/>
  <c r="G8325"/>
  <c r="H8325" s="1"/>
  <c r="K8325" s="1"/>
  <c r="G8324"/>
  <c r="H8324" s="1"/>
  <c r="K8324" s="1"/>
  <c r="G8323"/>
  <c r="H8323" s="1"/>
  <c r="K8323" s="1"/>
  <c r="G8322"/>
  <c r="H8322" s="1"/>
  <c r="K8322" s="1"/>
  <c r="G8321"/>
  <c r="H8321" s="1"/>
  <c r="K8321" s="1"/>
  <c r="G8320"/>
  <c r="H8320" s="1"/>
  <c r="K8320" s="1"/>
  <c r="G8319"/>
  <c r="H8319" s="1"/>
  <c r="K8319" s="1"/>
  <c r="G8318"/>
  <c r="H8318" s="1"/>
  <c r="K8318" s="1"/>
  <c r="G8317"/>
  <c r="H8317" s="1"/>
  <c r="K8317" s="1"/>
  <c r="G8316"/>
  <c r="H8316" s="1"/>
  <c r="K8316" s="1"/>
  <c r="G8315"/>
  <c r="H8315" s="1"/>
  <c r="K8315" s="1"/>
  <c r="G8314"/>
  <c r="H8314" s="1"/>
  <c r="K8314" s="1"/>
  <c r="G8313"/>
  <c r="H8313" s="1"/>
  <c r="K8313" s="1"/>
  <c r="G8312"/>
  <c r="H8312" s="1"/>
  <c r="K8312" s="1"/>
  <c r="G8311"/>
  <c r="H8311" s="1"/>
  <c r="K8311" s="1"/>
  <c r="G8310"/>
  <c r="H8310" s="1"/>
  <c r="K8310" s="1"/>
  <c r="G8309"/>
  <c r="H8309" s="1"/>
  <c r="K8309" s="1"/>
  <c r="G8308"/>
  <c r="H8308" s="1"/>
  <c r="K8308" s="1"/>
  <c r="G8307"/>
  <c r="H8307" s="1"/>
  <c r="K8307" s="1"/>
  <c r="G8306"/>
  <c r="H8306" s="1"/>
  <c r="K8306" s="1"/>
  <c r="G8305"/>
  <c r="H8305" s="1"/>
  <c r="K8305" s="1"/>
  <c r="G8304"/>
  <c r="H8304" s="1"/>
  <c r="K8304" s="1"/>
  <c r="G8303"/>
  <c r="H8303" s="1"/>
  <c r="K8303" s="1"/>
  <c r="G8302"/>
  <c r="H8302" s="1"/>
  <c r="K8302" s="1"/>
  <c r="G8301"/>
  <c r="H8301" s="1"/>
  <c r="K8301" s="1"/>
  <c r="G8300"/>
  <c r="H8300" s="1"/>
  <c r="K8300" s="1"/>
  <c r="G8299"/>
  <c r="H8299" s="1"/>
  <c r="K8299" s="1"/>
  <c r="G8298"/>
  <c r="H8298" s="1"/>
  <c r="K8298" s="1"/>
  <c r="G8297"/>
  <c r="H8297" s="1"/>
  <c r="K8297" s="1"/>
  <c r="G8296"/>
  <c r="H8296" s="1"/>
  <c r="K8296" s="1"/>
  <c r="G8295"/>
  <c r="H8295" s="1"/>
  <c r="K8295" s="1"/>
  <c r="G8294"/>
  <c r="H8294" s="1"/>
  <c r="K8294" s="1"/>
  <c r="G8293"/>
  <c r="H8293" s="1"/>
  <c r="K8293" s="1"/>
  <c r="G8292"/>
  <c r="H8292" s="1"/>
  <c r="K8292" s="1"/>
  <c r="G8291"/>
  <c r="H8291" s="1"/>
  <c r="K8291" s="1"/>
  <c r="G8290"/>
  <c r="H8290" s="1"/>
  <c r="K8290" s="1"/>
  <c r="G8289"/>
  <c r="H8289" s="1"/>
  <c r="K8289" s="1"/>
  <c r="G8288"/>
  <c r="H8288" s="1"/>
  <c r="K8288" s="1"/>
  <c r="G8287"/>
  <c r="H8287" s="1"/>
  <c r="K8287" s="1"/>
  <c r="G8286"/>
  <c r="H8286" s="1"/>
  <c r="K8286" s="1"/>
  <c r="G8285"/>
  <c r="H8285" s="1"/>
  <c r="K8285" s="1"/>
  <c r="G8284"/>
  <c r="H8284" s="1"/>
  <c r="K8284" s="1"/>
  <c r="G8283"/>
  <c r="H8283" s="1"/>
  <c r="K8283" s="1"/>
  <c r="G8282"/>
  <c r="H8282" s="1"/>
  <c r="G8281"/>
  <c r="H8281" s="1"/>
  <c r="K8281" s="1"/>
  <c r="G8280"/>
  <c r="H8280" s="1"/>
  <c r="K8280" s="1"/>
  <c r="G8279"/>
  <c r="H8279" s="1"/>
  <c r="K8279" s="1"/>
  <c r="G8278"/>
  <c r="H8278" s="1"/>
  <c r="K8278" s="1"/>
  <c r="G8277"/>
  <c r="H8277" s="1"/>
  <c r="K8277" s="1"/>
  <c r="G8276"/>
  <c r="H8276" s="1"/>
  <c r="K8276" s="1"/>
  <c r="G8275"/>
  <c r="H8275" s="1"/>
  <c r="K8275" s="1"/>
  <c r="G8274"/>
  <c r="H8274" s="1"/>
  <c r="K8274" s="1"/>
  <c r="G8273"/>
  <c r="H8273" s="1"/>
  <c r="K8273" s="1"/>
  <c r="G8272"/>
  <c r="H8272" s="1"/>
  <c r="K8272" s="1"/>
  <c r="G8271"/>
  <c r="H8271" s="1"/>
  <c r="K8271" s="1"/>
  <c r="G8270"/>
  <c r="H8270" s="1"/>
  <c r="K8270" s="1"/>
  <c r="G8269"/>
  <c r="H8269" s="1"/>
  <c r="K8269" s="1"/>
  <c r="G8268"/>
  <c r="H8268" s="1"/>
  <c r="K8268" s="1"/>
  <c r="G8267"/>
  <c r="H8267" s="1"/>
  <c r="K8267" s="1"/>
  <c r="G8266"/>
  <c r="H8266" s="1"/>
  <c r="K8266" s="1"/>
  <c r="G8265"/>
  <c r="H8265" s="1"/>
  <c r="K8265" s="1"/>
  <c r="G8264"/>
  <c r="H8264" s="1"/>
  <c r="K8264" s="1"/>
  <c r="G8263"/>
  <c r="H8263" s="1"/>
  <c r="K8263" s="1"/>
  <c r="G8262"/>
  <c r="H8262" s="1"/>
  <c r="K8262" s="1"/>
  <c r="G8261"/>
  <c r="H8261" s="1"/>
  <c r="K8261" s="1"/>
  <c r="G8260"/>
  <c r="H8260" s="1"/>
  <c r="K8260" s="1"/>
  <c r="G8259"/>
  <c r="H8259" s="1"/>
  <c r="K8259" s="1"/>
  <c r="G8258"/>
  <c r="H8258" s="1"/>
  <c r="K8258" s="1"/>
  <c r="G8257"/>
  <c r="H8257" s="1"/>
  <c r="K8257" s="1"/>
  <c r="G8256"/>
  <c r="H8256" s="1"/>
  <c r="K8256" s="1"/>
  <c r="G8255"/>
  <c r="H8255" s="1"/>
  <c r="K8255" s="1"/>
  <c r="G8254"/>
  <c r="H8254" s="1"/>
  <c r="K8254" s="1"/>
  <c r="G8253"/>
  <c r="H8253" s="1"/>
  <c r="K8253" s="1"/>
  <c r="G8252"/>
  <c r="H8252" s="1"/>
  <c r="K8252" s="1"/>
  <c r="G8251"/>
  <c r="H8251" s="1"/>
  <c r="K8251" s="1"/>
  <c r="G8250"/>
  <c r="H8250" s="1"/>
  <c r="K8250" s="1"/>
  <c r="G8249"/>
  <c r="H8249" s="1"/>
  <c r="K8249" s="1"/>
  <c r="G8248"/>
  <c r="H8248" s="1"/>
  <c r="K8248" s="1"/>
  <c r="G8247"/>
  <c r="H8247" s="1"/>
  <c r="K8247" s="1"/>
  <c r="G8246"/>
  <c r="H8246" s="1"/>
  <c r="K8246" s="1"/>
  <c r="G8245"/>
  <c r="H8245" s="1"/>
  <c r="K8245" s="1"/>
  <c r="G8244"/>
  <c r="H8244" s="1"/>
  <c r="K8244" s="1"/>
  <c r="G8243"/>
  <c r="H8243" s="1"/>
  <c r="K8243" s="1"/>
  <c r="G8242"/>
  <c r="H8242" s="1"/>
  <c r="K8242" s="1"/>
  <c r="G8241"/>
  <c r="H8241" s="1"/>
  <c r="K8241" s="1"/>
  <c r="G8240"/>
  <c r="H8240" s="1"/>
  <c r="K8240" s="1"/>
  <c r="G8239"/>
  <c r="H8239" s="1"/>
  <c r="K8239" s="1"/>
  <c r="G8238"/>
  <c r="H8238" s="1"/>
  <c r="K8238" s="1"/>
  <c r="G8237"/>
  <c r="H8237" s="1"/>
  <c r="K8237" s="1"/>
  <c r="G8236"/>
  <c r="H8236" s="1"/>
  <c r="K8236" s="1"/>
  <c r="G8235"/>
  <c r="H8235" s="1"/>
  <c r="K8235" s="1"/>
  <c r="G8234"/>
  <c r="H8234" s="1"/>
  <c r="K8234" s="1"/>
  <c r="G8233"/>
  <c r="H8233" s="1"/>
  <c r="K8233" s="1"/>
  <c r="G8232"/>
  <c r="H8232" s="1"/>
  <c r="K8232" s="1"/>
  <c r="G8231"/>
  <c r="H8231" s="1"/>
  <c r="K8231" s="1"/>
  <c r="G8230"/>
  <c r="H8230" s="1"/>
  <c r="K8230" s="1"/>
  <c r="G8229"/>
  <c r="H8229" s="1"/>
  <c r="K8229" s="1"/>
  <c r="G8228"/>
  <c r="H8228" s="1"/>
  <c r="K8228" s="1"/>
  <c r="G8227"/>
  <c r="H8227" s="1"/>
  <c r="K8227" s="1"/>
  <c r="G8226"/>
  <c r="H8226" s="1"/>
  <c r="K8226" s="1"/>
  <c r="G8225"/>
  <c r="H8225" s="1"/>
  <c r="K8225" s="1"/>
  <c r="G8224"/>
  <c r="H8224" s="1"/>
  <c r="K8224" s="1"/>
  <c r="G8223"/>
  <c r="H8223" s="1"/>
  <c r="K8223" s="1"/>
  <c r="G8222"/>
  <c r="H8222" s="1"/>
  <c r="K8222" s="1"/>
  <c r="G8221"/>
  <c r="H8221" s="1"/>
  <c r="K8221" s="1"/>
  <c r="G8220"/>
  <c r="H8220" s="1"/>
  <c r="K8220" s="1"/>
  <c r="G8219"/>
  <c r="H8219" s="1"/>
  <c r="K8219" s="1"/>
  <c r="G8218"/>
  <c r="H8218" s="1"/>
  <c r="K8218" s="1"/>
  <c r="G8217"/>
  <c r="H8217" s="1"/>
  <c r="K8217" s="1"/>
  <c r="G8216"/>
  <c r="H8216" s="1"/>
  <c r="K8216" s="1"/>
  <c r="G8215"/>
  <c r="H8215" s="1"/>
  <c r="K8215" s="1"/>
  <c r="G8214"/>
  <c r="H8214" s="1"/>
  <c r="K8214" s="1"/>
  <c r="G8213"/>
  <c r="H8213" s="1"/>
  <c r="K8213" s="1"/>
  <c r="G8212"/>
  <c r="H8212" s="1"/>
  <c r="K8212" s="1"/>
  <c r="G8211"/>
  <c r="H8211" s="1"/>
  <c r="K8211" s="1"/>
  <c r="G8210"/>
  <c r="H8210" s="1"/>
  <c r="K8210" s="1"/>
  <c r="G8209"/>
  <c r="H8209" s="1"/>
  <c r="K8209" s="1"/>
  <c r="G8208"/>
  <c r="H8208" s="1"/>
  <c r="K8208" s="1"/>
  <c r="G8207"/>
  <c r="H8207" s="1"/>
  <c r="K8207" s="1"/>
  <c r="G8206"/>
  <c r="H8206" s="1"/>
  <c r="K8206" s="1"/>
  <c r="G8205"/>
  <c r="H8205" s="1"/>
  <c r="K8205" s="1"/>
  <c r="G8204"/>
  <c r="H8204" s="1"/>
  <c r="K8204" s="1"/>
  <c r="G8203"/>
  <c r="H8203" s="1"/>
  <c r="K8203" s="1"/>
  <c r="G8202"/>
  <c r="H8202" s="1"/>
  <c r="K8202" s="1"/>
  <c r="G8201"/>
  <c r="H8201" s="1"/>
  <c r="K8201" s="1"/>
  <c r="G8200"/>
  <c r="H8200" s="1"/>
  <c r="K8200" s="1"/>
  <c r="G8199"/>
  <c r="H8199" s="1"/>
  <c r="K8199" s="1"/>
  <c r="G8198"/>
  <c r="H8198" s="1"/>
  <c r="K8198" s="1"/>
  <c r="G8197"/>
  <c r="H8197" s="1"/>
  <c r="K8197" s="1"/>
  <c r="G8196"/>
  <c r="H8196" s="1"/>
  <c r="K8196" s="1"/>
  <c r="G8195"/>
  <c r="H8195" s="1"/>
  <c r="K8195" s="1"/>
  <c r="G8194"/>
  <c r="H8194" s="1"/>
  <c r="K8194" s="1"/>
  <c r="G8193"/>
  <c r="H8193" s="1"/>
  <c r="K8193" s="1"/>
  <c r="G8192"/>
  <c r="H8192" s="1"/>
  <c r="K8192" s="1"/>
  <c r="G8191"/>
  <c r="H8191" s="1"/>
  <c r="K8191" s="1"/>
  <c r="G8190"/>
  <c r="H8190" s="1"/>
  <c r="K8190" s="1"/>
  <c r="G8189"/>
  <c r="H8189" s="1"/>
  <c r="K8189" s="1"/>
  <c r="G8188"/>
  <c r="H8188" s="1"/>
  <c r="K8188" s="1"/>
  <c r="G8187"/>
  <c r="H8187" s="1"/>
  <c r="K8187" s="1"/>
  <c r="G8186"/>
  <c r="H8186" s="1"/>
  <c r="K8186" s="1"/>
  <c r="G8185"/>
  <c r="H8185" s="1"/>
  <c r="K8185" s="1"/>
  <c r="G8184"/>
  <c r="H8184" s="1"/>
  <c r="K8184" s="1"/>
  <c r="G8183"/>
  <c r="H8183" s="1"/>
  <c r="K8183" s="1"/>
  <c r="G8182"/>
  <c r="H8182" s="1"/>
  <c r="K8182" s="1"/>
  <c r="G8181"/>
  <c r="H8181" s="1"/>
  <c r="K8181" s="1"/>
  <c r="G8180"/>
  <c r="H8180" s="1"/>
  <c r="K8180" s="1"/>
  <c r="G8179"/>
  <c r="H8179" s="1"/>
  <c r="K8179" s="1"/>
  <c r="G8178"/>
  <c r="H8178" s="1"/>
  <c r="K8178" s="1"/>
  <c r="G8177"/>
  <c r="H8177" s="1"/>
  <c r="K8177" s="1"/>
  <c r="G8176"/>
  <c r="H8176" s="1"/>
  <c r="K8176" s="1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594"/>
  <c r="K8592"/>
  <c r="K8590"/>
  <c r="K8586"/>
  <c r="K8584"/>
  <c r="K8576"/>
  <c r="K8570"/>
  <c r="K8568"/>
  <c r="K8563"/>
  <c r="K8562"/>
  <c r="K8560"/>
  <c r="K8559"/>
  <c r="K8554"/>
  <c r="K8552"/>
  <c r="K8546"/>
  <c r="K8544"/>
  <c r="K8538"/>
  <c r="K8536"/>
  <c r="K8530"/>
  <c r="K8520"/>
  <c r="K8506"/>
  <c r="K8498"/>
  <c r="K8378"/>
  <c r="K8362"/>
  <c r="K8282"/>
  <c r="H8391" l="1"/>
  <c r="K8391" s="1"/>
  <c r="H8399"/>
  <c r="K8399" s="1"/>
  <c r="H8407"/>
  <c r="K8407" s="1"/>
  <c r="H8415"/>
  <c r="K8415" s="1"/>
  <c r="H8423"/>
  <c r="K8423" s="1"/>
  <c r="H8430"/>
  <c r="K8430" s="1"/>
  <c r="H8438"/>
  <c r="K8438" s="1"/>
  <c r="H8446"/>
  <c r="K8446" s="1"/>
  <c r="H8454"/>
  <c r="K8454" s="1"/>
  <c r="H8462"/>
  <c r="K8462" s="1"/>
  <c r="H8470"/>
  <c r="K8470" s="1"/>
  <c r="H8478"/>
  <c r="K8478" s="1"/>
  <c r="H8486"/>
  <c r="K8486" s="1"/>
  <c r="H8390"/>
  <c r="K8390" s="1"/>
  <c r="H8398"/>
  <c r="K8398" s="1"/>
  <c r="H8406"/>
  <c r="K8406" s="1"/>
  <c r="H8414"/>
  <c r="K8414" s="1"/>
  <c r="H8422"/>
  <c r="K8422" s="1"/>
  <c r="H8429"/>
  <c r="K8429" s="1"/>
  <c r="H8437"/>
  <c r="K8437" s="1"/>
  <c r="H8445"/>
  <c r="K8445" s="1"/>
  <c r="H8453"/>
  <c r="K8453" s="1"/>
  <c r="H8461"/>
  <c r="K8461" s="1"/>
  <c r="H8469"/>
  <c r="K8469" s="1"/>
  <c r="H8477"/>
  <c r="K8477" s="1"/>
  <c r="H8485"/>
  <c r="K8485" s="1"/>
  <c r="H8389"/>
  <c r="K8389" s="1"/>
  <c r="H8397"/>
  <c r="K8397" s="1"/>
  <c r="H8405"/>
  <c r="K8405" s="1"/>
  <c r="H8413"/>
  <c r="K8413" s="1"/>
  <c r="H8421"/>
  <c r="K8421" s="1"/>
  <c r="H8428"/>
  <c r="K8428" s="1"/>
  <c r="H8436"/>
  <c r="K8436" s="1"/>
  <c r="H8444"/>
  <c r="K8444" s="1"/>
  <c r="H8452"/>
  <c r="K8452" s="1"/>
  <c r="H8460"/>
  <c r="K8460" s="1"/>
  <c r="H8468"/>
  <c r="K8468" s="1"/>
  <c r="H8476"/>
  <c r="K8476" s="1"/>
  <c r="H8484"/>
  <c r="K8484" s="1"/>
  <c r="H8388"/>
  <c r="K8388" s="1"/>
  <c r="H8396"/>
  <c r="K8396" s="1"/>
  <c r="H8404"/>
  <c r="K8404" s="1"/>
  <c r="H8412"/>
  <c r="K8412" s="1"/>
  <c r="H8420"/>
  <c r="K8420" s="1"/>
  <c r="H8427"/>
  <c r="K8427" s="1"/>
  <c r="H8435"/>
  <c r="K8435" s="1"/>
  <c r="H8443"/>
  <c r="K8443" s="1"/>
  <c r="H8451"/>
  <c r="K8451" s="1"/>
  <c r="H8459"/>
  <c r="K8459" s="1"/>
  <c r="H8467"/>
  <c r="K8467" s="1"/>
  <c r="H8475"/>
  <c r="K8475" s="1"/>
  <c r="H8483"/>
  <c r="K8483" s="1"/>
  <c r="H8491"/>
  <c r="K8491" s="1"/>
  <c r="H8387"/>
  <c r="K8387" s="1"/>
  <c r="H8395"/>
  <c r="K8395" s="1"/>
  <c r="H8403"/>
  <c r="K8403" s="1"/>
  <c r="H8411"/>
  <c r="K8411" s="1"/>
  <c r="H8419"/>
  <c r="K8419" s="1"/>
  <c r="H8426"/>
  <c r="K8426" s="1"/>
  <c r="H8434"/>
  <c r="K8434" s="1"/>
  <c r="H8442"/>
  <c r="K8442" s="1"/>
  <c r="H8450"/>
  <c r="K8450" s="1"/>
  <c r="H8458"/>
  <c r="K8458" s="1"/>
  <c r="H8466"/>
  <c r="K8466" s="1"/>
  <c r="H8474"/>
  <c r="K8474" s="1"/>
  <c r="H8482"/>
  <c r="K8482" s="1"/>
  <c r="H8490"/>
  <c r="K8490" s="1"/>
  <c r="H8386"/>
  <c r="K8386" s="1"/>
  <c r="H8394"/>
  <c r="K8394" s="1"/>
  <c r="H8402"/>
  <c r="K8402" s="1"/>
  <c r="H8410"/>
  <c r="K8410" s="1"/>
  <c r="H8418"/>
  <c r="K8418" s="1"/>
  <c r="H8425"/>
  <c r="K8425" s="1"/>
  <c r="H8433"/>
  <c r="K8433" s="1"/>
  <c r="H8441"/>
  <c r="K8441" s="1"/>
  <c r="H8449"/>
  <c r="K8449" s="1"/>
  <c r="H8457"/>
  <c r="K8457" s="1"/>
  <c r="H8465"/>
  <c r="K8465" s="1"/>
  <c r="H8473"/>
  <c r="K8473" s="1"/>
  <c r="H8481"/>
  <c r="K8481" s="1"/>
  <c r="H8489"/>
  <c r="K8489" s="1"/>
  <c r="H8393"/>
  <c r="K8393" s="1"/>
  <c r="H8401"/>
  <c r="K8401" s="1"/>
  <c r="H8409"/>
  <c r="K8409" s="1"/>
  <c r="H8417"/>
  <c r="K8417" s="1"/>
  <c r="H8424"/>
  <c r="K8424" s="1"/>
  <c r="H8432"/>
  <c r="K8432" s="1"/>
  <c r="H8440"/>
  <c r="K8440" s="1"/>
  <c r="H8448"/>
  <c r="K8448" s="1"/>
  <c r="H8456"/>
  <c r="K8456" s="1"/>
  <c r="H8464"/>
  <c r="K8464" s="1"/>
  <c r="H8472"/>
  <c r="K8472" s="1"/>
  <c r="H8480"/>
  <c r="K8480" s="1"/>
  <c r="H8488"/>
  <c r="K8488" s="1"/>
  <c r="H8392"/>
  <c r="K8392" s="1"/>
  <c r="H8400"/>
  <c r="K8400" s="1"/>
  <c r="H8408"/>
  <c r="K8408" s="1"/>
  <c r="H8416"/>
  <c r="K8416" s="1"/>
  <c r="H8431"/>
  <c r="K8431" s="1"/>
  <c r="H8439"/>
  <c r="K8439" s="1"/>
  <c r="H8447"/>
  <c r="K8447" s="1"/>
  <c r="H8455"/>
  <c r="K8455" s="1"/>
  <c r="H8463"/>
  <c r="K8463" s="1"/>
  <c r="H8471"/>
  <c r="K8471" s="1"/>
  <c r="H8479"/>
  <c r="K8479" s="1"/>
  <c r="H8487"/>
  <c r="K8487" s="1"/>
  <c r="H8132"/>
  <c r="K8132" s="1"/>
  <c r="H8073"/>
  <c r="H8081"/>
  <c r="K8081" s="1"/>
  <c r="H8089"/>
  <c r="H8096"/>
  <c r="H8103"/>
  <c r="K8103" s="1"/>
  <c r="H8110"/>
  <c r="K8110" s="1"/>
  <c r="H8117"/>
  <c r="H8125"/>
  <c r="H8138"/>
  <c r="H8146"/>
  <c r="H8154"/>
  <c r="K8154" s="1"/>
  <c r="H8162"/>
  <c r="K8162" s="1"/>
  <c r="H8170"/>
  <c r="H8104"/>
  <c r="H8171"/>
  <c r="K8171" s="1"/>
  <c r="H8072"/>
  <c r="K8072" s="1"/>
  <c r="H8080"/>
  <c r="K8080" s="1"/>
  <c r="H8088"/>
  <c r="K8088" s="1"/>
  <c r="H8102"/>
  <c r="K8102" s="1"/>
  <c r="H8109"/>
  <c r="K8109" s="1"/>
  <c r="H8116"/>
  <c r="K8116" s="1"/>
  <c r="H8124"/>
  <c r="K8124" s="1"/>
  <c r="H8131"/>
  <c r="K8131" s="1"/>
  <c r="H8137"/>
  <c r="K8137" s="1"/>
  <c r="H8145"/>
  <c r="K8145" s="1"/>
  <c r="H8153"/>
  <c r="K8153" s="1"/>
  <c r="H8161"/>
  <c r="K8161" s="1"/>
  <c r="H8169"/>
  <c r="K8169" s="1"/>
  <c r="H8097"/>
  <c r="K8097" s="1"/>
  <c r="H8163"/>
  <c r="K8163" s="1"/>
  <c r="H8079"/>
  <c r="K8079" s="1"/>
  <c r="H8087"/>
  <c r="K8087" s="1"/>
  <c r="H8095"/>
  <c r="K8095" s="1"/>
  <c r="H8101"/>
  <c r="K8101" s="1"/>
  <c r="H8108"/>
  <c r="K8108" s="1"/>
  <c r="H8115"/>
  <c r="K8115" s="1"/>
  <c r="H8123"/>
  <c r="K8123" s="1"/>
  <c r="H8130"/>
  <c r="K8130" s="1"/>
  <c r="H8136"/>
  <c r="K8136" s="1"/>
  <c r="H8144"/>
  <c r="K8144" s="1"/>
  <c r="H8152"/>
  <c r="K8152" s="1"/>
  <c r="H8160"/>
  <c r="K8160" s="1"/>
  <c r="H8168"/>
  <c r="K8168" s="1"/>
  <c r="H8090"/>
  <c r="H8155"/>
  <c r="H8078"/>
  <c r="H8086"/>
  <c r="K8086" s="1"/>
  <c r="H8094"/>
  <c r="H8114"/>
  <c r="H8122"/>
  <c r="H8129"/>
  <c r="H8143"/>
  <c r="H8151"/>
  <c r="K8151" s="1"/>
  <c r="H8159"/>
  <c r="H8167"/>
  <c r="H8175"/>
  <c r="H8147"/>
  <c r="H8077"/>
  <c r="K8077" s="1"/>
  <c r="H8085"/>
  <c r="K8085" s="1"/>
  <c r="H8093"/>
  <c r="K8093" s="1"/>
  <c r="H8100"/>
  <c r="K8100" s="1"/>
  <c r="H8107"/>
  <c r="K8107" s="1"/>
  <c r="H8113"/>
  <c r="K8113" s="1"/>
  <c r="H8121"/>
  <c r="K8121" s="1"/>
  <c r="H8135"/>
  <c r="K8135" s="1"/>
  <c r="H8142"/>
  <c r="K8142" s="1"/>
  <c r="H8150"/>
  <c r="K8150" s="1"/>
  <c r="H8158"/>
  <c r="K8158" s="1"/>
  <c r="H8166"/>
  <c r="K8166" s="1"/>
  <c r="H8174"/>
  <c r="K8174" s="1"/>
  <c r="H8074"/>
  <c r="K8074" s="1"/>
  <c r="H8118"/>
  <c r="H8139"/>
  <c r="H8076"/>
  <c r="K8076" s="1"/>
  <c r="H8084"/>
  <c r="K8084" s="1"/>
  <c r="H8092"/>
  <c r="K8092" s="1"/>
  <c r="H8099"/>
  <c r="K8099" s="1"/>
  <c r="H8106"/>
  <c r="K8106" s="1"/>
  <c r="H8112"/>
  <c r="K8112" s="1"/>
  <c r="H8120"/>
  <c r="K8120" s="1"/>
  <c r="H8128"/>
  <c r="K8128" s="1"/>
  <c r="H8134"/>
  <c r="K8134" s="1"/>
  <c r="H8141"/>
  <c r="K8141" s="1"/>
  <c r="H8149"/>
  <c r="K8149" s="1"/>
  <c r="H8157"/>
  <c r="K8157" s="1"/>
  <c r="H8165"/>
  <c r="K8165" s="1"/>
  <c r="H8173"/>
  <c r="K8173" s="1"/>
  <c r="H8082"/>
  <c r="H8126"/>
  <c r="K8126" s="1"/>
  <c r="H8075"/>
  <c r="K8075" s="1"/>
  <c r="H8083"/>
  <c r="K8083" s="1"/>
  <c r="H8091"/>
  <c r="K8091" s="1"/>
  <c r="H8098"/>
  <c r="K8098" s="1"/>
  <c r="H8105"/>
  <c r="K8105" s="1"/>
  <c r="H8111"/>
  <c r="K8111" s="1"/>
  <c r="H8119"/>
  <c r="K8119" s="1"/>
  <c r="H8127"/>
  <c r="K8127" s="1"/>
  <c r="H8133"/>
  <c r="K8133" s="1"/>
  <c r="H8140"/>
  <c r="K8140" s="1"/>
  <c r="H8148"/>
  <c r="K8148" s="1"/>
  <c r="H8156"/>
  <c r="K8156" s="1"/>
  <c r="H8164"/>
  <c r="K8164" s="1"/>
  <c r="H8172"/>
  <c r="K8172" s="1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089" l="1"/>
  <c r="K8096"/>
  <c r="K8090"/>
  <c r="K8170"/>
  <c r="K8129"/>
  <c r="K8117"/>
  <c r="K8159"/>
  <c r="K8147"/>
  <c r="K8078"/>
  <c r="K8114"/>
  <c r="K8143"/>
  <c r="K8082"/>
  <c r="K8175"/>
  <c r="K8138"/>
  <c r="K8167"/>
  <c r="K8125"/>
  <c r="K8094"/>
  <c r="K8155"/>
  <c r="K8139"/>
  <c r="K8122"/>
  <c r="K8104"/>
  <c r="K8073"/>
  <c r="K8118"/>
  <c r="K8146"/>
</calcChain>
</file>

<file path=xl/sharedStrings.xml><?xml version="1.0" encoding="utf-8"?>
<sst xmlns="http://schemas.openxmlformats.org/spreadsheetml/2006/main" count="38925" uniqueCount="227">
  <si>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</si>
  <si>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</si>
  <si>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</si>
  <si>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</si>
  <si>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</si>
  <si>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</si>
  <si>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</si>
  <si>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</si>
  <si>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</si>
  <si>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</si>
  <si>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</si>
  <si>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</si>
  <si>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</si>
  <si>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</si>
  <si>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</si>
  <si>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</si>
  <si>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</si>
  <si>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</si>
  <si>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</si>
  <si>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</si>
  <si>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</si>
  <si>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</si>
  <si>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</si>
  <si>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</si>
  <si>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</si>
  <si>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</si>
  <si>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</si>
  <si>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</si>
  <si>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</si>
  <si>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</si>
  <si>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</si>
  <si>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</si>
  <si>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</si>
  <si>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</si>
  <si>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</si>
  <si>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</si>
  <si>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</si>
  <si>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</si>
  <si>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</si>
  <si>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</si>
  <si>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</si>
  <si>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</si>
  <si>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</si>
  <si>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</si>
  <si>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</si>
  <si>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</si>
  <si>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</si>
  <si>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</si>
  <si>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</si>
  <si>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</si>
  <si>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</si>
  <si>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</si>
  <si>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</si>
  <si>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</si>
  <si>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</si>
  <si>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</si>
  <si>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</si>
  <si>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</si>
  <si>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</si>
  <si>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</si>
  <si>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</si>
  <si>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</si>
  <si>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</si>
  <si>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</si>
  <si>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</si>
  <si>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</si>
  <si>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</si>
  <si>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</si>
  <si>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</si>
  <si>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</si>
  <si>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</si>
  <si>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</si>
  <si>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</si>
  <si>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</si>
  <si>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</si>
  <si>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</si>
  <si>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</si>
  <si>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</si>
  <si>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</si>
  <si>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</si>
  <si>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</si>
  <si>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</si>
  <si>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</si>
  <si>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</si>
  <si>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</si>
  <si>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</si>
  <si>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</si>
  <si>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</si>
  <si>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</si>
  <si>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</si>
  <si>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</si>
  <si>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</si>
  <si>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</si>
  <si>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</si>
  <si>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</si>
  <si>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</si>
  <si>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</si>
  <si>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</si>
  <si>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</si>
  <si>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</si>
  <si>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</si>
  <si>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</si>
  <si>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</si>
  <si>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</si>
  <si>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</si>
  <si>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</si>
  <si>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</si>
  <si>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</si>
  <si>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</si>
  <si>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</si>
  <si>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</si>
  <si>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</si>
  <si>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</si>
  <si>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</si>
  <si>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</si>
  <si>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</si>
  <si>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</si>
  <si>
    <t>021PISTACHIO KISS</t>
  </si>
  <si>
    <t>002SOMERSET</t>
  </si>
  <si>
    <t>004BELLINA</t>
  </si>
  <si>
    <t>005ELBA</t>
  </si>
  <si>
    <t>005HOT BUBBLES</t>
  </si>
  <si>
    <t>005SUSPIRO</t>
  </si>
  <si>
    <t>007SNOW BUBBLES</t>
  </si>
  <si>
    <t>009HOT BUBBLES</t>
  </si>
  <si>
    <t>014FRUITY BUBBLES</t>
  </si>
  <si>
    <t>015FELLINI</t>
  </si>
  <si>
    <t>016GOOD PEACH</t>
  </si>
  <si>
    <t>016GOOD YELLOW</t>
  </si>
  <si>
    <t>017ORANGE STAR</t>
  </si>
  <si>
    <t>018COSMO</t>
  </si>
  <si>
    <t>018RUBICON</t>
  </si>
  <si>
    <t>019BELLINA</t>
  </si>
  <si>
    <t>020SUMMER DANCE</t>
  </si>
  <si>
    <t>021ELEGANT ROSEVER</t>
  </si>
  <si>
    <t>021FLAME CLUB</t>
  </si>
  <si>
    <t>021KELLY</t>
  </si>
  <si>
    <t>021LEILA</t>
  </si>
  <si>
    <t>021SNOW BUBBLES</t>
  </si>
  <si>
    <t>022FRUITY BUBBLES</t>
  </si>
  <si>
    <t>022GOOD PEACH</t>
  </si>
  <si>
    <t>022MIRABEL</t>
  </si>
  <si>
    <t>026PURPLE BUBBLY</t>
  </si>
  <si>
    <t>030MIRABEL</t>
  </si>
  <si>
    <t>030SOMERSET</t>
  </si>
  <si>
    <t>03182989</t>
  </si>
  <si>
    <t>031RUBICON</t>
  </si>
  <si>
    <t>031SOMERSET</t>
  </si>
  <si>
    <t>031VELVET BLOSSOMS</t>
  </si>
  <si>
    <t>032ELBA</t>
  </si>
  <si>
    <t>032MIRABEL</t>
  </si>
  <si>
    <t>033CREAMY FOLIES</t>
  </si>
  <si>
    <t>033HOT BUBBLES</t>
  </si>
  <si>
    <t>001BELIEVE IN PINK</t>
  </si>
  <si>
    <t>001EXPLORER</t>
  </si>
  <si>
    <t>001GRACE KELLY</t>
  </si>
  <si>
    <t>001IDOLE</t>
  </si>
  <si>
    <t>001LIGHT HOUSE</t>
  </si>
  <si>
    <t>001LUMIA</t>
  </si>
  <si>
    <t>001MOMENTUM</t>
  </si>
  <si>
    <t>002SUMMER ROMANCE</t>
  </si>
  <si>
    <t>002SWEETNESS</t>
  </si>
  <si>
    <t>003CABARET</t>
  </si>
  <si>
    <t>003DEEP PURPLE</t>
  </si>
  <si>
    <t>003EXPLORER</t>
  </si>
  <si>
    <t>003JOCKER</t>
  </si>
  <si>
    <t>003QUICKSAND</t>
  </si>
  <si>
    <t>004COTOPAXI</t>
  </si>
  <si>
    <t>004DEEP PURPLE</t>
  </si>
  <si>
    <t>004HOT EXPLORER</t>
  </si>
  <si>
    <t>004HOT MERENGUE</t>
  </si>
  <si>
    <t>004SWEETNESS</t>
  </si>
  <si>
    <t>005EXPLORER</t>
  </si>
  <si>
    <t>005GOLDFINCH</t>
  </si>
  <si>
    <t>005JOCKER</t>
  </si>
  <si>
    <t>005VENDELA</t>
  </si>
  <si>
    <t>006ATOMIC</t>
  </si>
  <si>
    <t>006EXPLORER</t>
  </si>
  <si>
    <t>006MONDIAL</t>
  </si>
  <si>
    <t>007COTOPAXI</t>
  </si>
  <si>
    <t>007REDIANT</t>
  </si>
  <si>
    <t>007SUMMER ROMANCE</t>
  </si>
  <si>
    <t>007VENDELA</t>
  </si>
  <si>
    <t>008DEEP PURPLE</t>
  </si>
  <si>
    <t>008FREEDOM</t>
  </si>
  <si>
    <t>008JOCKER</t>
  </si>
  <si>
    <t>008LUMIA</t>
  </si>
  <si>
    <t>010COOLDOWN</t>
  </si>
  <si>
    <t>010VIOLET HILL</t>
  </si>
  <si>
    <t>011BRIGHTON</t>
  </si>
  <si>
    <t>011CANDLELIGHT</t>
  </si>
  <si>
    <t>011CAYENNE</t>
  </si>
  <si>
    <t>011LUMIA</t>
  </si>
  <si>
    <t>011STARDUST</t>
  </si>
  <si>
    <t>012DEEP PURPLE</t>
  </si>
  <si>
    <t>012LIGHT HOUSE</t>
  </si>
  <si>
    <t>013COUNTRY BLUES</t>
  </si>
  <si>
    <t>013LORRAINE</t>
  </si>
  <si>
    <t>013LUMIA</t>
  </si>
  <si>
    <t>013VENDELA</t>
  </si>
  <si>
    <t>014STARDUST</t>
  </si>
  <si>
    <t>015JOCKER</t>
  </si>
  <si>
    <t>016DREAM IN PEACH</t>
  </si>
  <si>
    <t>016NINA</t>
  </si>
  <si>
    <t>017FREEDOM</t>
  </si>
  <si>
    <t>017GOLDFINCH</t>
  </si>
  <si>
    <t>018BRIGHTON</t>
  </si>
  <si>
    <t>019BRIGHTON</t>
  </si>
  <si>
    <t>019TABATHA</t>
  </si>
  <si>
    <t>020BRIGHTON</t>
  </si>
  <si>
    <t>020TYCOON</t>
  </si>
  <si>
    <t>021SHOW GIRL</t>
  </si>
  <si>
    <t>022CORAL REEF</t>
  </si>
  <si>
    <t>023COTOPAXI</t>
  </si>
  <si>
    <t>023FRUTTETO</t>
  </si>
  <si>
    <t>024COTOPAXI</t>
  </si>
  <si>
    <t>024SWEETNESS</t>
  </si>
  <si>
    <t>024TYCOON</t>
  </si>
  <si>
    <t>025PINK MONDIAL</t>
  </si>
  <si>
    <t>026LOLA</t>
  </si>
  <si>
    <t>026PALOMA</t>
  </si>
  <si>
    <t>027SATISFACTION</t>
  </si>
  <si>
    <t>027TIFFANY</t>
  </si>
  <si>
    <t>028COTOPAXI</t>
  </si>
  <si>
    <t>028DEEP PURPLE</t>
  </si>
  <si>
    <t>029PINK FLOYD</t>
  </si>
  <si>
    <t>030EXPLORER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</si>
</sst>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3" fontId="0" fillId="0" borderId="0" xfId="0" applyNumberFormat="1" applyFill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cion%20Astroflores%20a%20la%20Semana%2026_Seguimient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3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valuacion/Produccion%20Astroflores%20a%20la%20Semana%203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valuacion/Produccion%20Astroflores%20a%20la%20Semana%2032_Seguimiento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3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14340</v>
          </cell>
        </row>
        <row r="3">
          <cell r="G3" t="str">
            <v>004BELLINA</v>
          </cell>
          <cell r="H3">
            <v>1575</v>
          </cell>
        </row>
        <row r="4">
          <cell r="G4" t="str">
            <v>005ELBA</v>
          </cell>
          <cell r="H4">
            <v>11580</v>
          </cell>
        </row>
        <row r="5">
          <cell r="G5" t="str">
            <v>005HOT BUBBLES</v>
          </cell>
          <cell r="H5">
            <v>1560</v>
          </cell>
        </row>
        <row r="6">
          <cell r="G6" t="str">
            <v>005SUSPIRO</v>
          </cell>
          <cell r="H6">
            <v>4830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10780</v>
          </cell>
        </row>
        <row r="9">
          <cell r="G9" t="str">
            <v>014FRUITY BUBBLES</v>
          </cell>
          <cell r="H9">
            <v>2950</v>
          </cell>
        </row>
        <row r="10">
          <cell r="G10" t="str">
            <v>015FELLINI</v>
          </cell>
          <cell r="H10">
            <v>5995</v>
          </cell>
        </row>
        <row r="11">
          <cell r="G11" t="str">
            <v>016GOOD PEACH</v>
          </cell>
          <cell r="H11">
            <v>3420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1450</v>
          </cell>
        </row>
        <row r="14">
          <cell r="G14" t="str">
            <v>018COSMO</v>
          </cell>
          <cell r="H14">
            <v>3525</v>
          </cell>
        </row>
        <row r="15">
          <cell r="G15" t="str">
            <v>018RUBICON</v>
          </cell>
          <cell r="H15">
            <v>7290</v>
          </cell>
        </row>
        <row r="16">
          <cell r="G16" t="str">
            <v>019BELLINA</v>
          </cell>
          <cell r="H16">
            <v>1905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1725</v>
          </cell>
        </row>
        <row r="20">
          <cell r="G20" t="str">
            <v>021KELLY</v>
          </cell>
          <cell r="H20">
            <v>850</v>
          </cell>
        </row>
        <row r="21">
          <cell r="G21" t="str">
            <v>021LEILA</v>
          </cell>
          <cell r="H21">
            <v>3725</v>
          </cell>
        </row>
        <row r="22">
          <cell r="G22" t="str">
            <v>021PISTACHIO KISS</v>
          </cell>
          <cell r="H22">
            <v>125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5825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1080</v>
          </cell>
        </row>
        <row r="27">
          <cell r="G27" t="str">
            <v>030MIRABEL</v>
          </cell>
          <cell r="H27">
            <v>5460</v>
          </cell>
        </row>
        <row r="28">
          <cell r="G28" t="str">
            <v>030SOMERSET</v>
          </cell>
          <cell r="H28">
            <v>4120</v>
          </cell>
        </row>
        <row r="29">
          <cell r="G29" t="str">
            <v>03182989</v>
          </cell>
          <cell r="H29">
            <v>2500</v>
          </cell>
        </row>
        <row r="30">
          <cell r="G30" t="str">
            <v>031RUBICON</v>
          </cell>
          <cell r="H30">
            <v>2490</v>
          </cell>
        </row>
        <row r="31">
          <cell r="G31" t="str">
            <v>031SOMERSET</v>
          </cell>
          <cell r="H31">
            <v>5720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4140</v>
          </cell>
        </row>
        <row r="34">
          <cell r="G34" t="str">
            <v>032MIRABEL</v>
          </cell>
          <cell r="H34">
            <v>2160</v>
          </cell>
        </row>
        <row r="35">
          <cell r="G35" t="str">
            <v>033CREAMY FOLIES</v>
          </cell>
          <cell r="H35">
            <v>810</v>
          </cell>
        </row>
        <row r="36">
          <cell r="G36" t="str">
            <v>033HOT BUBBLES</v>
          </cell>
          <cell r="H36">
            <v>2520</v>
          </cell>
        </row>
        <row r="37">
          <cell r="G37" t="str">
            <v>001BELIEVE IN PINK</v>
          </cell>
          <cell r="H37">
            <v>1560</v>
          </cell>
        </row>
        <row r="38">
          <cell r="G38" t="str">
            <v>001EXPLORER</v>
          </cell>
          <cell r="H38">
            <v>5000</v>
          </cell>
        </row>
        <row r="39">
          <cell r="G39" t="str">
            <v>001GRACE KELLY</v>
          </cell>
          <cell r="H39">
            <v>2160</v>
          </cell>
        </row>
        <row r="40">
          <cell r="G40" t="str">
            <v>001LIGHT HOUSE</v>
          </cell>
          <cell r="H40">
            <v>2610</v>
          </cell>
        </row>
        <row r="41">
          <cell r="G41" t="str">
            <v>001LUMIA</v>
          </cell>
          <cell r="H41">
            <v>1530</v>
          </cell>
        </row>
        <row r="42">
          <cell r="G42" t="str">
            <v>001MOMENTUM</v>
          </cell>
          <cell r="H42">
            <v>3200</v>
          </cell>
        </row>
        <row r="43">
          <cell r="G43" t="str">
            <v>002SUMMER ROMANCE</v>
          </cell>
          <cell r="H43">
            <v>1700</v>
          </cell>
        </row>
        <row r="44">
          <cell r="G44" t="str">
            <v>002SWEETNESS</v>
          </cell>
          <cell r="H44">
            <v>7680</v>
          </cell>
        </row>
        <row r="45">
          <cell r="G45" t="str">
            <v>003CABARET</v>
          </cell>
          <cell r="H45">
            <v>4530</v>
          </cell>
        </row>
        <row r="46">
          <cell r="G46" t="str">
            <v>003DEEP PURPLE</v>
          </cell>
          <cell r="H46">
            <v>11220</v>
          </cell>
        </row>
        <row r="47">
          <cell r="G47" t="str">
            <v>003EXPLORER</v>
          </cell>
          <cell r="H47">
            <v>2850</v>
          </cell>
        </row>
        <row r="48">
          <cell r="G48" t="str">
            <v>003JOCKER</v>
          </cell>
          <cell r="H48">
            <v>1025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810</v>
          </cell>
        </row>
        <row r="51">
          <cell r="G51" t="str">
            <v>004DEEP PURPLE</v>
          </cell>
          <cell r="H51">
            <v>16140</v>
          </cell>
        </row>
        <row r="52">
          <cell r="G52" t="str">
            <v>004HOT EXPLORER</v>
          </cell>
          <cell r="H52">
            <v>4775</v>
          </cell>
        </row>
        <row r="53">
          <cell r="G53" t="str">
            <v>004HOT MERENGUE</v>
          </cell>
          <cell r="H53">
            <v>4410</v>
          </cell>
        </row>
        <row r="54">
          <cell r="G54" t="str">
            <v>004SWEETNESS</v>
          </cell>
          <cell r="H54">
            <v>720</v>
          </cell>
        </row>
        <row r="55">
          <cell r="G55" t="str">
            <v>005EXPLORER</v>
          </cell>
          <cell r="H55">
            <v>1850</v>
          </cell>
        </row>
        <row r="56">
          <cell r="G56" t="str">
            <v>005GOLDFINCH</v>
          </cell>
          <cell r="H56">
            <v>1225</v>
          </cell>
        </row>
        <row r="57">
          <cell r="G57" t="str">
            <v>005JOCKER</v>
          </cell>
          <cell r="H57">
            <v>3000</v>
          </cell>
        </row>
        <row r="58">
          <cell r="G58" t="str">
            <v>005VENDELA</v>
          </cell>
          <cell r="H58">
            <v>2580</v>
          </cell>
        </row>
        <row r="59">
          <cell r="G59" t="str">
            <v>006ATOMIC</v>
          </cell>
          <cell r="H59">
            <v>1300</v>
          </cell>
        </row>
        <row r="60">
          <cell r="G60" t="str">
            <v>006EXPLORER</v>
          </cell>
          <cell r="H60">
            <v>8275</v>
          </cell>
        </row>
        <row r="61">
          <cell r="G61" t="str">
            <v>006MONDIAL</v>
          </cell>
          <cell r="H61">
            <v>5975</v>
          </cell>
        </row>
        <row r="62">
          <cell r="G62" t="str">
            <v>007COTOPAXI</v>
          </cell>
          <cell r="H62">
            <v>5040</v>
          </cell>
        </row>
        <row r="63">
          <cell r="G63" t="str">
            <v>007REDIANT</v>
          </cell>
          <cell r="H63">
            <v>1710</v>
          </cell>
        </row>
        <row r="64">
          <cell r="G64" t="str">
            <v>007SUMMER ROMANCE</v>
          </cell>
          <cell r="H64">
            <v>550</v>
          </cell>
        </row>
        <row r="65">
          <cell r="G65" t="str">
            <v>007VENDELA</v>
          </cell>
          <cell r="H65">
            <v>12330</v>
          </cell>
        </row>
        <row r="66">
          <cell r="G66" t="str">
            <v>008DEEP PURPLE</v>
          </cell>
          <cell r="H66">
            <v>3750</v>
          </cell>
        </row>
        <row r="67">
          <cell r="G67" t="str">
            <v>008FREEDOM</v>
          </cell>
          <cell r="H67">
            <v>5010</v>
          </cell>
        </row>
        <row r="68">
          <cell r="G68" t="str">
            <v>008JOCKER</v>
          </cell>
          <cell r="H68">
            <v>5350</v>
          </cell>
        </row>
        <row r="69">
          <cell r="G69" t="str">
            <v>008LUMIA</v>
          </cell>
          <cell r="H69">
            <v>2010</v>
          </cell>
        </row>
        <row r="70">
          <cell r="G70" t="str">
            <v>010COOLDOWN</v>
          </cell>
          <cell r="H70">
            <v>4325</v>
          </cell>
        </row>
        <row r="71">
          <cell r="G71" t="str">
            <v>010VIOLET HILL</v>
          </cell>
          <cell r="H71">
            <v>3720</v>
          </cell>
        </row>
        <row r="72">
          <cell r="G72" t="str">
            <v>011BRIGHTON</v>
          </cell>
          <cell r="H72">
            <v>4350</v>
          </cell>
        </row>
        <row r="73">
          <cell r="G73" t="str">
            <v>011CANDLELIGHT</v>
          </cell>
          <cell r="H73">
            <v>5360</v>
          </cell>
        </row>
        <row r="74">
          <cell r="G74" t="str">
            <v>011CAYENNE</v>
          </cell>
          <cell r="H74">
            <v>3060</v>
          </cell>
        </row>
        <row r="75">
          <cell r="G75" t="str">
            <v>011LUMIA</v>
          </cell>
          <cell r="H75">
            <v>1620</v>
          </cell>
        </row>
        <row r="76">
          <cell r="G76" t="str">
            <v>011STARDUST</v>
          </cell>
          <cell r="H76">
            <v>3475</v>
          </cell>
        </row>
        <row r="77">
          <cell r="G77" t="str">
            <v>012DEEP PURPLE</v>
          </cell>
          <cell r="H77">
            <v>15600</v>
          </cell>
        </row>
        <row r="78">
          <cell r="G78" t="str">
            <v>012LIGHT HOUSE</v>
          </cell>
          <cell r="H78">
            <v>1620</v>
          </cell>
        </row>
        <row r="79">
          <cell r="G79" t="str">
            <v>013COUNTRY BLUES</v>
          </cell>
          <cell r="H79">
            <v>1760</v>
          </cell>
        </row>
        <row r="80">
          <cell r="G80" t="str">
            <v>013LORRAINE</v>
          </cell>
          <cell r="H80">
            <v>4275</v>
          </cell>
        </row>
        <row r="81">
          <cell r="G81" t="str">
            <v>013LUMIA</v>
          </cell>
          <cell r="H81">
            <v>480</v>
          </cell>
        </row>
        <row r="82">
          <cell r="G82" t="str">
            <v>013VENDELA</v>
          </cell>
          <cell r="H82">
            <v>12810</v>
          </cell>
        </row>
        <row r="83">
          <cell r="G83" t="str">
            <v>014STARDUST</v>
          </cell>
          <cell r="H83">
            <v>4975</v>
          </cell>
        </row>
        <row r="84">
          <cell r="G84" t="str">
            <v>015JOCKER</v>
          </cell>
          <cell r="H84">
            <v>3700</v>
          </cell>
        </row>
        <row r="85">
          <cell r="G85" t="str">
            <v>016DREAM IN PEACH</v>
          </cell>
          <cell r="H85">
            <v>1740</v>
          </cell>
        </row>
        <row r="86">
          <cell r="G86" t="str">
            <v>016NINA</v>
          </cell>
          <cell r="H86">
            <v>4925</v>
          </cell>
        </row>
        <row r="87">
          <cell r="G87" t="str">
            <v>017FREEDOM</v>
          </cell>
          <cell r="H87">
            <v>6030</v>
          </cell>
        </row>
        <row r="88">
          <cell r="G88" t="str">
            <v>017GOLDFINCH</v>
          </cell>
          <cell r="H88">
            <v>4075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8150</v>
          </cell>
        </row>
        <row r="91">
          <cell r="G91" t="str">
            <v>019TABATHA</v>
          </cell>
          <cell r="H91">
            <v>2790</v>
          </cell>
        </row>
        <row r="92">
          <cell r="G92" t="str">
            <v>020BRIGHTON</v>
          </cell>
          <cell r="H92">
            <v>5000</v>
          </cell>
        </row>
        <row r="93">
          <cell r="G93" t="str">
            <v>020TYCOON</v>
          </cell>
          <cell r="H93">
            <v>990</v>
          </cell>
        </row>
        <row r="94">
          <cell r="G94" t="str">
            <v>021SHOW GIRL</v>
          </cell>
          <cell r="H94">
            <v>2525</v>
          </cell>
        </row>
        <row r="95">
          <cell r="G95" t="str">
            <v>022CORAL REEF</v>
          </cell>
          <cell r="H95">
            <v>4100</v>
          </cell>
        </row>
        <row r="96">
          <cell r="G96" t="str">
            <v>023COTOPAXI</v>
          </cell>
          <cell r="H96">
            <v>4380</v>
          </cell>
        </row>
        <row r="97">
          <cell r="G97" t="str">
            <v>023FRUTTETO</v>
          </cell>
          <cell r="H97">
            <v>6150</v>
          </cell>
        </row>
        <row r="98">
          <cell r="G98" t="str">
            <v>024COTOPAXI</v>
          </cell>
          <cell r="H98">
            <v>1980</v>
          </cell>
        </row>
        <row r="99">
          <cell r="G99" t="str">
            <v>024SWEETNESS</v>
          </cell>
          <cell r="H99">
            <v>1980</v>
          </cell>
        </row>
        <row r="100">
          <cell r="G100" t="str">
            <v>024TYCOON</v>
          </cell>
          <cell r="H100">
            <v>4470</v>
          </cell>
        </row>
        <row r="101">
          <cell r="G101" t="str">
            <v>025PINK MONDIAL</v>
          </cell>
          <cell r="H101">
            <v>4925</v>
          </cell>
        </row>
        <row r="102">
          <cell r="G102" t="str">
            <v>026LOLA</v>
          </cell>
          <cell r="H102">
            <v>5550</v>
          </cell>
        </row>
        <row r="103">
          <cell r="G103" t="str">
            <v>026PALOMA</v>
          </cell>
          <cell r="H103">
            <v>5575</v>
          </cell>
        </row>
        <row r="104">
          <cell r="G104" t="str">
            <v>027SATISFACTION</v>
          </cell>
          <cell r="H104">
            <v>5940</v>
          </cell>
        </row>
        <row r="105">
          <cell r="G105" t="str">
            <v>027TIFFANY</v>
          </cell>
          <cell r="H105">
            <v>5910</v>
          </cell>
        </row>
        <row r="106">
          <cell r="G106" t="str">
            <v>028COTOPAXI</v>
          </cell>
          <cell r="H106">
            <v>4110</v>
          </cell>
        </row>
        <row r="107">
          <cell r="G107" t="str">
            <v>028DEEP PURPLE</v>
          </cell>
          <cell r="H107">
            <v>7200</v>
          </cell>
        </row>
        <row r="108">
          <cell r="G108" t="str">
            <v>029PINK FLOYD</v>
          </cell>
          <cell r="H108">
            <v>4350</v>
          </cell>
        </row>
        <row r="109">
          <cell r="G109" t="str">
            <v>030EXPLORER</v>
          </cell>
          <cell r="H109">
            <v>2950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9680</v>
          </cell>
        </row>
        <row r="3">
          <cell r="G3" t="str">
            <v>004BELLINA</v>
          </cell>
          <cell r="H3">
            <v>1395</v>
          </cell>
        </row>
        <row r="4">
          <cell r="G4" t="str">
            <v>005ELBA</v>
          </cell>
          <cell r="H4">
            <v>8280</v>
          </cell>
        </row>
        <row r="5">
          <cell r="G5" t="str">
            <v>005HOT BUBBLES</v>
          </cell>
          <cell r="H5">
            <v>1940</v>
          </cell>
        </row>
        <row r="6">
          <cell r="G6" t="str">
            <v>005SUSPIRO</v>
          </cell>
          <cell r="H6">
            <v>3990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14200</v>
          </cell>
        </row>
        <row r="9">
          <cell r="G9" t="str">
            <v>014FRUITY BUBBLES</v>
          </cell>
          <cell r="H9">
            <v>3950</v>
          </cell>
        </row>
        <row r="10">
          <cell r="G10" t="str">
            <v>015FELLINI</v>
          </cell>
          <cell r="H10">
            <v>5180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1650</v>
          </cell>
        </row>
        <row r="14">
          <cell r="G14" t="str">
            <v>018COSMO</v>
          </cell>
          <cell r="H14">
            <v>4400</v>
          </cell>
        </row>
        <row r="15">
          <cell r="G15" t="str">
            <v>018RUBICON</v>
          </cell>
          <cell r="H15">
            <v>6480</v>
          </cell>
        </row>
        <row r="16">
          <cell r="G16" t="str">
            <v>019BELLINA</v>
          </cell>
          <cell r="H16">
            <v>1515</v>
          </cell>
        </row>
        <row r="17">
          <cell r="G17" t="str">
            <v>020SUMMER DANCE</v>
          </cell>
          <cell r="H17">
            <v>3800</v>
          </cell>
        </row>
        <row r="18">
          <cell r="G18" t="str">
            <v>021ELEGANT ROSEVER</v>
          </cell>
          <cell r="H18">
            <v>870</v>
          </cell>
        </row>
        <row r="19">
          <cell r="G19" t="str">
            <v>021FLAME CLUB</v>
          </cell>
          <cell r="H19">
            <v>1575</v>
          </cell>
        </row>
        <row r="20">
          <cell r="G20" t="str">
            <v>021KELLY</v>
          </cell>
          <cell r="H20">
            <v>575</v>
          </cell>
        </row>
        <row r="21">
          <cell r="G21" t="str">
            <v>021LEILA</v>
          </cell>
          <cell r="H21">
            <v>2000</v>
          </cell>
        </row>
        <row r="22">
          <cell r="G22" t="str">
            <v>021PISTACHIO KISS</v>
          </cell>
          <cell r="H22">
            <v>250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5700</v>
          </cell>
        </row>
        <row r="25">
          <cell r="G25" t="str">
            <v>022GOOD PEACH</v>
          </cell>
          <cell r="H25">
            <v>1920</v>
          </cell>
        </row>
        <row r="26">
          <cell r="G26" t="str">
            <v>022MIRABEL</v>
          </cell>
          <cell r="H26">
            <v>1280</v>
          </cell>
        </row>
        <row r="27">
          <cell r="G27" t="str">
            <v>030MIRABEL</v>
          </cell>
          <cell r="H27">
            <v>5480</v>
          </cell>
        </row>
        <row r="28">
          <cell r="G28" t="str">
            <v>030SOMERSET</v>
          </cell>
          <cell r="H28">
            <v>2780</v>
          </cell>
        </row>
        <row r="29">
          <cell r="G29" t="str">
            <v>03182989</v>
          </cell>
          <cell r="H29">
            <v>2280</v>
          </cell>
        </row>
        <row r="30">
          <cell r="G30" t="str">
            <v>031RUBICON</v>
          </cell>
          <cell r="H30">
            <v>2160</v>
          </cell>
        </row>
        <row r="31">
          <cell r="G31" t="str">
            <v>031SOMERSET</v>
          </cell>
          <cell r="H31">
            <v>3820</v>
          </cell>
        </row>
        <row r="32">
          <cell r="G32" t="str">
            <v>031VELVET BLOSSOMS</v>
          </cell>
          <cell r="H32">
            <v>560</v>
          </cell>
        </row>
        <row r="33">
          <cell r="G33" t="str">
            <v>032ELBA</v>
          </cell>
          <cell r="H33">
            <v>3510</v>
          </cell>
        </row>
        <row r="34">
          <cell r="G34" t="str">
            <v>032MIRABEL</v>
          </cell>
          <cell r="H34">
            <v>2540</v>
          </cell>
        </row>
        <row r="35">
          <cell r="G35" t="str">
            <v>033CREAMY FOLIES</v>
          </cell>
          <cell r="H35">
            <v>990</v>
          </cell>
        </row>
        <row r="36">
          <cell r="G36" t="str">
            <v>033HOT BUBBLES</v>
          </cell>
          <cell r="H36">
            <v>3160</v>
          </cell>
        </row>
        <row r="37">
          <cell r="G37" t="str">
            <v>001BELIEVE IN PINK</v>
          </cell>
          <cell r="H37">
            <v>1500</v>
          </cell>
        </row>
        <row r="38">
          <cell r="G38" t="str">
            <v>001EXPLORER</v>
          </cell>
          <cell r="H38">
            <v>5175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1620</v>
          </cell>
        </row>
        <row r="42">
          <cell r="G42" t="str">
            <v>001MOMENTUM</v>
          </cell>
          <cell r="H42">
            <v>3900</v>
          </cell>
        </row>
        <row r="43">
          <cell r="G43" t="str">
            <v>002SUMMER ROMANCE</v>
          </cell>
          <cell r="H43">
            <v>1225</v>
          </cell>
        </row>
        <row r="44">
          <cell r="G44" t="str">
            <v>002SWEETNESS</v>
          </cell>
          <cell r="H44">
            <v>7170</v>
          </cell>
        </row>
        <row r="45">
          <cell r="G45" t="str">
            <v>003CABARET</v>
          </cell>
          <cell r="H45">
            <v>3510</v>
          </cell>
        </row>
        <row r="46">
          <cell r="G46" t="str">
            <v>003DEEP PURPLE</v>
          </cell>
          <cell r="H46">
            <v>9810</v>
          </cell>
        </row>
        <row r="47">
          <cell r="G47" t="str">
            <v>003EXPLORER</v>
          </cell>
          <cell r="H47">
            <v>2475</v>
          </cell>
        </row>
        <row r="48">
          <cell r="G48" t="str">
            <v>003JOCKER</v>
          </cell>
          <cell r="H48">
            <v>725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990</v>
          </cell>
        </row>
        <row r="51">
          <cell r="G51" t="str">
            <v>004DEEP PURPLE</v>
          </cell>
          <cell r="H51">
            <v>10110</v>
          </cell>
        </row>
        <row r="52">
          <cell r="G52" t="str">
            <v>004HOT EXPLORER</v>
          </cell>
          <cell r="H52">
            <v>3325</v>
          </cell>
        </row>
        <row r="53">
          <cell r="G53" t="str">
            <v>004HOT MERENGUE</v>
          </cell>
          <cell r="H53">
            <v>2730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1400</v>
          </cell>
        </row>
        <row r="56">
          <cell r="G56" t="str">
            <v>005GOLDFINCH</v>
          </cell>
          <cell r="H56">
            <v>925</v>
          </cell>
        </row>
        <row r="57">
          <cell r="G57" t="str">
            <v>005JOCKER</v>
          </cell>
          <cell r="H57">
            <v>1750</v>
          </cell>
        </row>
        <row r="58">
          <cell r="G58" t="str">
            <v>005VENDELA</v>
          </cell>
          <cell r="H58">
            <v>1770</v>
          </cell>
        </row>
        <row r="59">
          <cell r="G59" t="str">
            <v>006ATOMIC</v>
          </cell>
          <cell r="H59">
            <v>975</v>
          </cell>
        </row>
        <row r="60">
          <cell r="G60" t="str">
            <v>006EXPLORER</v>
          </cell>
          <cell r="H60">
            <v>5750</v>
          </cell>
        </row>
        <row r="61">
          <cell r="G61" t="str">
            <v>006MONDIAL</v>
          </cell>
          <cell r="H61">
            <v>5700</v>
          </cell>
        </row>
        <row r="62">
          <cell r="G62" t="str">
            <v>007COTOPAXI</v>
          </cell>
          <cell r="H62">
            <v>5880</v>
          </cell>
        </row>
        <row r="63">
          <cell r="G63" t="str">
            <v>007REDIANT</v>
          </cell>
          <cell r="H63">
            <v>1500</v>
          </cell>
        </row>
        <row r="64">
          <cell r="G64" t="str">
            <v>007SUMMER ROMANCE</v>
          </cell>
          <cell r="H64">
            <v>275</v>
          </cell>
        </row>
        <row r="65">
          <cell r="G65" t="str">
            <v>007VENDELA</v>
          </cell>
          <cell r="H65">
            <v>9990</v>
          </cell>
        </row>
        <row r="66">
          <cell r="G66" t="str">
            <v>008DEEP PURPLE</v>
          </cell>
          <cell r="H66">
            <v>3540</v>
          </cell>
        </row>
        <row r="67">
          <cell r="G67" t="str">
            <v>008FREEDOM</v>
          </cell>
          <cell r="H67">
            <v>3720</v>
          </cell>
        </row>
        <row r="68">
          <cell r="G68" t="str">
            <v>008JOCKER</v>
          </cell>
          <cell r="H68">
            <v>3325</v>
          </cell>
        </row>
        <row r="69">
          <cell r="G69" t="str">
            <v>008LUMIA</v>
          </cell>
          <cell r="H69">
            <v>4050</v>
          </cell>
        </row>
        <row r="70">
          <cell r="G70" t="str">
            <v>010COOLDOWN</v>
          </cell>
          <cell r="H70">
            <v>2825</v>
          </cell>
        </row>
        <row r="71">
          <cell r="G71" t="str">
            <v>010VIOLET HILL</v>
          </cell>
          <cell r="H71">
            <v>3300</v>
          </cell>
        </row>
        <row r="72">
          <cell r="G72" t="str">
            <v>011BRIGHTON</v>
          </cell>
          <cell r="H72">
            <v>3750</v>
          </cell>
        </row>
        <row r="73">
          <cell r="G73" t="str">
            <v>011CANDLELIGHT</v>
          </cell>
          <cell r="H73">
            <v>3640</v>
          </cell>
        </row>
        <row r="74">
          <cell r="G74" t="str">
            <v>011CAYENNE</v>
          </cell>
          <cell r="H74">
            <v>1890</v>
          </cell>
        </row>
        <row r="75">
          <cell r="G75" t="str">
            <v>011LUMIA</v>
          </cell>
          <cell r="H75">
            <v>1440</v>
          </cell>
        </row>
        <row r="76">
          <cell r="G76" t="str">
            <v>011STARDUST</v>
          </cell>
          <cell r="H76">
            <v>3075</v>
          </cell>
        </row>
        <row r="77">
          <cell r="G77" t="str">
            <v>012DEEP PURPLE</v>
          </cell>
          <cell r="H77">
            <v>11370</v>
          </cell>
        </row>
        <row r="78">
          <cell r="G78" t="str">
            <v>012LIGHT HOUSE</v>
          </cell>
          <cell r="H78">
            <v>1110</v>
          </cell>
        </row>
        <row r="79">
          <cell r="G79" t="str">
            <v>013COUNTRY BLUES</v>
          </cell>
          <cell r="H79">
            <v>1560</v>
          </cell>
        </row>
        <row r="80">
          <cell r="G80" t="str">
            <v>013LORRAINE</v>
          </cell>
          <cell r="H80">
            <v>4100</v>
          </cell>
        </row>
        <row r="81">
          <cell r="G81" t="str">
            <v>013LUMIA</v>
          </cell>
          <cell r="H81">
            <v>450</v>
          </cell>
        </row>
        <row r="82">
          <cell r="G82" t="str">
            <v>013VENDELA</v>
          </cell>
          <cell r="H82">
            <v>11179</v>
          </cell>
        </row>
        <row r="83">
          <cell r="G83" t="str">
            <v>014STARDUST</v>
          </cell>
          <cell r="H83">
            <v>4950</v>
          </cell>
        </row>
        <row r="84">
          <cell r="G84" t="str">
            <v>015JOCKER</v>
          </cell>
          <cell r="H84">
            <v>2550</v>
          </cell>
        </row>
        <row r="85">
          <cell r="G85" t="str">
            <v>016DREAM IN PEACH</v>
          </cell>
          <cell r="H85">
            <v>1410</v>
          </cell>
        </row>
        <row r="86">
          <cell r="G86" t="str">
            <v>016NINA</v>
          </cell>
          <cell r="H86">
            <v>2850</v>
          </cell>
        </row>
        <row r="87">
          <cell r="G87" t="str">
            <v>017FREEDOM</v>
          </cell>
          <cell r="H87">
            <v>5190</v>
          </cell>
        </row>
        <row r="88">
          <cell r="G88" t="str">
            <v>017GOLDFINCH</v>
          </cell>
          <cell r="H88">
            <v>3475</v>
          </cell>
        </row>
        <row r="89">
          <cell r="G89" t="str">
            <v>018BRIGHTON</v>
          </cell>
          <cell r="H89">
            <v>1625</v>
          </cell>
        </row>
        <row r="90">
          <cell r="G90" t="str">
            <v>019BRIGHTON</v>
          </cell>
          <cell r="H90">
            <v>8700</v>
          </cell>
        </row>
        <row r="91">
          <cell r="G91" t="str">
            <v>019TABATHA</v>
          </cell>
          <cell r="H91">
            <v>2040</v>
          </cell>
        </row>
        <row r="92">
          <cell r="G92" t="str">
            <v>020BRIGHTON</v>
          </cell>
          <cell r="H92">
            <v>5050</v>
          </cell>
        </row>
        <row r="93">
          <cell r="G93" t="str">
            <v>020TYCOON</v>
          </cell>
          <cell r="H93">
            <v>1110</v>
          </cell>
        </row>
        <row r="94">
          <cell r="G94" t="str">
            <v>021SHOW GIRL</v>
          </cell>
          <cell r="H94">
            <v>2825</v>
          </cell>
        </row>
        <row r="95">
          <cell r="G95" t="str">
            <v>022CORAL REEF</v>
          </cell>
          <cell r="H95">
            <v>2525</v>
          </cell>
        </row>
        <row r="96">
          <cell r="G96" t="str">
            <v>023COTOPAXI</v>
          </cell>
          <cell r="H96">
            <v>5970</v>
          </cell>
        </row>
        <row r="97">
          <cell r="G97" t="str">
            <v>023FRUTTETO</v>
          </cell>
          <cell r="H97">
            <v>5430</v>
          </cell>
        </row>
        <row r="98">
          <cell r="G98" t="str">
            <v>024COTOPAXI</v>
          </cell>
          <cell r="H98">
            <v>2520</v>
          </cell>
        </row>
        <row r="99">
          <cell r="G99" t="str">
            <v>024SWEETNESS</v>
          </cell>
          <cell r="H99">
            <v>2100</v>
          </cell>
        </row>
        <row r="100">
          <cell r="G100" t="str">
            <v>024TYCOON</v>
          </cell>
          <cell r="H100">
            <v>4170</v>
          </cell>
        </row>
        <row r="101">
          <cell r="G101" t="str">
            <v>025PINK MONDIAL</v>
          </cell>
          <cell r="H101">
            <v>3850</v>
          </cell>
        </row>
        <row r="102">
          <cell r="G102" t="str">
            <v>026LOLA</v>
          </cell>
          <cell r="H102">
            <v>5350</v>
          </cell>
        </row>
        <row r="103">
          <cell r="G103" t="str">
            <v>026PALOMA</v>
          </cell>
          <cell r="H103">
            <v>4825</v>
          </cell>
        </row>
        <row r="104">
          <cell r="G104" t="str">
            <v>027SATISFACTION</v>
          </cell>
          <cell r="H104">
            <v>5010</v>
          </cell>
        </row>
        <row r="105">
          <cell r="G105" t="str">
            <v>027TIFFANY</v>
          </cell>
          <cell r="H105">
            <v>4560</v>
          </cell>
        </row>
        <row r="106">
          <cell r="G106" t="str">
            <v>028COTOPAXI</v>
          </cell>
          <cell r="H106">
            <v>4740</v>
          </cell>
        </row>
        <row r="107">
          <cell r="G107" t="str">
            <v>028DEEP PURPLE</v>
          </cell>
          <cell r="H107">
            <v>3870</v>
          </cell>
        </row>
        <row r="108">
          <cell r="G108" t="str">
            <v>029PINK FLOYD</v>
          </cell>
          <cell r="H108">
            <v>4175</v>
          </cell>
        </row>
        <row r="109">
          <cell r="G109" t="str">
            <v>030EXPLORER</v>
          </cell>
          <cell r="H109">
            <v>2300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6400</v>
          </cell>
        </row>
        <row r="3">
          <cell r="G3" t="str">
            <v>004BELLINA</v>
          </cell>
          <cell r="H3">
            <v>1785</v>
          </cell>
        </row>
        <row r="4">
          <cell r="G4" t="str">
            <v>005ELBA</v>
          </cell>
          <cell r="H4">
            <v>9600</v>
          </cell>
        </row>
        <row r="5">
          <cell r="G5" t="str">
            <v>005HOT BUBBLES</v>
          </cell>
          <cell r="H5">
            <v>1380</v>
          </cell>
        </row>
        <row r="6">
          <cell r="G6" t="str">
            <v>005SUSPIRO</v>
          </cell>
          <cell r="H6">
            <v>3420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11860</v>
          </cell>
        </row>
        <row r="9">
          <cell r="G9" t="str">
            <v>014FRUITY BUBBLES</v>
          </cell>
          <cell r="H9">
            <v>4350</v>
          </cell>
        </row>
        <row r="10">
          <cell r="G10" t="str">
            <v>015FELLINI</v>
          </cell>
          <cell r="H10">
            <v>4680</v>
          </cell>
        </row>
        <row r="11">
          <cell r="G11" t="str">
            <v>016GOOD PEACH</v>
          </cell>
          <cell r="H11">
            <v>3660</v>
          </cell>
        </row>
        <row r="12">
          <cell r="G12" t="str">
            <v>016GOOD YELLOW</v>
          </cell>
          <cell r="H12">
            <v>3330</v>
          </cell>
        </row>
        <row r="13">
          <cell r="G13" t="str">
            <v>017ORANGE STAR</v>
          </cell>
          <cell r="H13">
            <v>1625</v>
          </cell>
        </row>
        <row r="14">
          <cell r="G14" t="str">
            <v>018COSMO</v>
          </cell>
          <cell r="H14">
            <v>4200</v>
          </cell>
        </row>
        <row r="15">
          <cell r="G15" t="str">
            <v>018RUBICON</v>
          </cell>
          <cell r="H15">
            <v>6840</v>
          </cell>
        </row>
        <row r="16">
          <cell r="G16" t="str">
            <v>019BELLINA</v>
          </cell>
          <cell r="H16">
            <v>1650</v>
          </cell>
        </row>
        <row r="17">
          <cell r="G17" t="str">
            <v>020SUMMER DANCE</v>
          </cell>
          <cell r="H17">
            <v>3525</v>
          </cell>
        </row>
        <row r="18">
          <cell r="G18" t="str">
            <v>021ELEGANT ROSEVER</v>
          </cell>
          <cell r="H18">
            <v>720</v>
          </cell>
        </row>
        <row r="19">
          <cell r="G19" t="str">
            <v>021FLAME CLUB</v>
          </cell>
          <cell r="H19">
            <v>1525</v>
          </cell>
        </row>
        <row r="20">
          <cell r="G20" t="str">
            <v>021KELLY</v>
          </cell>
          <cell r="H20">
            <v>600</v>
          </cell>
        </row>
        <row r="21">
          <cell r="G21" t="str">
            <v>021LEILA</v>
          </cell>
          <cell r="H21">
            <v>1500</v>
          </cell>
        </row>
        <row r="22">
          <cell r="G22" t="str">
            <v>021PISTACHIO KISS</v>
          </cell>
          <cell r="H22">
            <v>275</v>
          </cell>
        </row>
        <row r="23">
          <cell r="G23" t="str">
            <v>021SNOW BUBBLES</v>
          </cell>
          <cell r="H23">
            <v>1800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2310</v>
          </cell>
        </row>
        <row r="26">
          <cell r="G26" t="str">
            <v>022MIRABEL</v>
          </cell>
          <cell r="H26">
            <v>1420</v>
          </cell>
        </row>
        <row r="27">
          <cell r="G27" t="str">
            <v>030MIRABEL</v>
          </cell>
          <cell r="H27">
            <v>5860</v>
          </cell>
        </row>
        <row r="28">
          <cell r="G28" t="str">
            <v>030SOMERSET</v>
          </cell>
          <cell r="H28">
            <v>3460</v>
          </cell>
        </row>
        <row r="29">
          <cell r="G29" t="str">
            <v>03182989</v>
          </cell>
          <cell r="H29">
            <v>2640</v>
          </cell>
        </row>
        <row r="30">
          <cell r="G30" t="str">
            <v>031RUBICON</v>
          </cell>
          <cell r="H30">
            <v>3150</v>
          </cell>
        </row>
        <row r="31">
          <cell r="G31" t="str">
            <v>031SOMERSET</v>
          </cell>
          <cell r="H31">
            <v>2120</v>
          </cell>
        </row>
        <row r="32">
          <cell r="G32" t="str">
            <v>031VELVET BLOSSOMS</v>
          </cell>
          <cell r="H32">
            <v>820</v>
          </cell>
        </row>
        <row r="33">
          <cell r="G33" t="str">
            <v>032ELBA</v>
          </cell>
          <cell r="H33">
            <v>3240</v>
          </cell>
        </row>
        <row r="34">
          <cell r="G34" t="str">
            <v>032MIRABEL</v>
          </cell>
          <cell r="H34">
            <v>3000</v>
          </cell>
        </row>
        <row r="35">
          <cell r="G35" t="str">
            <v>033CREAMY FOLIES</v>
          </cell>
          <cell r="H35">
            <v>1230</v>
          </cell>
        </row>
        <row r="36">
          <cell r="G36" t="str">
            <v>033HOT BUBBLES</v>
          </cell>
          <cell r="H36">
            <v>3100</v>
          </cell>
        </row>
        <row r="37">
          <cell r="G37" t="str">
            <v>001BELIEVE IN PINK</v>
          </cell>
          <cell r="H37">
            <v>1080</v>
          </cell>
        </row>
        <row r="38">
          <cell r="G38" t="str">
            <v>001EXPLORER</v>
          </cell>
          <cell r="H38">
            <v>4725</v>
          </cell>
        </row>
        <row r="39">
          <cell r="G39" t="str">
            <v>001GRACE KELLY</v>
          </cell>
          <cell r="H39">
            <v>2220</v>
          </cell>
        </row>
        <row r="40">
          <cell r="G40" t="str">
            <v>001LIGHT HOUSE</v>
          </cell>
          <cell r="H40">
            <v>2010</v>
          </cell>
        </row>
        <row r="41">
          <cell r="G41" t="str">
            <v>001LUMIA</v>
          </cell>
          <cell r="H41">
            <v>1410</v>
          </cell>
        </row>
        <row r="42">
          <cell r="G42" t="str">
            <v>001MOMENTUM</v>
          </cell>
          <cell r="H42">
            <v>2450</v>
          </cell>
        </row>
        <row r="43">
          <cell r="G43" t="str">
            <v>002SUMMER ROMANCE</v>
          </cell>
          <cell r="H43">
            <v>1350</v>
          </cell>
        </row>
        <row r="44">
          <cell r="G44" t="str">
            <v>002SWEETNESS</v>
          </cell>
          <cell r="H44">
            <v>5490</v>
          </cell>
        </row>
        <row r="45">
          <cell r="G45" t="str">
            <v>003CABARET</v>
          </cell>
          <cell r="H45">
            <v>4860</v>
          </cell>
        </row>
        <row r="46">
          <cell r="G46" t="str">
            <v>003DEEP PURPLE</v>
          </cell>
          <cell r="H46">
            <v>11190</v>
          </cell>
        </row>
        <row r="47">
          <cell r="G47" t="str">
            <v>003EXPLORER</v>
          </cell>
          <cell r="H47">
            <v>3350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1800</v>
          </cell>
        </row>
        <row r="50">
          <cell r="G50" t="str">
            <v>004COTOPAXI</v>
          </cell>
          <cell r="H50">
            <v>1140</v>
          </cell>
        </row>
        <row r="51">
          <cell r="G51" t="str">
            <v>004DEEP PURPLE</v>
          </cell>
          <cell r="H51">
            <v>15480</v>
          </cell>
        </row>
        <row r="52">
          <cell r="G52" t="str">
            <v>004HOT EXPLORER</v>
          </cell>
          <cell r="H52">
            <v>3775</v>
          </cell>
        </row>
        <row r="53">
          <cell r="G53" t="str">
            <v>004HOT MERENGUE</v>
          </cell>
          <cell r="H53">
            <v>3510</v>
          </cell>
        </row>
        <row r="54">
          <cell r="G54" t="str">
            <v>004SWEETNESS</v>
          </cell>
          <cell r="H54">
            <v>480</v>
          </cell>
        </row>
        <row r="55">
          <cell r="G55" t="str">
            <v>005EXPLORER</v>
          </cell>
          <cell r="H55">
            <v>1550</v>
          </cell>
        </row>
        <row r="56">
          <cell r="G56" t="str">
            <v>005GOLDFINCH</v>
          </cell>
          <cell r="H56">
            <v>950</v>
          </cell>
        </row>
        <row r="57">
          <cell r="G57" t="str">
            <v>005JOCKER</v>
          </cell>
          <cell r="H57">
            <v>1550</v>
          </cell>
        </row>
        <row r="58">
          <cell r="G58" t="str">
            <v>005VENDELA</v>
          </cell>
          <cell r="H58">
            <v>1140</v>
          </cell>
        </row>
        <row r="59">
          <cell r="G59" t="str">
            <v>006ATOMIC</v>
          </cell>
          <cell r="H59">
            <v>875</v>
          </cell>
        </row>
        <row r="60">
          <cell r="G60" t="str">
            <v>006EXPLORER</v>
          </cell>
          <cell r="H60">
            <v>5950</v>
          </cell>
        </row>
        <row r="61">
          <cell r="G61" t="str">
            <v>006MONDIAL</v>
          </cell>
          <cell r="H61">
            <v>5025</v>
          </cell>
        </row>
        <row r="62">
          <cell r="G62" t="str">
            <v>007COTOPAXI</v>
          </cell>
          <cell r="H62">
            <v>4620</v>
          </cell>
        </row>
        <row r="63">
          <cell r="G63" t="str">
            <v>007REDIANT</v>
          </cell>
          <cell r="H63">
            <v>1830</v>
          </cell>
        </row>
        <row r="64">
          <cell r="G64" t="str">
            <v>007SUMMER ROMANCE</v>
          </cell>
          <cell r="H64">
            <v>175</v>
          </cell>
        </row>
        <row r="65">
          <cell r="G65" t="str">
            <v>007VENDELA</v>
          </cell>
          <cell r="H65">
            <v>8190</v>
          </cell>
        </row>
        <row r="66">
          <cell r="G66" t="str">
            <v>008DEEP PURPLE</v>
          </cell>
          <cell r="H66">
            <v>3390</v>
          </cell>
        </row>
        <row r="67">
          <cell r="G67" t="str">
            <v>008FREEDOM</v>
          </cell>
          <cell r="H67">
            <v>3090</v>
          </cell>
        </row>
        <row r="68">
          <cell r="G68" t="str">
            <v>008JOCKER</v>
          </cell>
          <cell r="H68">
            <v>3350</v>
          </cell>
        </row>
        <row r="69">
          <cell r="G69" t="str">
            <v>008LUMIA</v>
          </cell>
          <cell r="H69">
            <v>3930</v>
          </cell>
        </row>
        <row r="70">
          <cell r="G70" t="str">
            <v>010COOLDOWN</v>
          </cell>
          <cell r="H70">
            <v>2725</v>
          </cell>
        </row>
        <row r="71">
          <cell r="G71" t="str">
            <v>010VIOLET HILL</v>
          </cell>
          <cell r="H71">
            <v>3450</v>
          </cell>
        </row>
        <row r="72">
          <cell r="G72" t="str">
            <v>011BRIGHTON</v>
          </cell>
          <cell r="H72">
            <v>2850</v>
          </cell>
        </row>
        <row r="73">
          <cell r="G73" t="str">
            <v>011CANDLELIGHT</v>
          </cell>
          <cell r="H73">
            <v>4820</v>
          </cell>
        </row>
        <row r="74">
          <cell r="G74" t="str">
            <v>011CAYENNE</v>
          </cell>
          <cell r="H74">
            <v>1740</v>
          </cell>
        </row>
        <row r="75">
          <cell r="G75" t="str">
            <v>011LUMIA</v>
          </cell>
          <cell r="H75">
            <v>1290</v>
          </cell>
        </row>
        <row r="76">
          <cell r="G76" t="str">
            <v>011STARDUST</v>
          </cell>
          <cell r="H76">
            <v>2275</v>
          </cell>
        </row>
        <row r="77">
          <cell r="G77" t="str">
            <v>012DEEP PURPLE</v>
          </cell>
          <cell r="H77">
            <v>11160</v>
          </cell>
        </row>
        <row r="78">
          <cell r="G78" t="str">
            <v>012LIGHT HOUSE</v>
          </cell>
          <cell r="H78">
            <v>1500</v>
          </cell>
        </row>
        <row r="79">
          <cell r="G79" t="str">
            <v>013COUNTRY BLUES</v>
          </cell>
          <cell r="H79">
            <v>1460</v>
          </cell>
        </row>
        <row r="80">
          <cell r="G80" t="str">
            <v>013LORRAINE</v>
          </cell>
          <cell r="H80">
            <v>3475</v>
          </cell>
        </row>
        <row r="81">
          <cell r="G81" t="str">
            <v>013LUMIA</v>
          </cell>
          <cell r="H81">
            <v>420</v>
          </cell>
        </row>
        <row r="82">
          <cell r="G82" t="str">
            <v>013VENDELA</v>
          </cell>
          <cell r="H82">
            <v>10410</v>
          </cell>
        </row>
        <row r="83">
          <cell r="G83" t="str">
            <v>014STARDUST</v>
          </cell>
          <cell r="H83">
            <v>4800</v>
          </cell>
        </row>
        <row r="84">
          <cell r="G84" t="str">
            <v>015JOCKER</v>
          </cell>
          <cell r="H84">
            <v>3475</v>
          </cell>
        </row>
        <row r="85">
          <cell r="G85" t="str">
            <v>016DREAM IN PEACH</v>
          </cell>
          <cell r="H85">
            <v>1440</v>
          </cell>
        </row>
        <row r="86">
          <cell r="G86" t="str">
            <v>016NINA</v>
          </cell>
          <cell r="H86">
            <v>3150</v>
          </cell>
        </row>
        <row r="87">
          <cell r="G87" t="str">
            <v>017FREEDOM</v>
          </cell>
          <cell r="H87">
            <v>5640</v>
          </cell>
        </row>
        <row r="88">
          <cell r="G88" t="str">
            <v>017GOLDFINCH</v>
          </cell>
          <cell r="H88">
            <v>3600</v>
          </cell>
        </row>
        <row r="89">
          <cell r="G89" t="str">
            <v>018BRIGHTON</v>
          </cell>
          <cell r="H89">
            <v>1225</v>
          </cell>
        </row>
        <row r="90">
          <cell r="G90" t="str">
            <v>019BRIGHTON</v>
          </cell>
          <cell r="H90">
            <v>7525</v>
          </cell>
        </row>
        <row r="91">
          <cell r="G91" t="str">
            <v>019TABATHA</v>
          </cell>
          <cell r="H91">
            <v>2730</v>
          </cell>
        </row>
        <row r="92">
          <cell r="G92" t="str">
            <v>020BRIGHTON</v>
          </cell>
          <cell r="H92">
            <v>3550</v>
          </cell>
        </row>
        <row r="93">
          <cell r="G93" t="str">
            <v>020TYCOON</v>
          </cell>
          <cell r="H93">
            <v>960</v>
          </cell>
        </row>
        <row r="94">
          <cell r="G94" t="str">
            <v>021SHOW GIRL</v>
          </cell>
          <cell r="H94">
            <v>1550</v>
          </cell>
        </row>
        <row r="95">
          <cell r="G95" t="str">
            <v>022CORAL REEF</v>
          </cell>
          <cell r="H95">
            <v>2575</v>
          </cell>
        </row>
        <row r="96">
          <cell r="G96" t="str">
            <v>023COTOPAXI</v>
          </cell>
          <cell r="H96">
            <v>5820</v>
          </cell>
        </row>
        <row r="97">
          <cell r="G97" t="str">
            <v>023FRUTTETO</v>
          </cell>
          <cell r="H97">
            <v>5490</v>
          </cell>
        </row>
        <row r="98">
          <cell r="G98" t="str">
            <v>024COTOPAXI</v>
          </cell>
          <cell r="H98">
            <v>3090</v>
          </cell>
        </row>
        <row r="99">
          <cell r="G99" t="str">
            <v>024SWEETNESS</v>
          </cell>
          <cell r="H99">
            <v>1560</v>
          </cell>
        </row>
        <row r="100">
          <cell r="G100" t="str">
            <v>024TYCOON</v>
          </cell>
          <cell r="H100">
            <v>3780</v>
          </cell>
        </row>
        <row r="101">
          <cell r="G101" t="str">
            <v>025PINK MONDIAL</v>
          </cell>
          <cell r="H101">
            <v>4025</v>
          </cell>
        </row>
        <row r="102">
          <cell r="G102" t="str">
            <v>026LOLA</v>
          </cell>
          <cell r="H102">
            <v>6650</v>
          </cell>
        </row>
        <row r="103">
          <cell r="G103" t="str">
            <v>026PALOMA</v>
          </cell>
          <cell r="H103">
            <v>5225</v>
          </cell>
        </row>
        <row r="104">
          <cell r="G104" t="str">
            <v>027SATISFACTION</v>
          </cell>
          <cell r="H104">
            <v>3660</v>
          </cell>
        </row>
        <row r="105">
          <cell r="G105" t="str">
            <v>027TIFFANY</v>
          </cell>
          <cell r="H105">
            <v>3420</v>
          </cell>
        </row>
        <row r="106">
          <cell r="G106" t="str">
            <v>028COTOPAXI</v>
          </cell>
          <cell r="H106">
            <v>5100</v>
          </cell>
        </row>
        <row r="107">
          <cell r="G107" t="str">
            <v>028DEEP PURPLE</v>
          </cell>
          <cell r="H107">
            <v>5970</v>
          </cell>
        </row>
        <row r="108">
          <cell r="G108" t="str">
            <v>029PINK FLOYD</v>
          </cell>
          <cell r="H108">
            <v>3950</v>
          </cell>
        </row>
        <row r="109">
          <cell r="G109" t="str">
            <v>030EXPLORER</v>
          </cell>
          <cell r="H109">
            <v>2775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8260</v>
          </cell>
        </row>
        <row r="3">
          <cell r="G3" t="str">
            <v>004BELLINA</v>
          </cell>
          <cell r="H3">
            <v>1950</v>
          </cell>
        </row>
        <row r="4">
          <cell r="G4" t="str">
            <v>005ELBA</v>
          </cell>
          <cell r="H4">
            <v>7230</v>
          </cell>
        </row>
        <row r="5">
          <cell r="G5" t="str">
            <v>005HOT BUBBLES</v>
          </cell>
          <cell r="H5">
            <v>1300</v>
          </cell>
        </row>
        <row r="6">
          <cell r="G6" t="str">
            <v>005SUSPIRO</v>
          </cell>
          <cell r="H6">
            <v>3330</v>
          </cell>
        </row>
        <row r="7">
          <cell r="G7" t="str">
            <v>007SNOW BUBBLES</v>
          </cell>
          <cell r="H7">
            <v>960</v>
          </cell>
        </row>
        <row r="8">
          <cell r="G8" t="str">
            <v>009HOT BUBBLES</v>
          </cell>
          <cell r="H8">
            <v>13480</v>
          </cell>
        </row>
        <row r="9">
          <cell r="G9" t="str">
            <v>014FRUITY BUBBLES</v>
          </cell>
          <cell r="H9">
            <v>4200</v>
          </cell>
        </row>
        <row r="10">
          <cell r="G10" t="str">
            <v>015FELLINI</v>
          </cell>
          <cell r="H10">
            <v>7175</v>
          </cell>
        </row>
        <row r="11">
          <cell r="G11" t="str">
            <v>016GOOD PEACH</v>
          </cell>
          <cell r="H11">
            <v>3330</v>
          </cell>
        </row>
        <row r="12">
          <cell r="G12" t="str">
            <v>016GOOD YELLOW</v>
          </cell>
          <cell r="H12">
            <v>4560</v>
          </cell>
        </row>
        <row r="13">
          <cell r="G13" t="str">
            <v>017ORANGE STAR</v>
          </cell>
          <cell r="H13">
            <v>1900</v>
          </cell>
        </row>
        <row r="14">
          <cell r="G14" t="str">
            <v>018COSMO</v>
          </cell>
          <cell r="H14">
            <v>2925</v>
          </cell>
        </row>
        <row r="15">
          <cell r="G15" t="str">
            <v>018RUBICON</v>
          </cell>
          <cell r="H15">
            <v>7140</v>
          </cell>
        </row>
        <row r="16">
          <cell r="G16" t="str">
            <v>019BELLINA</v>
          </cell>
          <cell r="H16">
            <v>1800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630</v>
          </cell>
        </row>
        <row r="19">
          <cell r="G19" t="str">
            <v>021FLAME CLUB</v>
          </cell>
          <cell r="H19">
            <v>1700</v>
          </cell>
        </row>
        <row r="20">
          <cell r="G20" t="str">
            <v>021KELLY</v>
          </cell>
          <cell r="H20">
            <v>775</v>
          </cell>
        </row>
        <row r="21">
          <cell r="G21" t="str">
            <v>021LEILA</v>
          </cell>
          <cell r="H21">
            <v>1850</v>
          </cell>
        </row>
        <row r="22">
          <cell r="G22" t="str">
            <v>021PISTACHIO KISS</v>
          </cell>
          <cell r="H22">
            <v>200</v>
          </cell>
        </row>
        <row r="23">
          <cell r="G23" t="str">
            <v>021SNOW BUBBLES</v>
          </cell>
          <cell r="H23">
            <v>1380</v>
          </cell>
        </row>
        <row r="24">
          <cell r="G24" t="str">
            <v>022FRUITY BUBBLES</v>
          </cell>
          <cell r="H24">
            <v>6050</v>
          </cell>
        </row>
        <row r="25">
          <cell r="G25" t="str">
            <v>022GOOD PEACH</v>
          </cell>
          <cell r="H25">
            <v>2130</v>
          </cell>
        </row>
        <row r="26">
          <cell r="G26" t="str">
            <v>022MIRABEL</v>
          </cell>
          <cell r="H26">
            <v>1600</v>
          </cell>
        </row>
        <row r="27">
          <cell r="G27" t="str">
            <v>030MIRABEL</v>
          </cell>
          <cell r="H27">
            <v>6460</v>
          </cell>
        </row>
        <row r="28">
          <cell r="G28" t="str">
            <v>030SOMERSET</v>
          </cell>
          <cell r="H28">
            <v>4080</v>
          </cell>
        </row>
        <row r="29">
          <cell r="G29" t="str">
            <v>03182989</v>
          </cell>
          <cell r="H29">
            <v>3280</v>
          </cell>
        </row>
        <row r="30">
          <cell r="G30" t="str">
            <v>031RUBICON</v>
          </cell>
          <cell r="H30">
            <v>3390</v>
          </cell>
        </row>
        <row r="31">
          <cell r="G31" t="str">
            <v>031SOMERSET</v>
          </cell>
          <cell r="H31">
            <v>1240</v>
          </cell>
        </row>
        <row r="32">
          <cell r="G32" t="str">
            <v>031VELVET BLOSSOMS</v>
          </cell>
          <cell r="H32">
            <v>640</v>
          </cell>
        </row>
        <row r="33">
          <cell r="G33" t="str">
            <v>032ELBA</v>
          </cell>
          <cell r="H33">
            <v>4350</v>
          </cell>
        </row>
        <row r="34">
          <cell r="G34" t="str">
            <v>032MIRABEL</v>
          </cell>
          <cell r="H34">
            <v>3400</v>
          </cell>
        </row>
        <row r="35">
          <cell r="G35" t="str">
            <v>033CREAMY FOLIES</v>
          </cell>
          <cell r="H35">
            <v>1530</v>
          </cell>
        </row>
        <row r="36">
          <cell r="G36" t="str">
            <v>033HOT BUBBLES</v>
          </cell>
          <cell r="H36">
            <v>3920</v>
          </cell>
        </row>
        <row r="37">
          <cell r="G37" t="str">
            <v>001BELIEVE IN PINK</v>
          </cell>
          <cell r="H37">
            <v>1230</v>
          </cell>
        </row>
        <row r="38">
          <cell r="G38" t="str">
            <v>001EXPLORER</v>
          </cell>
          <cell r="H38">
            <v>6925</v>
          </cell>
        </row>
        <row r="39">
          <cell r="G39" t="str">
            <v>001GRACE KELLY</v>
          </cell>
          <cell r="H39">
            <v>2040</v>
          </cell>
        </row>
        <row r="40">
          <cell r="G40" t="str">
            <v>001LIGHT HOUSE</v>
          </cell>
          <cell r="H40">
            <v>2520</v>
          </cell>
        </row>
        <row r="41">
          <cell r="G41" t="str">
            <v>001LUMIA</v>
          </cell>
          <cell r="H41">
            <v>2070</v>
          </cell>
        </row>
        <row r="42">
          <cell r="G42" t="str">
            <v>001MOMENTUM</v>
          </cell>
          <cell r="H42">
            <v>3475</v>
          </cell>
        </row>
        <row r="43">
          <cell r="G43" t="str">
            <v>002SUMMER ROMANCE</v>
          </cell>
          <cell r="H43">
            <v>1775</v>
          </cell>
        </row>
        <row r="44">
          <cell r="G44" t="str">
            <v>002SWEETNESS</v>
          </cell>
          <cell r="H44">
            <v>8760</v>
          </cell>
        </row>
        <row r="45">
          <cell r="G45" t="str">
            <v>003CABARET</v>
          </cell>
          <cell r="H45">
            <v>6090</v>
          </cell>
        </row>
        <row r="46">
          <cell r="G46" t="str">
            <v>003DEEP PURPLE</v>
          </cell>
          <cell r="H46">
            <v>11370</v>
          </cell>
        </row>
        <row r="47">
          <cell r="G47" t="str">
            <v>003EXPLORER</v>
          </cell>
          <cell r="H47">
            <v>2875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1230</v>
          </cell>
        </row>
        <row r="51">
          <cell r="G51" t="str">
            <v>004DEEP PURPLE</v>
          </cell>
          <cell r="H51">
            <v>15540</v>
          </cell>
        </row>
        <row r="52">
          <cell r="G52" t="str">
            <v>004HOT EXPLORER</v>
          </cell>
          <cell r="H52">
            <v>4925</v>
          </cell>
        </row>
        <row r="53">
          <cell r="G53" t="str">
            <v>004HOT MERENGUE</v>
          </cell>
          <cell r="H53">
            <v>3480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2075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2300</v>
          </cell>
        </row>
        <row r="58">
          <cell r="G58" t="str">
            <v>005VENDELA</v>
          </cell>
          <cell r="H58">
            <v>2490</v>
          </cell>
        </row>
        <row r="59">
          <cell r="G59" t="str">
            <v>006ATOMIC</v>
          </cell>
          <cell r="H59">
            <v>1200</v>
          </cell>
        </row>
        <row r="60">
          <cell r="G60" t="str">
            <v>006EXPLORER</v>
          </cell>
          <cell r="H60">
            <v>7275</v>
          </cell>
        </row>
        <row r="61">
          <cell r="G61" t="str">
            <v>006MONDIAL</v>
          </cell>
          <cell r="H61">
            <v>5525</v>
          </cell>
        </row>
        <row r="62">
          <cell r="G62" t="str">
            <v>007COTOPAXI</v>
          </cell>
          <cell r="H62">
            <v>5250</v>
          </cell>
        </row>
        <row r="63">
          <cell r="G63" t="str">
            <v>007REDIANT</v>
          </cell>
          <cell r="H63">
            <v>1860</v>
          </cell>
        </row>
        <row r="64">
          <cell r="G64" t="str">
            <v>007SUMMER ROMANCE</v>
          </cell>
          <cell r="H64">
            <v>225</v>
          </cell>
        </row>
        <row r="65">
          <cell r="G65" t="str">
            <v>007VENDELA</v>
          </cell>
          <cell r="H65">
            <v>8310</v>
          </cell>
        </row>
        <row r="66">
          <cell r="G66" t="str">
            <v>008DEEP PURPLE</v>
          </cell>
          <cell r="H66">
            <v>5310</v>
          </cell>
        </row>
        <row r="67">
          <cell r="G67" t="str">
            <v>008FREEDOM</v>
          </cell>
          <cell r="H67">
            <v>3570</v>
          </cell>
        </row>
        <row r="68">
          <cell r="G68" t="str">
            <v>008JOCKER</v>
          </cell>
          <cell r="H68">
            <v>4150</v>
          </cell>
        </row>
        <row r="69">
          <cell r="G69" t="str">
            <v>008LUMIA</v>
          </cell>
          <cell r="H69">
            <v>3480</v>
          </cell>
        </row>
        <row r="70">
          <cell r="G70" t="str">
            <v>010COOLDOWN</v>
          </cell>
          <cell r="H70">
            <v>4025</v>
          </cell>
        </row>
        <row r="71">
          <cell r="G71" t="str">
            <v>010VIOLET HILL</v>
          </cell>
          <cell r="H71">
            <v>5910</v>
          </cell>
        </row>
        <row r="72">
          <cell r="G72" t="str">
            <v>011BRIGHTON</v>
          </cell>
          <cell r="H72">
            <v>3625</v>
          </cell>
        </row>
        <row r="73">
          <cell r="G73" t="str">
            <v>011CANDLELIGHT</v>
          </cell>
          <cell r="H73">
            <v>4160</v>
          </cell>
        </row>
        <row r="74">
          <cell r="G74" t="str">
            <v>011CAYENNE</v>
          </cell>
          <cell r="H74">
            <v>1590</v>
          </cell>
        </row>
        <row r="75">
          <cell r="G75" t="str">
            <v>011LUMIA</v>
          </cell>
          <cell r="H75">
            <v>1500</v>
          </cell>
        </row>
        <row r="76">
          <cell r="G76" t="str">
            <v>011STARDUST</v>
          </cell>
          <cell r="H76">
            <v>3325</v>
          </cell>
        </row>
        <row r="77">
          <cell r="G77" t="str">
            <v>012DEEP PURPLE</v>
          </cell>
          <cell r="H77">
            <v>16890</v>
          </cell>
        </row>
        <row r="78">
          <cell r="G78" t="str">
            <v>012LIGHT HOUSE</v>
          </cell>
          <cell r="H78">
            <v>1680</v>
          </cell>
        </row>
        <row r="79">
          <cell r="G79" t="str">
            <v>013COUNTRY BLUES</v>
          </cell>
          <cell r="H79">
            <v>1180</v>
          </cell>
        </row>
        <row r="80">
          <cell r="G80" t="str">
            <v>013LORRAINE</v>
          </cell>
          <cell r="H80">
            <v>3350</v>
          </cell>
        </row>
        <row r="81">
          <cell r="G81" t="str">
            <v>013LUMIA</v>
          </cell>
          <cell r="H81">
            <v>570</v>
          </cell>
        </row>
        <row r="82">
          <cell r="G82" t="str">
            <v>013VENDELA</v>
          </cell>
          <cell r="H82">
            <v>11940</v>
          </cell>
        </row>
        <row r="83">
          <cell r="G83" t="str">
            <v>014STARDUST</v>
          </cell>
          <cell r="H83">
            <v>5525</v>
          </cell>
        </row>
        <row r="84">
          <cell r="G84" t="str">
            <v>015JOCKER</v>
          </cell>
          <cell r="H84">
            <v>5125</v>
          </cell>
        </row>
        <row r="85">
          <cell r="G85" t="str">
            <v>016DREAM IN PEACH</v>
          </cell>
          <cell r="H85">
            <v>1770</v>
          </cell>
        </row>
        <row r="86">
          <cell r="G86" t="str">
            <v>016NINA</v>
          </cell>
          <cell r="H86">
            <v>4975</v>
          </cell>
        </row>
        <row r="87">
          <cell r="G87" t="str">
            <v>017FREEDOM</v>
          </cell>
          <cell r="H87">
            <v>6360</v>
          </cell>
        </row>
        <row r="88">
          <cell r="G88" t="str">
            <v>017GOLDFINCH</v>
          </cell>
          <cell r="H88">
            <v>3425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7775</v>
          </cell>
        </row>
        <row r="91">
          <cell r="G91" t="str">
            <v>019TABATHA</v>
          </cell>
          <cell r="H91">
            <v>2280</v>
          </cell>
        </row>
        <row r="92">
          <cell r="G92" t="str">
            <v>020BRIGHTON</v>
          </cell>
          <cell r="H92">
            <v>5375</v>
          </cell>
        </row>
        <row r="93">
          <cell r="G93" t="str">
            <v>020TYCOON</v>
          </cell>
          <cell r="H93">
            <v>1350</v>
          </cell>
        </row>
        <row r="94">
          <cell r="G94" t="str">
            <v>021SHOW GIRL</v>
          </cell>
          <cell r="H94">
            <v>1600</v>
          </cell>
        </row>
        <row r="95">
          <cell r="G95" t="str">
            <v>022CORAL REEF</v>
          </cell>
          <cell r="H95">
            <v>2400</v>
          </cell>
        </row>
        <row r="96">
          <cell r="G96" t="str">
            <v>023COTOPAXI</v>
          </cell>
          <cell r="H96">
            <v>5730</v>
          </cell>
        </row>
        <row r="97">
          <cell r="G97" t="str">
            <v>023FRUTTETO</v>
          </cell>
          <cell r="H97">
            <v>8010</v>
          </cell>
        </row>
        <row r="98">
          <cell r="G98" t="str">
            <v>024COTOPAXI</v>
          </cell>
          <cell r="H98">
            <v>3060</v>
          </cell>
        </row>
        <row r="99">
          <cell r="G99" t="str">
            <v>024SWEETNESS</v>
          </cell>
          <cell r="H99">
            <v>2010</v>
          </cell>
        </row>
        <row r="100">
          <cell r="G100" t="str">
            <v>024TYCOON</v>
          </cell>
          <cell r="H100">
            <v>4080</v>
          </cell>
        </row>
        <row r="101">
          <cell r="G101" t="str">
            <v>025PINK MONDIAL</v>
          </cell>
          <cell r="H101">
            <v>5225</v>
          </cell>
        </row>
        <row r="102">
          <cell r="G102" t="str">
            <v>026LOLA</v>
          </cell>
          <cell r="H102">
            <v>5925</v>
          </cell>
        </row>
        <row r="103">
          <cell r="G103" t="str">
            <v>026PALOMA</v>
          </cell>
          <cell r="H103">
            <v>5850</v>
          </cell>
        </row>
        <row r="104">
          <cell r="G104" t="str">
            <v>027SATISFACTION</v>
          </cell>
          <cell r="H104">
            <v>4230</v>
          </cell>
        </row>
        <row r="105">
          <cell r="G105" t="str">
            <v>027TIFFANY</v>
          </cell>
          <cell r="H105">
            <v>3840</v>
          </cell>
        </row>
        <row r="106">
          <cell r="G106" t="str">
            <v>028COTOPAXI</v>
          </cell>
          <cell r="H106">
            <v>5580</v>
          </cell>
        </row>
        <row r="107">
          <cell r="G107" t="str">
            <v>028DEEP PURPLE</v>
          </cell>
          <cell r="H107">
            <v>6480</v>
          </cell>
        </row>
        <row r="108">
          <cell r="G108" t="str">
            <v>029PINK FLOYD</v>
          </cell>
          <cell r="H108">
            <v>4075</v>
          </cell>
        </row>
        <row r="109">
          <cell r="G109" t="str">
            <v>030EXPLORER</v>
          </cell>
          <cell r="H109">
            <v>3575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7100</v>
          </cell>
        </row>
        <row r="3">
          <cell r="G3" t="str">
            <v>004BELLINA</v>
          </cell>
          <cell r="H3">
            <v>1830</v>
          </cell>
        </row>
        <row r="4">
          <cell r="G4" t="str">
            <v>005ELBA</v>
          </cell>
          <cell r="H4">
            <v>6660</v>
          </cell>
        </row>
        <row r="5">
          <cell r="G5" t="str">
            <v>005HOT BUBBLES</v>
          </cell>
          <cell r="H5">
            <v>1340</v>
          </cell>
        </row>
        <row r="6">
          <cell r="G6" t="str">
            <v>005SUSPIRO</v>
          </cell>
          <cell r="H6">
            <v>3300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12160</v>
          </cell>
        </row>
        <row r="9">
          <cell r="G9" t="str">
            <v>014FRUITY BUBBLES</v>
          </cell>
          <cell r="H9">
            <v>4250</v>
          </cell>
        </row>
        <row r="10">
          <cell r="G10" t="str">
            <v>015FELLINI</v>
          </cell>
          <cell r="H10">
            <v>6540</v>
          </cell>
        </row>
        <row r="11">
          <cell r="G11" t="str">
            <v>016GOOD PEACH</v>
          </cell>
          <cell r="H11">
            <v>4320</v>
          </cell>
        </row>
        <row r="12">
          <cell r="G12" t="str">
            <v>016GOOD YELLOW</v>
          </cell>
          <cell r="H12">
            <v>4980</v>
          </cell>
        </row>
        <row r="13">
          <cell r="G13" t="str">
            <v>017ORANGE STAR</v>
          </cell>
          <cell r="H13">
            <v>2200</v>
          </cell>
        </row>
        <row r="14">
          <cell r="G14" t="str">
            <v>018COSMO</v>
          </cell>
          <cell r="H14">
            <v>2875</v>
          </cell>
        </row>
        <row r="15">
          <cell r="G15" t="str">
            <v>018RUBICON</v>
          </cell>
          <cell r="H15">
            <v>5250</v>
          </cell>
        </row>
        <row r="16">
          <cell r="G16" t="str">
            <v>019BELLINA</v>
          </cell>
          <cell r="H16">
            <v>1590</v>
          </cell>
        </row>
        <row r="17">
          <cell r="G17" t="str">
            <v>020SUMMER DANCE</v>
          </cell>
          <cell r="H17">
            <v>3375</v>
          </cell>
        </row>
        <row r="18">
          <cell r="G18" t="str">
            <v>021ELEGANT ROSEVER</v>
          </cell>
          <cell r="H18">
            <v>840</v>
          </cell>
        </row>
        <row r="19">
          <cell r="G19" t="str">
            <v>021FLAME CLUB</v>
          </cell>
          <cell r="H19">
            <v>1250</v>
          </cell>
        </row>
        <row r="20">
          <cell r="G20" t="str">
            <v>021KELLY</v>
          </cell>
          <cell r="H20">
            <v>650</v>
          </cell>
        </row>
        <row r="21">
          <cell r="G21" t="str">
            <v>021LEILA</v>
          </cell>
          <cell r="H21">
            <v>1300</v>
          </cell>
        </row>
        <row r="22">
          <cell r="G22" t="str">
            <v>021PISTACHIO KISS</v>
          </cell>
          <cell r="H22">
            <v>75</v>
          </cell>
        </row>
        <row r="23">
          <cell r="G23" t="str">
            <v>021SNOW BUBBLES</v>
          </cell>
          <cell r="H23">
            <v>1520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2460</v>
          </cell>
        </row>
        <row r="26">
          <cell r="G26" t="str">
            <v>022MIRABEL</v>
          </cell>
          <cell r="H26">
            <v>1840</v>
          </cell>
        </row>
        <row r="27">
          <cell r="G27" t="str">
            <v>030MIRABEL</v>
          </cell>
          <cell r="H27">
            <v>6820</v>
          </cell>
        </row>
        <row r="28">
          <cell r="G28" t="str">
            <v>030SOMERSET</v>
          </cell>
          <cell r="H28">
            <v>3600</v>
          </cell>
        </row>
        <row r="29">
          <cell r="G29" t="str">
            <v>03182989</v>
          </cell>
          <cell r="H29">
            <v>2720</v>
          </cell>
        </row>
        <row r="30">
          <cell r="G30" t="str">
            <v>031RUBICON</v>
          </cell>
          <cell r="H30">
            <v>3930</v>
          </cell>
        </row>
        <row r="31">
          <cell r="G31" t="str">
            <v>031SOMERSET</v>
          </cell>
          <cell r="H31">
            <v>720</v>
          </cell>
        </row>
        <row r="32">
          <cell r="G32" t="str">
            <v>031VELVET BLOSSOMS</v>
          </cell>
          <cell r="H32">
            <v>800</v>
          </cell>
        </row>
        <row r="33">
          <cell r="G33" t="str">
            <v>032ELBA</v>
          </cell>
          <cell r="H33">
            <v>4800</v>
          </cell>
        </row>
        <row r="34">
          <cell r="G34" t="str">
            <v>032MIRABEL</v>
          </cell>
          <cell r="H34">
            <v>3820</v>
          </cell>
        </row>
        <row r="35">
          <cell r="G35" t="str">
            <v>033CREAMY FOLIES</v>
          </cell>
          <cell r="H35">
            <v>1410</v>
          </cell>
        </row>
        <row r="36">
          <cell r="G36" t="str">
            <v>033HOT BUBBLES</v>
          </cell>
          <cell r="H36">
            <v>4240</v>
          </cell>
        </row>
        <row r="37">
          <cell r="G37" t="str">
            <v>001BELIEVE IN PINK</v>
          </cell>
          <cell r="H37">
            <v>1260</v>
          </cell>
        </row>
        <row r="38">
          <cell r="G38" t="str">
            <v>001EXPLORER</v>
          </cell>
          <cell r="H38">
            <v>5700</v>
          </cell>
        </row>
        <row r="39">
          <cell r="G39" t="str">
            <v>001GRACE KELLY</v>
          </cell>
          <cell r="H39">
            <v>1950</v>
          </cell>
        </row>
        <row r="40">
          <cell r="G40" t="str">
            <v>001LIGHT HOUSE</v>
          </cell>
          <cell r="H40">
            <v>2760</v>
          </cell>
        </row>
        <row r="41">
          <cell r="G41" t="str">
            <v>001LUMIA</v>
          </cell>
          <cell r="H41">
            <v>2040</v>
          </cell>
        </row>
        <row r="42">
          <cell r="G42" t="str">
            <v>001MOMENTUM</v>
          </cell>
          <cell r="H42">
            <v>4275</v>
          </cell>
        </row>
        <row r="43">
          <cell r="G43" t="str">
            <v>002SUMMER ROMANCE</v>
          </cell>
          <cell r="H43">
            <v>1200</v>
          </cell>
        </row>
        <row r="44">
          <cell r="G44" t="str">
            <v>002SWEETNESS</v>
          </cell>
          <cell r="H44">
            <v>5790</v>
          </cell>
        </row>
        <row r="45">
          <cell r="G45" t="str">
            <v>003CABARET</v>
          </cell>
          <cell r="H45">
            <v>8850</v>
          </cell>
        </row>
        <row r="46">
          <cell r="G46" t="str">
            <v>003DEEP PURPLE</v>
          </cell>
          <cell r="H46">
            <v>14310</v>
          </cell>
        </row>
        <row r="47">
          <cell r="G47" t="str">
            <v>003EXPLORER</v>
          </cell>
          <cell r="H47">
            <v>3075</v>
          </cell>
        </row>
        <row r="48">
          <cell r="G48" t="str">
            <v>003JOCKER</v>
          </cell>
          <cell r="H48">
            <v>1300</v>
          </cell>
        </row>
        <row r="49">
          <cell r="G49" t="str">
            <v>003QUICKSAND</v>
          </cell>
          <cell r="H49">
            <v>2040</v>
          </cell>
        </row>
        <row r="50">
          <cell r="G50" t="str">
            <v>004COTOPAXI</v>
          </cell>
          <cell r="H50">
            <v>2010</v>
          </cell>
        </row>
        <row r="51">
          <cell r="G51" t="str">
            <v>004DEEP PURPLE</v>
          </cell>
          <cell r="H51">
            <v>21360</v>
          </cell>
        </row>
        <row r="52">
          <cell r="G52" t="str">
            <v>004HOT EXPLORER</v>
          </cell>
          <cell r="H52">
            <v>3900</v>
          </cell>
        </row>
        <row r="53">
          <cell r="G53" t="str">
            <v>004HOT MERENGUE</v>
          </cell>
          <cell r="H53">
            <v>3210</v>
          </cell>
        </row>
        <row r="54">
          <cell r="G54" t="str">
            <v>004SWEETNESS</v>
          </cell>
          <cell r="H54">
            <v>510</v>
          </cell>
        </row>
        <row r="55">
          <cell r="G55" t="str">
            <v>005EXPLORER</v>
          </cell>
          <cell r="H55">
            <v>1925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2350</v>
          </cell>
        </row>
        <row r="58">
          <cell r="G58" t="str">
            <v>005VENDELA</v>
          </cell>
          <cell r="H58">
            <v>1680</v>
          </cell>
        </row>
        <row r="59">
          <cell r="G59" t="str">
            <v>006ATOMIC</v>
          </cell>
          <cell r="H59">
            <v>1275</v>
          </cell>
        </row>
        <row r="60">
          <cell r="G60" t="str">
            <v>006EXPLORER</v>
          </cell>
          <cell r="H60">
            <v>8050</v>
          </cell>
        </row>
        <row r="61">
          <cell r="G61" t="str">
            <v>006MONDIAL</v>
          </cell>
          <cell r="H61">
            <v>6625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8100</v>
          </cell>
        </row>
        <row r="64">
          <cell r="G64" t="str">
            <v>007REDIANT</v>
          </cell>
          <cell r="H64">
            <v>1920</v>
          </cell>
        </row>
        <row r="65">
          <cell r="G65" t="str">
            <v>007SUMMER ROMANCE</v>
          </cell>
          <cell r="H65">
            <v>225</v>
          </cell>
        </row>
        <row r="66">
          <cell r="G66" t="str">
            <v>007VENDELA</v>
          </cell>
          <cell r="H66">
            <v>9210</v>
          </cell>
        </row>
        <row r="67">
          <cell r="G67" t="str">
            <v>008DEEP PURPLE</v>
          </cell>
          <cell r="H67">
            <v>8190</v>
          </cell>
        </row>
        <row r="68">
          <cell r="G68" t="str">
            <v>008FREEDOM</v>
          </cell>
          <cell r="H68">
            <v>4380</v>
          </cell>
        </row>
        <row r="69">
          <cell r="G69" t="str">
            <v>008JOCKER</v>
          </cell>
          <cell r="H69">
            <v>5500</v>
          </cell>
        </row>
        <row r="70">
          <cell r="G70" t="str">
            <v>008LUMIA</v>
          </cell>
          <cell r="H70">
            <v>3240</v>
          </cell>
        </row>
        <row r="71">
          <cell r="G71" t="str">
            <v>010COOLDOWN</v>
          </cell>
          <cell r="H71">
            <v>3520</v>
          </cell>
        </row>
        <row r="72">
          <cell r="G72" t="str">
            <v>010VIOLET HILL</v>
          </cell>
          <cell r="H72">
            <v>6180</v>
          </cell>
        </row>
        <row r="73">
          <cell r="G73" t="str">
            <v>011BRIGHTON</v>
          </cell>
          <cell r="H73">
            <v>3325</v>
          </cell>
        </row>
        <row r="74">
          <cell r="G74" t="str">
            <v>011CANDLELIGHT</v>
          </cell>
          <cell r="H74">
            <v>7180</v>
          </cell>
        </row>
        <row r="75">
          <cell r="G75" t="str">
            <v>011CAYENNE</v>
          </cell>
          <cell r="H75">
            <v>1650</v>
          </cell>
        </row>
        <row r="76">
          <cell r="G76" t="str">
            <v>011LUMIA</v>
          </cell>
          <cell r="H76">
            <v>1890</v>
          </cell>
        </row>
        <row r="77">
          <cell r="G77" t="str">
            <v>011STARDUST</v>
          </cell>
          <cell r="H77">
            <v>3800</v>
          </cell>
        </row>
        <row r="78">
          <cell r="G78" t="str">
            <v>012DEEP PURPLE</v>
          </cell>
          <cell r="H78">
            <v>22050</v>
          </cell>
        </row>
        <row r="79">
          <cell r="G79" t="str">
            <v>012LIGHT HOUSE</v>
          </cell>
          <cell r="H79">
            <v>2040</v>
          </cell>
        </row>
        <row r="80">
          <cell r="G80" t="str">
            <v>013COUNTRY BLUES</v>
          </cell>
          <cell r="H80">
            <v>1240</v>
          </cell>
        </row>
        <row r="81">
          <cell r="G81" t="str">
            <v>013LORRAINE</v>
          </cell>
          <cell r="H81">
            <v>4175</v>
          </cell>
        </row>
        <row r="82">
          <cell r="G82" t="str">
            <v>013LUMIA</v>
          </cell>
          <cell r="H82">
            <v>900</v>
          </cell>
        </row>
        <row r="83">
          <cell r="G83" t="str">
            <v>013VENDELA</v>
          </cell>
          <cell r="H83">
            <v>13380</v>
          </cell>
        </row>
        <row r="84">
          <cell r="G84" t="str">
            <v>014STARDUST</v>
          </cell>
          <cell r="H84">
            <v>7475</v>
          </cell>
        </row>
        <row r="85">
          <cell r="G85" t="str">
            <v>015JOCKER</v>
          </cell>
          <cell r="H85">
            <v>6175</v>
          </cell>
        </row>
        <row r="86">
          <cell r="G86" t="str">
            <v>016DREAM IN PEACH</v>
          </cell>
          <cell r="H86">
            <v>2400</v>
          </cell>
        </row>
        <row r="87">
          <cell r="G87" t="str">
            <v>016NINA</v>
          </cell>
          <cell r="H87">
            <v>4900</v>
          </cell>
        </row>
        <row r="88">
          <cell r="G88" t="str">
            <v>017FREEDOM</v>
          </cell>
          <cell r="H88">
            <v>5880</v>
          </cell>
        </row>
        <row r="89">
          <cell r="G89" t="str">
            <v>017GOLDFINCH</v>
          </cell>
          <cell r="H89">
            <v>3325</v>
          </cell>
        </row>
        <row r="90">
          <cell r="G90" t="str">
            <v>018BRIGHTON</v>
          </cell>
          <cell r="H90">
            <v>2700</v>
          </cell>
        </row>
        <row r="91">
          <cell r="G91" t="str">
            <v>019BRIGHTON</v>
          </cell>
          <cell r="H91">
            <v>8350</v>
          </cell>
        </row>
        <row r="92">
          <cell r="G92" t="str">
            <v>019TABATHA</v>
          </cell>
          <cell r="H92">
            <v>2610</v>
          </cell>
        </row>
        <row r="93">
          <cell r="G93" t="str">
            <v>020BRIGHTON</v>
          </cell>
          <cell r="H93">
            <v>6700</v>
          </cell>
        </row>
        <row r="94">
          <cell r="G94" t="str">
            <v>020TYCOON</v>
          </cell>
          <cell r="H94">
            <v>1380</v>
          </cell>
        </row>
        <row r="95">
          <cell r="G95" t="str">
            <v>021SHOW GIRL</v>
          </cell>
          <cell r="H95">
            <v>1475</v>
          </cell>
        </row>
        <row r="96">
          <cell r="G96" t="str">
            <v>022CORAL REEF</v>
          </cell>
          <cell r="H96">
            <v>2725</v>
          </cell>
        </row>
        <row r="97">
          <cell r="G97" t="str">
            <v>023COTOPAXI</v>
          </cell>
          <cell r="H97">
            <v>6570</v>
          </cell>
        </row>
        <row r="98">
          <cell r="G98" t="str">
            <v>023FRUTTETO</v>
          </cell>
          <cell r="H98">
            <v>8490</v>
          </cell>
        </row>
        <row r="99">
          <cell r="G99" t="str">
            <v>024COTOPAXI</v>
          </cell>
          <cell r="H99">
            <v>3150</v>
          </cell>
        </row>
        <row r="100">
          <cell r="G100" t="str">
            <v>024SWEETNESS</v>
          </cell>
          <cell r="H100">
            <v>1950</v>
          </cell>
        </row>
        <row r="101">
          <cell r="G101" t="str">
            <v>024TYCOON</v>
          </cell>
          <cell r="H101">
            <v>4230</v>
          </cell>
        </row>
        <row r="102">
          <cell r="G102" t="str">
            <v>025PINK MONDIAL</v>
          </cell>
          <cell r="H102">
            <v>5700</v>
          </cell>
        </row>
        <row r="103">
          <cell r="G103" t="str">
            <v>026LOLA</v>
          </cell>
          <cell r="H103">
            <v>6300</v>
          </cell>
        </row>
        <row r="104">
          <cell r="G104" t="str">
            <v>026PALOMA</v>
          </cell>
          <cell r="H104">
            <v>7150</v>
          </cell>
        </row>
        <row r="105">
          <cell r="G105" t="str">
            <v>027SATISFACTION</v>
          </cell>
          <cell r="H105">
            <v>5460</v>
          </cell>
        </row>
        <row r="106">
          <cell r="G106" t="str">
            <v>027TIFFANY</v>
          </cell>
          <cell r="H106">
            <v>4590</v>
          </cell>
        </row>
        <row r="107">
          <cell r="G107" t="str">
            <v>028COTOPAXI</v>
          </cell>
          <cell r="H107">
            <v>5850</v>
          </cell>
        </row>
        <row r="108">
          <cell r="G108" t="str">
            <v>028DEEP PURPLE</v>
          </cell>
          <cell r="H108">
            <v>9150</v>
          </cell>
        </row>
        <row r="109">
          <cell r="G109" t="str">
            <v>029PINK FLOYD</v>
          </cell>
          <cell r="H109">
            <v>3875</v>
          </cell>
        </row>
        <row r="110">
          <cell r="G110" t="str">
            <v>030EXPLORER</v>
          </cell>
          <cell r="H110">
            <v>3725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8440</v>
          </cell>
        </row>
        <row r="3">
          <cell r="G3" t="str">
            <v>004BELLINA</v>
          </cell>
          <cell r="H3">
            <v>1965</v>
          </cell>
        </row>
        <row r="4">
          <cell r="G4" t="str">
            <v>005ELBA</v>
          </cell>
          <cell r="H4">
            <v>5700</v>
          </cell>
        </row>
        <row r="5">
          <cell r="G5" t="str">
            <v>005HOT BUBBLES</v>
          </cell>
          <cell r="H5">
            <v>1080</v>
          </cell>
        </row>
        <row r="6">
          <cell r="G6" t="str">
            <v>005SUSPIRO</v>
          </cell>
          <cell r="H6">
            <v>3090</v>
          </cell>
        </row>
        <row r="7">
          <cell r="G7" t="str">
            <v>007SNOW BUBBLES</v>
          </cell>
          <cell r="H7">
            <v>1580</v>
          </cell>
        </row>
        <row r="8">
          <cell r="G8" t="str">
            <v>009HOT BUBBLES</v>
          </cell>
          <cell r="H8">
            <v>7400</v>
          </cell>
        </row>
        <row r="9">
          <cell r="G9" t="str">
            <v>014FRUITY BUBBLES</v>
          </cell>
          <cell r="H9">
            <v>4425</v>
          </cell>
        </row>
        <row r="10">
          <cell r="G10" t="str">
            <v>015FELLINI</v>
          </cell>
          <cell r="H10">
            <v>7680</v>
          </cell>
        </row>
        <row r="11">
          <cell r="G11" t="str">
            <v>016GOOD PEACH</v>
          </cell>
          <cell r="H11">
            <v>3360</v>
          </cell>
        </row>
        <row r="12">
          <cell r="G12" t="str">
            <v>016GOOD YELLOW</v>
          </cell>
          <cell r="H12">
            <v>4680</v>
          </cell>
        </row>
        <row r="13">
          <cell r="G13" t="str">
            <v>017ORANGE STAR</v>
          </cell>
          <cell r="H13">
            <v>1800</v>
          </cell>
        </row>
        <row r="14">
          <cell r="G14" t="str">
            <v>018COSMO</v>
          </cell>
          <cell r="H14">
            <v>5275</v>
          </cell>
        </row>
        <row r="15">
          <cell r="G15" t="str">
            <v>018RUBICON</v>
          </cell>
          <cell r="H15">
            <v>3540</v>
          </cell>
        </row>
        <row r="16">
          <cell r="G16" t="str">
            <v>019BELLINA</v>
          </cell>
          <cell r="H16">
            <v>1740</v>
          </cell>
        </row>
        <row r="17">
          <cell r="G17" t="str">
            <v>020SUMMER DANCE</v>
          </cell>
          <cell r="H17">
            <v>3675</v>
          </cell>
        </row>
        <row r="18">
          <cell r="G18" t="str">
            <v>021ELEGANT ROSEVER</v>
          </cell>
          <cell r="H18">
            <v>540</v>
          </cell>
        </row>
        <row r="19">
          <cell r="G19" t="str">
            <v>021FLAME CLUB</v>
          </cell>
          <cell r="H19">
            <v>1450</v>
          </cell>
        </row>
        <row r="20">
          <cell r="G20" t="str">
            <v>021KELLY</v>
          </cell>
          <cell r="H20">
            <v>450</v>
          </cell>
        </row>
        <row r="21">
          <cell r="G21" t="str">
            <v>021LEILA</v>
          </cell>
          <cell r="H21">
            <v>700</v>
          </cell>
        </row>
        <row r="22">
          <cell r="G22" t="str">
            <v>021PISTACHIO KISS</v>
          </cell>
          <cell r="H22">
            <v>75</v>
          </cell>
        </row>
        <row r="23">
          <cell r="G23" t="str">
            <v>021SNOW BUBBLES</v>
          </cell>
          <cell r="H23">
            <v>2440</v>
          </cell>
        </row>
        <row r="24">
          <cell r="G24" t="str">
            <v>022FRUITY BUBBLES</v>
          </cell>
          <cell r="H24">
            <v>4650</v>
          </cell>
        </row>
        <row r="25">
          <cell r="G25" t="str">
            <v>022GOOD PEACH</v>
          </cell>
          <cell r="H25">
            <v>2070</v>
          </cell>
        </row>
        <row r="26">
          <cell r="G26" t="str">
            <v>022MIRABEL</v>
          </cell>
          <cell r="H26">
            <v>2180</v>
          </cell>
        </row>
        <row r="27">
          <cell r="G27" t="str">
            <v>030MIRABEL</v>
          </cell>
          <cell r="H27">
            <v>4980</v>
          </cell>
        </row>
        <row r="28">
          <cell r="G28" t="str">
            <v>030SOMERSET</v>
          </cell>
          <cell r="H28">
            <v>4000</v>
          </cell>
        </row>
        <row r="29">
          <cell r="G29" t="str">
            <v>03182989</v>
          </cell>
          <cell r="H29">
            <v>780</v>
          </cell>
        </row>
        <row r="30">
          <cell r="G30" t="str">
            <v>031RUBICON</v>
          </cell>
          <cell r="H30">
            <v>2700</v>
          </cell>
        </row>
        <row r="31">
          <cell r="G31" t="str">
            <v>031SOMERSET</v>
          </cell>
          <cell r="H31">
            <v>960</v>
          </cell>
        </row>
        <row r="32">
          <cell r="G32" t="str">
            <v>031VELVET BLOSSOMS</v>
          </cell>
          <cell r="H32">
            <v>760</v>
          </cell>
        </row>
        <row r="33">
          <cell r="G33" t="str">
            <v>032ELBA</v>
          </cell>
          <cell r="H33">
            <v>3090</v>
          </cell>
        </row>
        <row r="34">
          <cell r="G34" t="str">
            <v>032MIRABEL</v>
          </cell>
          <cell r="H34">
            <v>1880</v>
          </cell>
        </row>
        <row r="35">
          <cell r="G35" t="str">
            <v>033CREAMY FOLIES</v>
          </cell>
          <cell r="H35">
            <v>780</v>
          </cell>
        </row>
        <row r="36">
          <cell r="G36" t="str">
            <v>033HOT BUBBLES</v>
          </cell>
          <cell r="H36">
            <v>5780</v>
          </cell>
        </row>
        <row r="37">
          <cell r="G37" t="str">
            <v>001BELIEVE IN PINK</v>
          </cell>
          <cell r="H37">
            <v>1350</v>
          </cell>
        </row>
        <row r="38">
          <cell r="G38" t="str">
            <v>001EXPLORER</v>
          </cell>
          <cell r="H38">
            <v>4000</v>
          </cell>
        </row>
        <row r="39">
          <cell r="G39" t="str">
            <v>001GRACE KELLY</v>
          </cell>
          <cell r="H39">
            <v>2430</v>
          </cell>
        </row>
        <row r="40">
          <cell r="G40" t="str">
            <v>001LIGHT HOUSE</v>
          </cell>
          <cell r="H40">
            <v>2850</v>
          </cell>
        </row>
        <row r="41">
          <cell r="G41" t="str">
            <v>001LUMIA</v>
          </cell>
          <cell r="H41">
            <v>3300</v>
          </cell>
        </row>
        <row r="42">
          <cell r="G42" t="str">
            <v>001MOMENTUM</v>
          </cell>
          <cell r="H42">
            <v>5275</v>
          </cell>
        </row>
        <row r="43">
          <cell r="G43" t="str">
            <v>002SUMMER ROMANCE</v>
          </cell>
          <cell r="H43">
            <v>1275</v>
          </cell>
        </row>
        <row r="44">
          <cell r="G44" t="str">
            <v>002SWEETNESS</v>
          </cell>
          <cell r="H44">
            <v>6870</v>
          </cell>
        </row>
        <row r="45">
          <cell r="G45" t="str">
            <v>003CABARET</v>
          </cell>
          <cell r="H45">
            <v>6870</v>
          </cell>
        </row>
        <row r="46">
          <cell r="G46" t="str">
            <v>003DEEP PURPLE</v>
          </cell>
          <cell r="H46">
            <v>8820</v>
          </cell>
        </row>
        <row r="47">
          <cell r="G47" t="str">
            <v>003EXPLORER</v>
          </cell>
          <cell r="H47">
            <v>2125</v>
          </cell>
        </row>
        <row r="48">
          <cell r="G48" t="str">
            <v>003JOCKER</v>
          </cell>
          <cell r="H48">
            <v>1125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900</v>
          </cell>
        </row>
        <row r="51">
          <cell r="G51" t="str">
            <v>004DEEP PURPLE</v>
          </cell>
          <cell r="H51">
            <v>12060</v>
          </cell>
        </row>
        <row r="52">
          <cell r="G52" t="str">
            <v>004HOT EXPLORER</v>
          </cell>
          <cell r="H52">
            <v>1675</v>
          </cell>
        </row>
        <row r="53">
          <cell r="G53" t="str">
            <v>004HOT MERENGUE</v>
          </cell>
          <cell r="H53">
            <v>2610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1425</v>
          </cell>
        </row>
        <row r="56">
          <cell r="G56" t="str">
            <v>005GOLDFINCH</v>
          </cell>
          <cell r="H56">
            <v>900</v>
          </cell>
        </row>
        <row r="57">
          <cell r="G57" t="str">
            <v>005JOCKER</v>
          </cell>
          <cell r="H57">
            <v>2375</v>
          </cell>
        </row>
        <row r="58">
          <cell r="G58" t="str">
            <v>005VENDELA</v>
          </cell>
          <cell r="H58">
            <v>1710</v>
          </cell>
        </row>
        <row r="59">
          <cell r="G59" t="str">
            <v>006ATOMIC</v>
          </cell>
          <cell r="H59">
            <v>950</v>
          </cell>
        </row>
        <row r="60">
          <cell r="G60" t="str">
            <v>006EXPLORER</v>
          </cell>
          <cell r="H60">
            <v>5100</v>
          </cell>
        </row>
        <row r="61">
          <cell r="G61" t="str">
            <v>006MONDIAL</v>
          </cell>
          <cell r="H61">
            <v>9500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5850</v>
          </cell>
        </row>
        <row r="64">
          <cell r="G64" t="str">
            <v>007REDIANT</v>
          </cell>
          <cell r="H64">
            <v>2160</v>
          </cell>
        </row>
        <row r="65">
          <cell r="G65" t="str">
            <v>007SUMMER ROMANCE</v>
          </cell>
          <cell r="H65">
            <v>400</v>
          </cell>
        </row>
        <row r="66">
          <cell r="G66" t="str">
            <v>007VENDELA</v>
          </cell>
          <cell r="H66">
            <v>10650</v>
          </cell>
        </row>
        <row r="67">
          <cell r="G67" t="str">
            <v>008DEEP PURPLE</v>
          </cell>
          <cell r="H67">
            <v>5670</v>
          </cell>
        </row>
        <row r="68">
          <cell r="G68" t="str">
            <v>008FREEDOM</v>
          </cell>
          <cell r="H68">
            <v>2610</v>
          </cell>
        </row>
        <row r="69">
          <cell r="G69" t="str">
            <v>008JOCKER</v>
          </cell>
          <cell r="H69">
            <v>5750</v>
          </cell>
        </row>
        <row r="70">
          <cell r="G70" t="str">
            <v>008LUMIA</v>
          </cell>
          <cell r="H70">
            <v>2850</v>
          </cell>
        </row>
        <row r="71">
          <cell r="G71" t="str">
            <v>010COOLDOWN</v>
          </cell>
          <cell r="H71">
            <v>3825</v>
          </cell>
        </row>
        <row r="72">
          <cell r="G72" t="str">
            <v>010VIOLET HILL</v>
          </cell>
          <cell r="H72">
            <v>5850</v>
          </cell>
        </row>
        <row r="73">
          <cell r="G73" t="str">
            <v>011BRIGHTON</v>
          </cell>
          <cell r="H73">
            <v>3550</v>
          </cell>
        </row>
        <row r="74">
          <cell r="G74" t="str">
            <v>011CANDLELIGHT</v>
          </cell>
          <cell r="H74">
            <v>4640</v>
          </cell>
        </row>
        <row r="75">
          <cell r="G75" t="str">
            <v>011CAYENNE</v>
          </cell>
          <cell r="H75">
            <v>1530</v>
          </cell>
        </row>
        <row r="76">
          <cell r="G76" t="str">
            <v>011LUMIA</v>
          </cell>
          <cell r="H76">
            <v>2640</v>
          </cell>
        </row>
        <row r="77">
          <cell r="G77" t="str">
            <v>011STARDUST</v>
          </cell>
          <cell r="H77">
            <v>4525</v>
          </cell>
        </row>
        <row r="78">
          <cell r="G78" t="str">
            <v>012DEEP PURPLE</v>
          </cell>
          <cell r="H78">
            <v>19410</v>
          </cell>
        </row>
        <row r="79">
          <cell r="G79" t="str">
            <v>012LIGHT HOUSE</v>
          </cell>
          <cell r="H79">
            <v>2100</v>
          </cell>
        </row>
        <row r="80">
          <cell r="G80" t="str">
            <v>013COUNTRY BLUES</v>
          </cell>
          <cell r="H80">
            <v>1400</v>
          </cell>
        </row>
        <row r="81">
          <cell r="G81" t="str">
            <v>013LORRAINE</v>
          </cell>
          <cell r="H81">
            <v>4025</v>
          </cell>
        </row>
        <row r="82">
          <cell r="G82" t="str">
            <v>013LUMIA</v>
          </cell>
          <cell r="H82">
            <v>960</v>
          </cell>
        </row>
        <row r="83">
          <cell r="G83" t="str">
            <v>013VENDELA</v>
          </cell>
          <cell r="H83">
            <v>12150</v>
          </cell>
        </row>
        <row r="84">
          <cell r="G84" t="str">
            <v>014STARDUST</v>
          </cell>
          <cell r="H84">
            <v>8575</v>
          </cell>
        </row>
        <row r="85">
          <cell r="G85" t="str">
            <v>015JOCKER</v>
          </cell>
          <cell r="H85">
            <v>6750</v>
          </cell>
        </row>
        <row r="86">
          <cell r="G86" t="str">
            <v>016DREAM IN PEACH</v>
          </cell>
          <cell r="H86">
            <v>1800</v>
          </cell>
        </row>
        <row r="87">
          <cell r="G87" t="str">
            <v>016NINA</v>
          </cell>
          <cell r="H87">
            <v>3300</v>
          </cell>
        </row>
        <row r="88">
          <cell r="G88" t="str">
            <v>017FREEDOM</v>
          </cell>
          <cell r="H88">
            <v>5400</v>
          </cell>
        </row>
        <row r="89">
          <cell r="G89" t="str">
            <v>017GOLDFINCH</v>
          </cell>
          <cell r="H89">
            <v>3725</v>
          </cell>
        </row>
        <row r="90">
          <cell r="G90" t="str">
            <v>018BRIGHTON</v>
          </cell>
          <cell r="H90">
            <v>2475</v>
          </cell>
        </row>
        <row r="91">
          <cell r="G91" t="str">
            <v>019BRIGHTON</v>
          </cell>
          <cell r="H91">
            <v>9375</v>
          </cell>
        </row>
        <row r="92">
          <cell r="G92" t="str">
            <v>019TABATHA</v>
          </cell>
          <cell r="H92">
            <v>2490</v>
          </cell>
        </row>
        <row r="93">
          <cell r="G93" t="str">
            <v>020BRIGHTON</v>
          </cell>
          <cell r="H93">
            <v>5500</v>
          </cell>
        </row>
        <row r="94">
          <cell r="G94" t="str">
            <v>020TYCOON</v>
          </cell>
          <cell r="H94">
            <v>1350</v>
          </cell>
        </row>
        <row r="95">
          <cell r="G95" t="str">
            <v>021SHOW GIRL</v>
          </cell>
          <cell r="H95">
            <v>1200</v>
          </cell>
        </row>
        <row r="96">
          <cell r="G96" t="str">
            <v>022CORAL REEF</v>
          </cell>
          <cell r="H96">
            <v>2375</v>
          </cell>
        </row>
        <row r="97">
          <cell r="G97" t="str">
            <v>023COTOPAXI</v>
          </cell>
          <cell r="H97">
            <v>6330</v>
          </cell>
        </row>
        <row r="98">
          <cell r="G98" t="str">
            <v>023FRUTTETO</v>
          </cell>
          <cell r="H98">
            <v>6960</v>
          </cell>
        </row>
        <row r="99">
          <cell r="G99" t="str">
            <v>024COTOPAXI</v>
          </cell>
          <cell r="H99">
            <v>4440</v>
          </cell>
        </row>
        <row r="100">
          <cell r="G100" t="str">
            <v>024SWEETNESS</v>
          </cell>
          <cell r="H100">
            <v>2220</v>
          </cell>
        </row>
        <row r="101">
          <cell r="G101" t="str">
            <v>024TYCOON</v>
          </cell>
          <cell r="H101">
            <v>5070</v>
          </cell>
        </row>
        <row r="102">
          <cell r="G102" t="str">
            <v>025PINK MONDIAL</v>
          </cell>
          <cell r="H102">
            <v>7400</v>
          </cell>
        </row>
        <row r="103">
          <cell r="G103" t="str">
            <v>026LOLA</v>
          </cell>
          <cell r="H103">
            <v>3400</v>
          </cell>
        </row>
        <row r="104">
          <cell r="G104" t="str">
            <v>026PALOMA</v>
          </cell>
          <cell r="H104">
            <v>4675</v>
          </cell>
        </row>
        <row r="105">
          <cell r="G105" t="str">
            <v>027SATISFACTION</v>
          </cell>
          <cell r="H105">
            <v>7230</v>
          </cell>
        </row>
        <row r="106">
          <cell r="G106" t="str">
            <v>027TIFFANY</v>
          </cell>
          <cell r="H106">
            <v>6360</v>
          </cell>
        </row>
        <row r="107">
          <cell r="G107" t="str">
            <v>028COTOPAXI</v>
          </cell>
          <cell r="H107">
            <v>5010</v>
          </cell>
        </row>
        <row r="108">
          <cell r="G108" t="str">
            <v>028DEEP PURPLE</v>
          </cell>
          <cell r="H108">
            <v>7260</v>
          </cell>
        </row>
        <row r="109">
          <cell r="G109" t="str">
            <v>029PINK FLOYD</v>
          </cell>
          <cell r="H109">
            <v>4350</v>
          </cell>
        </row>
        <row r="110">
          <cell r="G110" t="str">
            <v>030EXPLORER</v>
          </cell>
          <cell r="H110">
            <v>2600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8520</v>
          </cell>
        </row>
        <row r="3">
          <cell r="G3" t="str">
            <v>004BELLINA</v>
          </cell>
          <cell r="H3">
            <v>2370</v>
          </cell>
        </row>
        <row r="4">
          <cell r="G4" t="str">
            <v>005ELBA</v>
          </cell>
          <cell r="H4">
            <v>7080</v>
          </cell>
        </row>
        <row r="5">
          <cell r="G5" t="str">
            <v>005HOT BUBBLES</v>
          </cell>
          <cell r="H5">
            <v>1280</v>
          </cell>
        </row>
        <row r="6">
          <cell r="G6" t="str">
            <v>005SUSPIRO</v>
          </cell>
          <cell r="H6">
            <v>3660</v>
          </cell>
        </row>
        <row r="7">
          <cell r="G7" t="str">
            <v>007SNOW BUBBLES</v>
          </cell>
          <cell r="H7">
            <v>1500</v>
          </cell>
        </row>
        <row r="8">
          <cell r="G8" t="str">
            <v>009HOT BUBBLES</v>
          </cell>
          <cell r="H8">
            <v>8520</v>
          </cell>
        </row>
        <row r="9">
          <cell r="G9" t="str">
            <v>014FRUITY BUBBLES</v>
          </cell>
          <cell r="H9">
            <v>3975</v>
          </cell>
        </row>
        <row r="10">
          <cell r="G10" t="str">
            <v>015FELLINI</v>
          </cell>
          <cell r="H10">
            <v>6660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4050</v>
          </cell>
        </row>
        <row r="13">
          <cell r="G13" t="str">
            <v>017ORANGE STAR</v>
          </cell>
          <cell r="H13">
            <v>1475</v>
          </cell>
        </row>
        <row r="14">
          <cell r="G14" t="str">
            <v>018COSMO</v>
          </cell>
          <cell r="H14">
            <v>4625</v>
          </cell>
        </row>
        <row r="15">
          <cell r="G15" t="str">
            <v>018RUBICON</v>
          </cell>
          <cell r="H15">
            <v>3510</v>
          </cell>
        </row>
        <row r="16">
          <cell r="G16" t="str">
            <v>019BELLINA</v>
          </cell>
          <cell r="H16">
            <v>2190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1425</v>
          </cell>
        </row>
        <row r="20">
          <cell r="G20" t="str">
            <v>021KELLY</v>
          </cell>
          <cell r="H20">
            <v>475</v>
          </cell>
        </row>
        <row r="21">
          <cell r="G21" t="str">
            <v>021LEILA</v>
          </cell>
          <cell r="H21">
            <v>875</v>
          </cell>
        </row>
        <row r="22">
          <cell r="G22" t="str">
            <v>021PISTACHIO KISS</v>
          </cell>
          <cell r="H22">
            <v>600</v>
          </cell>
        </row>
        <row r="23">
          <cell r="G23" t="str">
            <v>021SNOW BUBBLES</v>
          </cell>
          <cell r="H23">
            <v>2720</v>
          </cell>
        </row>
        <row r="24">
          <cell r="G24" t="str">
            <v>022FRUITY BUBBLES</v>
          </cell>
          <cell r="H24">
            <v>5000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2380</v>
          </cell>
        </row>
        <row r="27">
          <cell r="G27" t="str">
            <v>030MIRABEL</v>
          </cell>
          <cell r="H27">
            <v>6960</v>
          </cell>
        </row>
        <row r="28">
          <cell r="G28" t="str">
            <v>030SOMERSET</v>
          </cell>
          <cell r="H28">
            <v>3720</v>
          </cell>
        </row>
        <row r="29">
          <cell r="G29" t="str">
            <v>03182989</v>
          </cell>
          <cell r="H29">
            <v>720</v>
          </cell>
        </row>
        <row r="30">
          <cell r="G30" t="str">
            <v>031RUBICON</v>
          </cell>
          <cell r="H30">
            <v>2400</v>
          </cell>
        </row>
        <row r="31">
          <cell r="G31" t="str">
            <v>031SOMERSET</v>
          </cell>
          <cell r="H31">
            <v>900</v>
          </cell>
        </row>
        <row r="32">
          <cell r="G32" t="str">
            <v>031VELVET BLOSSOMS</v>
          </cell>
          <cell r="H32">
            <v>1020</v>
          </cell>
        </row>
        <row r="33">
          <cell r="G33" t="str">
            <v>032ELBA</v>
          </cell>
          <cell r="H33">
            <v>3090</v>
          </cell>
        </row>
        <row r="34">
          <cell r="G34" t="str">
            <v>032MIRABEL</v>
          </cell>
          <cell r="H34">
            <v>2100</v>
          </cell>
        </row>
        <row r="35">
          <cell r="G35" t="str">
            <v>033CREAMY FOLIES</v>
          </cell>
          <cell r="H35">
            <v>1170</v>
          </cell>
        </row>
        <row r="36">
          <cell r="G36" t="str">
            <v>033HOT BUBBLES</v>
          </cell>
          <cell r="H36">
            <v>4920</v>
          </cell>
        </row>
        <row r="37">
          <cell r="G37" t="str">
            <v>001BELIEVE IN PINK</v>
          </cell>
          <cell r="H37">
            <v>1470</v>
          </cell>
        </row>
        <row r="38">
          <cell r="G38" t="str">
            <v>001EXPLORER</v>
          </cell>
          <cell r="H38">
            <v>3875</v>
          </cell>
        </row>
        <row r="39">
          <cell r="G39" t="str">
            <v>001GRACE KELLY</v>
          </cell>
          <cell r="H39">
            <v>2310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3510</v>
          </cell>
        </row>
        <row r="42">
          <cell r="G42" t="str">
            <v>001MOMENTUM</v>
          </cell>
          <cell r="H42">
            <v>4525</v>
          </cell>
        </row>
        <row r="43">
          <cell r="G43" t="str">
            <v>002SUMMER ROMANCE</v>
          </cell>
          <cell r="H43">
            <v>1500</v>
          </cell>
        </row>
        <row r="44">
          <cell r="G44" t="str">
            <v>002SWEETNESS</v>
          </cell>
          <cell r="H44">
            <v>6870</v>
          </cell>
        </row>
        <row r="45">
          <cell r="G45" t="str">
            <v>003CABARET</v>
          </cell>
          <cell r="H45">
            <v>6450</v>
          </cell>
        </row>
        <row r="46">
          <cell r="G46" t="str">
            <v>003DEEP PURPLE</v>
          </cell>
          <cell r="H46">
            <v>10170</v>
          </cell>
        </row>
        <row r="47">
          <cell r="G47" t="str">
            <v>003EXPLORER</v>
          </cell>
          <cell r="H47">
            <v>2125</v>
          </cell>
        </row>
        <row r="48">
          <cell r="G48" t="str">
            <v>003JOCKER</v>
          </cell>
          <cell r="H48">
            <v>1300</v>
          </cell>
        </row>
        <row r="49">
          <cell r="G49" t="str">
            <v>003QUICKSAND</v>
          </cell>
          <cell r="H49">
            <v>2220</v>
          </cell>
        </row>
        <row r="50">
          <cell r="G50" t="str">
            <v>004COTOPAXI</v>
          </cell>
          <cell r="H50">
            <v>1440</v>
          </cell>
        </row>
        <row r="51">
          <cell r="G51" t="str">
            <v>004DEEP PURPLE</v>
          </cell>
          <cell r="H51">
            <v>12150</v>
          </cell>
        </row>
        <row r="52">
          <cell r="G52" t="str">
            <v>004HOT EXPLORER</v>
          </cell>
          <cell r="H52">
            <v>1375</v>
          </cell>
        </row>
        <row r="53">
          <cell r="G53" t="str">
            <v>004HOT MERENGUE</v>
          </cell>
          <cell r="H53">
            <v>2400</v>
          </cell>
        </row>
        <row r="54">
          <cell r="G54" t="str">
            <v>004SWEETNESS</v>
          </cell>
          <cell r="H54">
            <v>690</v>
          </cell>
        </row>
        <row r="55">
          <cell r="G55" t="str">
            <v>005EXPLORER</v>
          </cell>
          <cell r="H55">
            <v>1650</v>
          </cell>
        </row>
        <row r="56">
          <cell r="G56" t="str">
            <v>005GOLDFINCH</v>
          </cell>
          <cell r="H56">
            <v>900</v>
          </cell>
        </row>
        <row r="57">
          <cell r="G57" t="str">
            <v>005JOCKER</v>
          </cell>
          <cell r="H57">
            <v>3150</v>
          </cell>
        </row>
        <row r="58">
          <cell r="G58" t="str">
            <v>005VENDELA</v>
          </cell>
          <cell r="H58">
            <v>2100</v>
          </cell>
        </row>
        <row r="59">
          <cell r="G59" t="str">
            <v>006ATOMIC</v>
          </cell>
          <cell r="H59">
            <v>900</v>
          </cell>
        </row>
        <row r="60">
          <cell r="G60" t="str">
            <v>006EXPLORER</v>
          </cell>
          <cell r="H60">
            <v>6075</v>
          </cell>
        </row>
        <row r="61">
          <cell r="G61" t="str">
            <v>006MONDIAL</v>
          </cell>
          <cell r="H61">
            <v>10650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6060</v>
          </cell>
        </row>
        <row r="64">
          <cell r="G64" t="str">
            <v>007REDIANT</v>
          </cell>
          <cell r="H64">
            <v>2070</v>
          </cell>
        </row>
        <row r="65">
          <cell r="G65" t="str">
            <v>007SUMMER ROMANCE</v>
          </cell>
          <cell r="H65">
            <v>575</v>
          </cell>
        </row>
        <row r="66">
          <cell r="G66" t="str">
            <v>007VENDELA</v>
          </cell>
          <cell r="H66">
            <v>11430</v>
          </cell>
        </row>
        <row r="67">
          <cell r="G67" t="str">
            <v>008DEEP PURPLE</v>
          </cell>
          <cell r="H67">
            <v>5880</v>
          </cell>
        </row>
        <row r="68">
          <cell r="G68" t="str">
            <v>008FREEDOM</v>
          </cell>
          <cell r="H68">
            <v>5070</v>
          </cell>
        </row>
        <row r="69">
          <cell r="G69" t="str">
            <v>008JOCKER</v>
          </cell>
          <cell r="H69">
            <v>5550</v>
          </cell>
        </row>
        <row r="70">
          <cell r="G70" t="str">
            <v>008LUMIA</v>
          </cell>
          <cell r="H70">
            <v>2490</v>
          </cell>
        </row>
        <row r="71">
          <cell r="G71" t="str">
            <v>010COOLDOWN</v>
          </cell>
          <cell r="H71">
            <v>4225</v>
          </cell>
        </row>
        <row r="72">
          <cell r="G72" t="str">
            <v>010VIOLET HILL</v>
          </cell>
          <cell r="H72">
            <v>5040</v>
          </cell>
        </row>
        <row r="73">
          <cell r="G73" t="str">
            <v>011BRIGHTON</v>
          </cell>
          <cell r="H73">
            <v>4000</v>
          </cell>
        </row>
        <row r="74">
          <cell r="G74" t="str">
            <v>011CANDLELIGHT</v>
          </cell>
          <cell r="H74">
            <v>3860</v>
          </cell>
        </row>
        <row r="75">
          <cell r="G75" t="str">
            <v>011CAYENNE</v>
          </cell>
          <cell r="H75">
            <v>1410</v>
          </cell>
        </row>
        <row r="76">
          <cell r="G76" t="str">
            <v>011LUMIA</v>
          </cell>
          <cell r="H76">
            <v>1950</v>
          </cell>
        </row>
        <row r="77">
          <cell r="G77" t="str">
            <v>011STARDUST</v>
          </cell>
          <cell r="H77">
            <v>4175</v>
          </cell>
        </row>
        <row r="78">
          <cell r="G78" t="str">
            <v>012DEEP PURPLE</v>
          </cell>
          <cell r="H78">
            <v>21930</v>
          </cell>
        </row>
        <row r="79">
          <cell r="G79" t="str">
            <v>012LIGHT HOUSE</v>
          </cell>
          <cell r="H79">
            <v>1590</v>
          </cell>
        </row>
        <row r="80">
          <cell r="G80" t="str">
            <v>013COUNTRY BLUES</v>
          </cell>
          <cell r="H80">
            <v>1400</v>
          </cell>
        </row>
        <row r="81">
          <cell r="G81" t="str">
            <v>013LORRAINE</v>
          </cell>
          <cell r="H81">
            <v>4250</v>
          </cell>
        </row>
        <row r="82">
          <cell r="G82" t="str">
            <v>013LUMIA</v>
          </cell>
          <cell r="H82">
            <v>840</v>
          </cell>
        </row>
        <row r="83">
          <cell r="G83" t="str">
            <v>013VENDELA</v>
          </cell>
          <cell r="H83">
            <v>12840</v>
          </cell>
        </row>
        <row r="84">
          <cell r="G84" t="str">
            <v>014STARDUST</v>
          </cell>
          <cell r="H84">
            <v>7775</v>
          </cell>
        </row>
        <row r="85">
          <cell r="G85" t="str">
            <v>015JOCKER</v>
          </cell>
          <cell r="H85">
            <v>6175</v>
          </cell>
        </row>
        <row r="86">
          <cell r="G86" t="str">
            <v>016DREAM IN PEACH</v>
          </cell>
          <cell r="H86">
            <v>1770</v>
          </cell>
        </row>
        <row r="87">
          <cell r="G87" t="str">
            <v>016NINA</v>
          </cell>
          <cell r="H87">
            <v>3750</v>
          </cell>
        </row>
        <row r="88">
          <cell r="G88" t="str">
            <v>017FREEDOM</v>
          </cell>
          <cell r="H88">
            <v>6990</v>
          </cell>
        </row>
        <row r="89">
          <cell r="G89" t="str">
            <v>017GOLDFINCH</v>
          </cell>
          <cell r="H89">
            <v>4350</v>
          </cell>
        </row>
        <row r="90">
          <cell r="G90" t="str">
            <v>018BRIGHTON</v>
          </cell>
          <cell r="H90">
            <v>2400</v>
          </cell>
        </row>
        <row r="91">
          <cell r="G91" t="str">
            <v>019BRIGHTON</v>
          </cell>
          <cell r="H91">
            <v>7875</v>
          </cell>
        </row>
        <row r="92">
          <cell r="G92" t="str">
            <v>019TABATHA</v>
          </cell>
          <cell r="H92">
            <v>3600</v>
          </cell>
        </row>
        <row r="93">
          <cell r="G93" t="str">
            <v>020BRIGHTON</v>
          </cell>
          <cell r="H93">
            <v>6625</v>
          </cell>
        </row>
        <row r="94">
          <cell r="G94" t="str">
            <v>020TYCOON</v>
          </cell>
          <cell r="H94">
            <v>1200</v>
          </cell>
        </row>
        <row r="95">
          <cell r="G95" t="str">
            <v>021SHOW GIRL</v>
          </cell>
          <cell r="H95">
            <v>1375</v>
          </cell>
        </row>
        <row r="96">
          <cell r="G96" t="str">
            <v>022CORAL REEF</v>
          </cell>
          <cell r="H96">
            <v>2475</v>
          </cell>
        </row>
        <row r="97">
          <cell r="G97" t="str">
            <v>023COTOPAXI</v>
          </cell>
          <cell r="H97">
            <v>7980</v>
          </cell>
        </row>
        <row r="98">
          <cell r="G98" t="str">
            <v>023FRUTTETO</v>
          </cell>
          <cell r="H98">
            <v>6630</v>
          </cell>
        </row>
        <row r="99">
          <cell r="G99" t="str">
            <v>024COTOPAXI</v>
          </cell>
          <cell r="H99">
            <v>5430</v>
          </cell>
        </row>
        <row r="100">
          <cell r="G100" t="str">
            <v>024SWEETNESS</v>
          </cell>
          <cell r="H100">
            <v>2400</v>
          </cell>
        </row>
        <row r="101">
          <cell r="G101" t="str">
            <v>024TYCOON</v>
          </cell>
          <cell r="H101">
            <v>4500</v>
          </cell>
        </row>
        <row r="102">
          <cell r="G102" t="str">
            <v>025PINK MONDIAL</v>
          </cell>
          <cell r="H102">
            <v>8675</v>
          </cell>
        </row>
        <row r="103">
          <cell r="G103" t="str">
            <v>026LOLA</v>
          </cell>
          <cell r="H103">
            <v>3600</v>
          </cell>
        </row>
        <row r="104">
          <cell r="G104" t="str">
            <v>026PALOMA</v>
          </cell>
          <cell r="H104">
            <v>4750</v>
          </cell>
        </row>
        <row r="105">
          <cell r="G105" t="str">
            <v>027SATISFACTION</v>
          </cell>
          <cell r="H105">
            <v>6120</v>
          </cell>
        </row>
        <row r="106">
          <cell r="G106" t="str">
            <v>027TIFFANY</v>
          </cell>
          <cell r="H106">
            <v>6570</v>
          </cell>
        </row>
        <row r="107">
          <cell r="G107" t="str">
            <v>028COTOPAXI</v>
          </cell>
          <cell r="H107">
            <v>6930</v>
          </cell>
        </row>
        <row r="108">
          <cell r="G108" t="str">
            <v>028DEEP PURPLE</v>
          </cell>
          <cell r="H108">
            <v>9450</v>
          </cell>
        </row>
        <row r="109">
          <cell r="G109" t="str">
            <v>029PINK FLOYD</v>
          </cell>
          <cell r="H109">
            <v>4350</v>
          </cell>
        </row>
        <row r="110">
          <cell r="G110" t="str">
            <v>030EXPLORER</v>
          </cell>
          <cell r="H110">
            <v>3025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7460</v>
          </cell>
        </row>
        <row r="3">
          <cell r="G3" t="str">
            <v>004BELLINA</v>
          </cell>
          <cell r="H3">
            <v>2040</v>
          </cell>
        </row>
        <row r="4">
          <cell r="G4" t="str">
            <v>005ELBA</v>
          </cell>
          <cell r="H4">
            <v>6630</v>
          </cell>
        </row>
        <row r="5">
          <cell r="G5" t="str">
            <v>005HOT BUBBLES</v>
          </cell>
          <cell r="H5">
            <v>1300</v>
          </cell>
        </row>
        <row r="6">
          <cell r="G6" t="str">
            <v>005SUSPIRO</v>
          </cell>
          <cell r="H6">
            <v>5100</v>
          </cell>
        </row>
        <row r="7">
          <cell r="G7" t="str">
            <v>007SNOW BUBBLES</v>
          </cell>
          <cell r="H7">
            <v>1440</v>
          </cell>
        </row>
        <row r="8">
          <cell r="G8" t="str">
            <v>009HOT BUBBLES</v>
          </cell>
          <cell r="H8">
            <v>8220</v>
          </cell>
        </row>
        <row r="9">
          <cell r="G9" t="str">
            <v>014FRUITY BUBBLES</v>
          </cell>
          <cell r="H9">
            <v>4325</v>
          </cell>
        </row>
        <row r="10">
          <cell r="G10" t="str">
            <v>015FELLINI</v>
          </cell>
          <cell r="H10">
            <v>6420</v>
          </cell>
        </row>
        <row r="11">
          <cell r="G11" t="str">
            <v>016GOOD PEACH</v>
          </cell>
          <cell r="H11">
            <v>3360</v>
          </cell>
        </row>
        <row r="12">
          <cell r="G12" t="str">
            <v>016GOOD YELLOW</v>
          </cell>
          <cell r="H12">
            <v>4920</v>
          </cell>
        </row>
        <row r="13">
          <cell r="G13" t="str">
            <v>017ORANGE STAR</v>
          </cell>
          <cell r="H13">
            <v>1300</v>
          </cell>
        </row>
        <row r="14">
          <cell r="G14" t="str">
            <v>018COSMO</v>
          </cell>
          <cell r="H14">
            <v>3975</v>
          </cell>
        </row>
        <row r="15">
          <cell r="G15" t="str">
            <v>018RUBICON</v>
          </cell>
          <cell r="H15">
            <v>3210</v>
          </cell>
        </row>
        <row r="16">
          <cell r="G16" t="str">
            <v>019BELLINA</v>
          </cell>
          <cell r="H16">
            <v>2250</v>
          </cell>
        </row>
        <row r="17">
          <cell r="G17" t="str">
            <v>020SUMMER DANCE</v>
          </cell>
          <cell r="H17">
            <v>3850</v>
          </cell>
        </row>
        <row r="18">
          <cell r="G18" t="str">
            <v>021ELEGANT ROSEVER</v>
          </cell>
          <cell r="H18">
            <v>600</v>
          </cell>
        </row>
        <row r="19">
          <cell r="G19" t="str">
            <v>021FLAME CLUB</v>
          </cell>
          <cell r="H19">
            <v>1475</v>
          </cell>
        </row>
        <row r="20">
          <cell r="G20" t="str">
            <v>021KELLY</v>
          </cell>
          <cell r="H20">
            <v>400</v>
          </cell>
        </row>
        <row r="21">
          <cell r="G21" t="str">
            <v>021LEILA</v>
          </cell>
          <cell r="H21">
            <v>875</v>
          </cell>
        </row>
        <row r="22">
          <cell r="G22" t="str">
            <v>021PISTACHIO KISS</v>
          </cell>
          <cell r="H22">
            <v>800</v>
          </cell>
        </row>
        <row r="23">
          <cell r="G23" t="str">
            <v>021SNOW BUBBLES</v>
          </cell>
          <cell r="H23">
            <v>3060</v>
          </cell>
        </row>
        <row r="24">
          <cell r="G24" t="str">
            <v>022FRUITY BUBBLES</v>
          </cell>
          <cell r="H24">
            <v>6475</v>
          </cell>
        </row>
        <row r="25">
          <cell r="G25" t="str">
            <v>022GOOD PEACH</v>
          </cell>
          <cell r="H25">
            <v>2460</v>
          </cell>
        </row>
        <row r="26">
          <cell r="G26" t="str">
            <v>022MIRABEL</v>
          </cell>
          <cell r="H26">
            <v>2240</v>
          </cell>
        </row>
        <row r="27">
          <cell r="G27" t="str">
            <v>030MIRABEL</v>
          </cell>
          <cell r="H27">
            <v>7660</v>
          </cell>
        </row>
        <row r="28">
          <cell r="G28" t="str">
            <v>030SOMERSET</v>
          </cell>
          <cell r="H28">
            <v>3620</v>
          </cell>
        </row>
        <row r="29">
          <cell r="G29" t="str">
            <v>03182989</v>
          </cell>
          <cell r="H29">
            <v>820</v>
          </cell>
        </row>
        <row r="30">
          <cell r="G30" t="str">
            <v>031RUBICON</v>
          </cell>
          <cell r="H30">
            <v>2310</v>
          </cell>
        </row>
        <row r="31">
          <cell r="G31" t="str">
            <v>031SOMERSET</v>
          </cell>
          <cell r="H31">
            <v>1040</v>
          </cell>
        </row>
        <row r="32">
          <cell r="G32" t="str">
            <v>031VELVET BLOSSOMS</v>
          </cell>
          <cell r="H32">
            <v>920</v>
          </cell>
        </row>
        <row r="33">
          <cell r="G33" t="str">
            <v>032ELBA</v>
          </cell>
          <cell r="H33">
            <v>2670</v>
          </cell>
        </row>
        <row r="34">
          <cell r="G34" t="str">
            <v>032MIRABEL</v>
          </cell>
          <cell r="H34">
            <v>2480</v>
          </cell>
        </row>
        <row r="35">
          <cell r="G35" t="str">
            <v>033CREAMY FOLIES</v>
          </cell>
          <cell r="H35">
            <v>1110</v>
          </cell>
        </row>
        <row r="36">
          <cell r="G36" t="str">
            <v>033HOT BUBBLES</v>
          </cell>
          <cell r="H36">
            <v>5640</v>
          </cell>
        </row>
        <row r="37">
          <cell r="G37" t="str">
            <v>001BELIEVE IN PINK</v>
          </cell>
          <cell r="H37">
            <v>1110</v>
          </cell>
        </row>
        <row r="38">
          <cell r="G38" t="str">
            <v>001EXPLORER</v>
          </cell>
          <cell r="H38">
            <v>4950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2010</v>
          </cell>
        </row>
        <row r="41">
          <cell r="G41" t="str">
            <v>001LUMIA</v>
          </cell>
          <cell r="H41">
            <v>3300</v>
          </cell>
        </row>
        <row r="42">
          <cell r="G42" t="str">
            <v>001MOMENTUM</v>
          </cell>
          <cell r="H42">
            <v>5825</v>
          </cell>
        </row>
        <row r="43">
          <cell r="G43" t="str">
            <v>002SUMMER ROMANCE</v>
          </cell>
          <cell r="H43">
            <v>1575</v>
          </cell>
        </row>
        <row r="44">
          <cell r="G44" t="str">
            <v>002SWEETNESS</v>
          </cell>
          <cell r="H44">
            <v>7110</v>
          </cell>
        </row>
        <row r="45">
          <cell r="G45" t="str">
            <v>003CABARET</v>
          </cell>
          <cell r="H45">
            <v>4860</v>
          </cell>
        </row>
        <row r="46">
          <cell r="G46" t="str">
            <v>003DEEP PURPLE</v>
          </cell>
          <cell r="H46">
            <v>7890</v>
          </cell>
        </row>
        <row r="47">
          <cell r="G47" t="str">
            <v>003EXPLORER</v>
          </cell>
          <cell r="H47">
            <v>2225</v>
          </cell>
        </row>
        <row r="48">
          <cell r="G48" t="str">
            <v>003JOCKER</v>
          </cell>
          <cell r="H48">
            <v>1325</v>
          </cell>
        </row>
        <row r="49">
          <cell r="G49" t="str">
            <v>003QUICKSAND</v>
          </cell>
          <cell r="H49">
            <v>2910</v>
          </cell>
        </row>
        <row r="50">
          <cell r="G50" t="str">
            <v>004COTOPAXI</v>
          </cell>
          <cell r="H50">
            <v>1980</v>
          </cell>
        </row>
        <row r="51">
          <cell r="G51" t="str">
            <v>004DEEP PURPLE</v>
          </cell>
          <cell r="H51">
            <v>7590</v>
          </cell>
        </row>
        <row r="52">
          <cell r="G52" t="str">
            <v>004HOT EXPLORER</v>
          </cell>
          <cell r="H52">
            <v>2150</v>
          </cell>
        </row>
        <row r="53">
          <cell r="G53" t="str">
            <v>004HOT MERENGUE</v>
          </cell>
          <cell r="H53">
            <v>2490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1775</v>
          </cell>
        </row>
        <row r="56">
          <cell r="G56" t="str">
            <v>005GOLDFINCH</v>
          </cell>
          <cell r="H56">
            <v>575</v>
          </cell>
        </row>
        <row r="57">
          <cell r="G57" t="str">
            <v>005JOCKER</v>
          </cell>
          <cell r="H57">
            <v>2075</v>
          </cell>
        </row>
        <row r="58">
          <cell r="G58" t="str">
            <v>005VENDELA</v>
          </cell>
          <cell r="H58">
            <v>2070</v>
          </cell>
        </row>
        <row r="59">
          <cell r="G59" t="str">
            <v>006ATOMIC</v>
          </cell>
          <cell r="H59">
            <v>1575</v>
          </cell>
        </row>
        <row r="60">
          <cell r="G60" t="str">
            <v>006EXPLORER</v>
          </cell>
          <cell r="H60">
            <v>8050</v>
          </cell>
        </row>
        <row r="61">
          <cell r="G61" t="str">
            <v>006MONDIAL</v>
          </cell>
          <cell r="H61">
            <v>8450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6450</v>
          </cell>
        </row>
        <row r="64">
          <cell r="G64" t="str">
            <v>007REDIANT</v>
          </cell>
          <cell r="H64">
            <v>2100</v>
          </cell>
        </row>
        <row r="65">
          <cell r="G65" t="str">
            <v>007SUMMER ROMANCE</v>
          </cell>
          <cell r="H65">
            <v>800</v>
          </cell>
        </row>
        <row r="66">
          <cell r="G66" t="str">
            <v>007VENDELA</v>
          </cell>
          <cell r="H66">
            <v>11250</v>
          </cell>
        </row>
        <row r="67">
          <cell r="G67" t="str">
            <v>008DEEP PURPLE</v>
          </cell>
          <cell r="H67">
            <v>3450</v>
          </cell>
        </row>
        <row r="68">
          <cell r="G68" t="str">
            <v>008FREEDOM</v>
          </cell>
          <cell r="H68">
            <v>3420</v>
          </cell>
        </row>
        <row r="69">
          <cell r="G69" t="str">
            <v>008JOCKER</v>
          </cell>
          <cell r="H69">
            <v>5425</v>
          </cell>
        </row>
        <row r="70">
          <cell r="G70" t="str">
            <v>008LUMIA</v>
          </cell>
          <cell r="H70">
            <v>1830</v>
          </cell>
        </row>
        <row r="71">
          <cell r="G71" t="str">
            <v>010COOLDOWN</v>
          </cell>
          <cell r="H71">
            <v>2525</v>
          </cell>
        </row>
        <row r="72">
          <cell r="G72" t="str">
            <v>010VIOLET HILL</v>
          </cell>
          <cell r="H72">
            <v>4740</v>
          </cell>
        </row>
        <row r="73">
          <cell r="G73" t="str">
            <v>011BRIGHTON</v>
          </cell>
          <cell r="H73">
            <v>3950</v>
          </cell>
        </row>
        <row r="74">
          <cell r="G74" t="str">
            <v>011CANDLELIGHT</v>
          </cell>
          <cell r="H74">
            <v>4200</v>
          </cell>
        </row>
        <row r="75">
          <cell r="G75" t="str">
            <v>011CAYENNE</v>
          </cell>
          <cell r="H75">
            <v>1290</v>
          </cell>
        </row>
        <row r="76">
          <cell r="G76" t="str">
            <v>011LUMIA</v>
          </cell>
          <cell r="H76">
            <v>2070</v>
          </cell>
        </row>
        <row r="77">
          <cell r="G77" t="str">
            <v>011STARDUST</v>
          </cell>
          <cell r="H77">
            <v>4425</v>
          </cell>
        </row>
        <row r="78">
          <cell r="G78" t="str">
            <v>012DEEP PURPLE</v>
          </cell>
          <cell r="H78">
            <v>16800</v>
          </cell>
        </row>
        <row r="79">
          <cell r="G79" t="str">
            <v>012LIGHT HOUSE</v>
          </cell>
          <cell r="H79">
            <v>1440</v>
          </cell>
        </row>
        <row r="80">
          <cell r="G80" t="str">
            <v>013COUNTRY BLUES</v>
          </cell>
          <cell r="H80">
            <v>1200</v>
          </cell>
        </row>
        <row r="81">
          <cell r="G81" t="str">
            <v>013LORRAINE</v>
          </cell>
          <cell r="H81">
            <v>3825</v>
          </cell>
        </row>
        <row r="82">
          <cell r="G82" t="str">
            <v>013LUMIA</v>
          </cell>
          <cell r="H82">
            <v>660</v>
          </cell>
        </row>
        <row r="83">
          <cell r="G83" t="str">
            <v>013VENDELA</v>
          </cell>
          <cell r="H83">
            <v>11610</v>
          </cell>
        </row>
        <row r="84">
          <cell r="G84" t="str">
            <v>014STARDUST</v>
          </cell>
          <cell r="H84">
            <v>6900</v>
          </cell>
        </row>
        <row r="85">
          <cell r="G85" t="str">
            <v>015JOCKER</v>
          </cell>
          <cell r="H85">
            <v>4625</v>
          </cell>
        </row>
        <row r="86">
          <cell r="G86" t="str">
            <v>016DREAM IN PEACH</v>
          </cell>
          <cell r="H86">
            <v>1710</v>
          </cell>
        </row>
        <row r="87">
          <cell r="G87" t="str">
            <v>016NINA</v>
          </cell>
          <cell r="H87">
            <v>2425</v>
          </cell>
        </row>
        <row r="88">
          <cell r="G88" t="str">
            <v>017FREEDOM</v>
          </cell>
          <cell r="H88">
            <v>4470</v>
          </cell>
        </row>
        <row r="89">
          <cell r="G89" t="str">
            <v>017GOLDFINCH</v>
          </cell>
          <cell r="H89">
            <v>3075</v>
          </cell>
        </row>
        <row r="90">
          <cell r="G90" t="str">
            <v>018BRIGHTON</v>
          </cell>
          <cell r="H90">
            <v>1850</v>
          </cell>
        </row>
        <row r="91">
          <cell r="G91" t="str">
            <v>019BRIGHTON</v>
          </cell>
          <cell r="H91">
            <v>6325</v>
          </cell>
        </row>
        <row r="92">
          <cell r="G92" t="str">
            <v>019TABATHA</v>
          </cell>
          <cell r="H92">
            <v>3540</v>
          </cell>
        </row>
        <row r="93">
          <cell r="G93" t="str">
            <v>020BRIGHTON</v>
          </cell>
          <cell r="H93">
            <v>5575</v>
          </cell>
        </row>
        <row r="94">
          <cell r="G94" t="str">
            <v>020TYCOON</v>
          </cell>
          <cell r="H94">
            <v>1290</v>
          </cell>
        </row>
        <row r="95">
          <cell r="G95" t="str">
            <v>021SHOW GIRL</v>
          </cell>
          <cell r="H95">
            <v>1775</v>
          </cell>
        </row>
        <row r="96">
          <cell r="G96" t="str">
            <v>022CORAL REEF</v>
          </cell>
          <cell r="H96">
            <v>2625</v>
          </cell>
        </row>
        <row r="97">
          <cell r="G97" t="str">
            <v>023COTOPAXI</v>
          </cell>
          <cell r="H97">
            <v>8760</v>
          </cell>
        </row>
        <row r="98">
          <cell r="G98" t="str">
            <v>023FRUTTETO</v>
          </cell>
          <cell r="H98">
            <v>5040</v>
          </cell>
        </row>
        <row r="99">
          <cell r="G99" t="str">
            <v>024COTOPAXI</v>
          </cell>
          <cell r="H99">
            <v>4050</v>
          </cell>
        </row>
        <row r="100">
          <cell r="G100" t="str">
            <v>024SWEETNESS</v>
          </cell>
          <cell r="H100">
            <v>2340</v>
          </cell>
        </row>
        <row r="101">
          <cell r="G101" t="str">
            <v>024TYCOON</v>
          </cell>
          <cell r="H101">
            <v>4290</v>
          </cell>
        </row>
        <row r="102">
          <cell r="G102" t="str">
            <v>025PINK MONDIAL</v>
          </cell>
          <cell r="H102">
            <v>6400</v>
          </cell>
        </row>
        <row r="103">
          <cell r="G103" t="str">
            <v>026LOLA</v>
          </cell>
          <cell r="H103">
            <v>3625</v>
          </cell>
        </row>
        <row r="104">
          <cell r="G104" t="str">
            <v>026PALOMA</v>
          </cell>
          <cell r="H104">
            <v>4150</v>
          </cell>
        </row>
        <row r="105">
          <cell r="G105" t="str">
            <v>027SATISFACTION</v>
          </cell>
          <cell r="H105">
            <v>5370</v>
          </cell>
        </row>
        <row r="106">
          <cell r="G106" t="str">
            <v>027TIFFANY</v>
          </cell>
          <cell r="H106">
            <v>5910</v>
          </cell>
        </row>
        <row r="107">
          <cell r="G107" t="str">
            <v>028COTOPAXI</v>
          </cell>
          <cell r="H107">
            <v>7230</v>
          </cell>
        </row>
        <row r="108">
          <cell r="G108" t="str">
            <v>028DEEP PURPLE</v>
          </cell>
          <cell r="H108">
            <v>5670</v>
          </cell>
        </row>
        <row r="109">
          <cell r="G109" t="str">
            <v>029PINK FLOYD</v>
          </cell>
          <cell r="H109">
            <v>3525</v>
          </cell>
        </row>
        <row r="110">
          <cell r="G110" t="str">
            <v>030EXPLORER</v>
          </cell>
          <cell r="H110">
            <v>2950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7920</v>
          </cell>
        </row>
        <row r="3">
          <cell r="G3" t="str">
            <v>004BELLINA</v>
          </cell>
          <cell r="H3">
            <v>1755</v>
          </cell>
        </row>
        <row r="4">
          <cell r="G4" t="str">
            <v>005ELBA</v>
          </cell>
          <cell r="H4">
            <v>6300</v>
          </cell>
        </row>
        <row r="5">
          <cell r="G5" t="str">
            <v>005HOT BUBBLES</v>
          </cell>
          <cell r="H5">
            <v>1060</v>
          </cell>
        </row>
        <row r="6">
          <cell r="G6" t="str">
            <v>005SUSPIRO</v>
          </cell>
          <cell r="H6">
            <v>4740</v>
          </cell>
        </row>
        <row r="7">
          <cell r="G7" t="str">
            <v>007SNOW BUBBLES</v>
          </cell>
          <cell r="H7">
            <v>880</v>
          </cell>
        </row>
        <row r="8">
          <cell r="G8" t="str">
            <v>009HOT BUBBLES</v>
          </cell>
          <cell r="H8">
            <v>7560</v>
          </cell>
        </row>
        <row r="9">
          <cell r="G9" t="str">
            <v>014FRUITY BUBBLES</v>
          </cell>
          <cell r="H9">
            <v>3000</v>
          </cell>
        </row>
        <row r="10">
          <cell r="G10" t="str">
            <v>015FELLINI</v>
          </cell>
          <cell r="H10">
            <v>6280</v>
          </cell>
        </row>
        <row r="11">
          <cell r="G11" t="str">
            <v>016GOOD PEACH</v>
          </cell>
          <cell r="H11">
            <v>3540</v>
          </cell>
        </row>
        <row r="12">
          <cell r="G12" t="str">
            <v>016GOOD YELLOW</v>
          </cell>
          <cell r="H12">
            <v>4260</v>
          </cell>
        </row>
        <row r="13">
          <cell r="G13" t="str">
            <v>017ORANGE STAR</v>
          </cell>
          <cell r="H13">
            <v>1175</v>
          </cell>
        </row>
        <row r="14">
          <cell r="G14" t="str">
            <v>018COSMO</v>
          </cell>
          <cell r="H14">
            <v>3775</v>
          </cell>
        </row>
        <row r="15">
          <cell r="G15" t="str">
            <v>018RUBICON</v>
          </cell>
          <cell r="H15">
            <v>3630</v>
          </cell>
        </row>
        <row r="16">
          <cell r="G16" t="str">
            <v>019BELLINA</v>
          </cell>
          <cell r="H16">
            <v>2340</v>
          </cell>
        </row>
        <row r="17">
          <cell r="G17" t="str">
            <v>020SUMMER DANCE</v>
          </cell>
          <cell r="H17">
            <v>3125</v>
          </cell>
        </row>
        <row r="18">
          <cell r="G18" t="str">
            <v>021ELEGANT ROSEVER</v>
          </cell>
          <cell r="H18">
            <v>690</v>
          </cell>
        </row>
        <row r="19">
          <cell r="G19" t="str">
            <v>021FLAME CLUB</v>
          </cell>
          <cell r="H19">
            <v>1650</v>
          </cell>
        </row>
        <row r="20">
          <cell r="G20" t="str">
            <v>021KELLY</v>
          </cell>
          <cell r="H20">
            <v>525</v>
          </cell>
        </row>
        <row r="21">
          <cell r="G21" t="str">
            <v>021LEILA</v>
          </cell>
          <cell r="H21">
            <v>1475</v>
          </cell>
        </row>
        <row r="22">
          <cell r="G22" t="str">
            <v>021PISTACHIO KISS</v>
          </cell>
          <cell r="H22">
            <v>625</v>
          </cell>
        </row>
        <row r="23">
          <cell r="G23" t="str">
            <v>021SNOW BUBBLES</v>
          </cell>
          <cell r="H23">
            <v>3520</v>
          </cell>
        </row>
        <row r="24">
          <cell r="G24" t="str">
            <v>022FRUITY BUBBLES</v>
          </cell>
          <cell r="H24">
            <v>4700</v>
          </cell>
        </row>
        <row r="25">
          <cell r="G25" t="str">
            <v>022GOOD PEACH</v>
          </cell>
          <cell r="H25">
            <v>2790</v>
          </cell>
        </row>
        <row r="26">
          <cell r="G26" t="str">
            <v>022MIRABEL</v>
          </cell>
          <cell r="H26">
            <v>2280</v>
          </cell>
        </row>
        <row r="27">
          <cell r="G27" t="str">
            <v>030MIRABEL</v>
          </cell>
          <cell r="H27">
            <v>5660</v>
          </cell>
        </row>
        <row r="28">
          <cell r="G28" t="str">
            <v>030SOMERSET</v>
          </cell>
          <cell r="H28">
            <v>3215</v>
          </cell>
        </row>
        <row r="29">
          <cell r="G29" t="str">
            <v>03182989</v>
          </cell>
          <cell r="H29">
            <v>740</v>
          </cell>
        </row>
        <row r="30">
          <cell r="G30" t="str">
            <v>031RUBICON</v>
          </cell>
          <cell r="H30">
            <v>1800</v>
          </cell>
        </row>
        <row r="31">
          <cell r="G31" t="str">
            <v>031SOMERSET</v>
          </cell>
          <cell r="H31">
            <v>1520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2130</v>
          </cell>
        </row>
        <row r="34">
          <cell r="G34" t="str">
            <v>032MIRABEL</v>
          </cell>
          <cell r="H34">
            <v>2040</v>
          </cell>
        </row>
        <row r="35">
          <cell r="G35" t="str">
            <v>033CREAMY FOLIES</v>
          </cell>
          <cell r="H35">
            <v>1350</v>
          </cell>
        </row>
        <row r="36">
          <cell r="G36" t="str">
            <v>033HOT BUBBLES</v>
          </cell>
          <cell r="H36">
            <v>5860</v>
          </cell>
        </row>
        <row r="37">
          <cell r="G37" t="str">
            <v>001BELIEVE IN PINK</v>
          </cell>
          <cell r="H37">
            <v>1290</v>
          </cell>
        </row>
        <row r="38">
          <cell r="G38" t="str">
            <v>001EXPLORER</v>
          </cell>
          <cell r="H38">
            <v>6400</v>
          </cell>
        </row>
        <row r="39">
          <cell r="G39" t="str">
            <v>001GRACE KELLY</v>
          </cell>
          <cell r="H39">
            <v>1860</v>
          </cell>
        </row>
        <row r="40">
          <cell r="G40" t="str">
            <v>001LIGHT HOUSE</v>
          </cell>
          <cell r="H40">
            <v>2070</v>
          </cell>
        </row>
        <row r="41">
          <cell r="G41" t="str">
            <v>001LUMIA</v>
          </cell>
          <cell r="H41">
            <v>2160</v>
          </cell>
        </row>
        <row r="42">
          <cell r="G42" t="str">
            <v>001MOMENTUM</v>
          </cell>
          <cell r="H42">
            <v>4300</v>
          </cell>
        </row>
        <row r="43">
          <cell r="G43" t="str">
            <v>002SUMMER ROMANCE</v>
          </cell>
          <cell r="H43">
            <v>1925</v>
          </cell>
        </row>
        <row r="44">
          <cell r="G44" t="str">
            <v>002SWEETNESS</v>
          </cell>
          <cell r="H44">
            <v>6030</v>
          </cell>
        </row>
        <row r="45">
          <cell r="G45" t="str">
            <v>003CABARET</v>
          </cell>
          <cell r="H45">
            <v>3660</v>
          </cell>
        </row>
        <row r="46">
          <cell r="G46" t="str">
            <v>003DEEP PURPLE</v>
          </cell>
          <cell r="H46">
            <v>8340</v>
          </cell>
        </row>
        <row r="47">
          <cell r="G47" t="str">
            <v>003EXPLORER</v>
          </cell>
          <cell r="H47">
            <v>2025</v>
          </cell>
        </row>
        <row r="48">
          <cell r="G48" t="str">
            <v>003JOCKER</v>
          </cell>
          <cell r="H48">
            <v>850</v>
          </cell>
        </row>
        <row r="49">
          <cell r="G49" t="str">
            <v>003QUICKSAND</v>
          </cell>
          <cell r="H49">
            <v>1950</v>
          </cell>
        </row>
        <row r="50">
          <cell r="G50" t="str">
            <v>004COTOPAXI</v>
          </cell>
          <cell r="H50">
            <v>1260</v>
          </cell>
        </row>
        <row r="51">
          <cell r="G51" t="str">
            <v>004DEEP PURPLE</v>
          </cell>
          <cell r="H51">
            <v>6930</v>
          </cell>
        </row>
        <row r="52">
          <cell r="G52" t="str">
            <v>004HOT EXPLORER</v>
          </cell>
          <cell r="H52">
            <v>2300</v>
          </cell>
        </row>
        <row r="53">
          <cell r="G53" t="str">
            <v>004HOT MERENGUE</v>
          </cell>
          <cell r="H53">
            <v>3120</v>
          </cell>
        </row>
        <row r="54">
          <cell r="G54" t="str">
            <v>004SWEETNESS</v>
          </cell>
          <cell r="H54">
            <v>360</v>
          </cell>
        </row>
        <row r="55">
          <cell r="G55" t="str">
            <v>005EXPLORER</v>
          </cell>
          <cell r="H55">
            <v>2200</v>
          </cell>
        </row>
        <row r="56">
          <cell r="G56" t="str">
            <v>005GOLDFINCH</v>
          </cell>
          <cell r="H56">
            <v>600</v>
          </cell>
        </row>
        <row r="57">
          <cell r="G57" t="str">
            <v>005JOCKER</v>
          </cell>
          <cell r="H57">
            <v>1975</v>
          </cell>
        </row>
        <row r="58">
          <cell r="G58" t="str">
            <v>005VENDELA</v>
          </cell>
          <cell r="H58">
            <v>1890</v>
          </cell>
        </row>
        <row r="59">
          <cell r="G59" t="str">
            <v>006ATOMIC</v>
          </cell>
          <cell r="H59">
            <v>1225</v>
          </cell>
        </row>
        <row r="60">
          <cell r="G60" t="str">
            <v>006EXPLORER</v>
          </cell>
          <cell r="H60">
            <v>9350</v>
          </cell>
        </row>
        <row r="61">
          <cell r="G61" t="str">
            <v>006MONDIAL</v>
          </cell>
          <cell r="H61">
            <v>6500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7890</v>
          </cell>
        </row>
        <row r="64">
          <cell r="G64" t="str">
            <v>007REDIANT</v>
          </cell>
          <cell r="H64">
            <v>2100</v>
          </cell>
        </row>
        <row r="65">
          <cell r="G65" t="str">
            <v>007SUMMER ROMANCE</v>
          </cell>
          <cell r="H65">
            <v>775</v>
          </cell>
        </row>
        <row r="66">
          <cell r="G66" t="str">
            <v>007VENDELA</v>
          </cell>
          <cell r="H66">
            <v>10110</v>
          </cell>
        </row>
        <row r="67">
          <cell r="G67" t="str">
            <v>008DEEP PURPLE</v>
          </cell>
          <cell r="H67">
            <v>3450</v>
          </cell>
        </row>
        <row r="68">
          <cell r="G68" t="str">
            <v>008FREEDOM</v>
          </cell>
          <cell r="H68">
            <v>3390</v>
          </cell>
        </row>
        <row r="69">
          <cell r="G69" t="str">
            <v>008JOCKER</v>
          </cell>
          <cell r="H69">
            <v>4425</v>
          </cell>
        </row>
        <row r="70">
          <cell r="G70" t="str">
            <v>008LUMIA</v>
          </cell>
          <cell r="H70">
            <v>2280</v>
          </cell>
        </row>
        <row r="71">
          <cell r="G71" t="str">
            <v>010COOLDOWN</v>
          </cell>
          <cell r="H71">
            <v>3575</v>
          </cell>
        </row>
        <row r="72">
          <cell r="G72" t="str">
            <v>010VIOLET HILL</v>
          </cell>
          <cell r="H72">
            <v>6390</v>
          </cell>
        </row>
        <row r="73">
          <cell r="G73" t="str">
            <v>011BRIGHTON</v>
          </cell>
          <cell r="H73">
            <v>3550</v>
          </cell>
        </row>
        <row r="74">
          <cell r="G74" t="str">
            <v>011CANDLELIGHT</v>
          </cell>
          <cell r="H74">
            <v>4060</v>
          </cell>
        </row>
        <row r="75">
          <cell r="G75" t="str">
            <v>011CAYENNE</v>
          </cell>
          <cell r="H75">
            <v>1350</v>
          </cell>
        </row>
        <row r="76">
          <cell r="G76" t="str">
            <v>011LUMIA</v>
          </cell>
          <cell r="H76">
            <v>1680</v>
          </cell>
        </row>
        <row r="77">
          <cell r="G77" t="str">
            <v>011STARDUST</v>
          </cell>
          <cell r="H77">
            <v>2450</v>
          </cell>
        </row>
        <row r="78">
          <cell r="G78" t="str">
            <v>012DEEP PURPLE</v>
          </cell>
          <cell r="H78">
            <v>14070</v>
          </cell>
        </row>
        <row r="79">
          <cell r="G79" t="str">
            <v>012LIGHT HOUSE</v>
          </cell>
          <cell r="H79">
            <v>870</v>
          </cell>
        </row>
        <row r="80">
          <cell r="G80" t="str">
            <v>013COUNTRY BLUES</v>
          </cell>
          <cell r="H80">
            <v>940</v>
          </cell>
        </row>
        <row r="81">
          <cell r="G81" t="str">
            <v>013LORRAINE</v>
          </cell>
          <cell r="H81">
            <v>3900</v>
          </cell>
        </row>
        <row r="82">
          <cell r="G82" t="str">
            <v>013LUMIA</v>
          </cell>
          <cell r="H82">
            <v>660</v>
          </cell>
        </row>
        <row r="83">
          <cell r="G83" t="str">
            <v>013VENDELA</v>
          </cell>
          <cell r="H83">
            <v>8880</v>
          </cell>
        </row>
        <row r="84">
          <cell r="G84" t="str">
            <v>014STARDUST</v>
          </cell>
          <cell r="H84">
            <v>4150</v>
          </cell>
        </row>
        <row r="85">
          <cell r="G85" t="str">
            <v>015JOCKER</v>
          </cell>
          <cell r="H85">
            <v>3250</v>
          </cell>
        </row>
        <row r="86">
          <cell r="G86" t="str">
            <v>016DREAM IN PEACH</v>
          </cell>
          <cell r="H86">
            <v>1830</v>
          </cell>
        </row>
        <row r="87">
          <cell r="G87" t="str">
            <v>016NINA</v>
          </cell>
          <cell r="H87">
            <v>2125</v>
          </cell>
        </row>
        <row r="88">
          <cell r="G88" t="str">
            <v>017FREEDOM</v>
          </cell>
          <cell r="H88">
            <v>5400</v>
          </cell>
        </row>
        <row r="89">
          <cell r="G89" t="str">
            <v>017GOLDFINCH</v>
          </cell>
          <cell r="H89">
            <v>2400</v>
          </cell>
        </row>
        <row r="90">
          <cell r="G90" t="str">
            <v>018BRIGHTON</v>
          </cell>
          <cell r="H90">
            <v>1800</v>
          </cell>
        </row>
        <row r="91">
          <cell r="G91" t="str">
            <v>019BRIGHTON</v>
          </cell>
          <cell r="H91">
            <v>5950</v>
          </cell>
        </row>
        <row r="92">
          <cell r="G92" t="str">
            <v>019TABATHA</v>
          </cell>
          <cell r="H92">
            <v>3210</v>
          </cell>
        </row>
        <row r="93">
          <cell r="G93" t="str">
            <v>020BRIGHTON</v>
          </cell>
          <cell r="H93">
            <v>4300</v>
          </cell>
        </row>
        <row r="94">
          <cell r="G94" t="str">
            <v>020TYCOON</v>
          </cell>
          <cell r="H94">
            <v>930</v>
          </cell>
        </row>
        <row r="95">
          <cell r="G95" t="str">
            <v>021SHOW GIRL</v>
          </cell>
          <cell r="H95">
            <v>1675</v>
          </cell>
        </row>
        <row r="96">
          <cell r="G96" t="str">
            <v>022CORAL REEF</v>
          </cell>
          <cell r="H96">
            <v>2450</v>
          </cell>
        </row>
        <row r="97">
          <cell r="G97" t="str">
            <v>023COTOPAXI</v>
          </cell>
          <cell r="H97">
            <v>8970</v>
          </cell>
        </row>
        <row r="98">
          <cell r="G98" t="str">
            <v>023FRUTTETO</v>
          </cell>
          <cell r="H98">
            <v>4590</v>
          </cell>
        </row>
        <row r="99">
          <cell r="G99" t="str">
            <v>024COTOPAXI</v>
          </cell>
          <cell r="H99">
            <v>4260</v>
          </cell>
        </row>
        <row r="100">
          <cell r="G100" t="str">
            <v>024SWEETNESS</v>
          </cell>
          <cell r="H100">
            <v>2070</v>
          </cell>
        </row>
        <row r="101">
          <cell r="G101" t="str">
            <v>024TYCOON</v>
          </cell>
          <cell r="H101">
            <v>3780</v>
          </cell>
        </row>
        <row r="102">
          <cell r="G102" t="str">
            <v>025PINK MONDIAL</v>
          </cell>
          <cell r="H102">
            <v>5325</v>
          </cell>
        </row>
        <row r="103">
          <cell r="G103" t="str">
            <v>026LOLA</v>
          </cell>
          <cell r="H103">
            <v>3475</v>
          </cell>
        </row>
        <row r="104">
          <cell r="G104" t="str">
            <v>026PALOMA</v>
          </cell>
          <cell r="H104">
            <v>4350</v>
          </cell>
        </row>
        <row r="105">
          <cell r="G105" t="str">
            <v>027SATISFACTION</v>
          </cell>
          <cell r="H105">
            <v>4770</v>
          </cell>
        </row>
        <row r="106">
          <cell r="G106" t="str">
            <v>027TIFFANY</v>
          </cell>
          <cell r="H106">
            <v>5610</v>
          </cell>
        </row>
        <row r="107">
          <cell r="G107" t="str">
            <v>028COTOPAXI</v>
          </cell>
          <cell r="H107">
            <v>7920</v>
          </cell>
        </row>
        <row r="108">
          <cell r="G108" t="str">
            <v>028DEEP PURPLE</v>
          </cell>
          <cell r="H108">
            <v>5730</v>
          </cell>
        </row>
        <row r="109">
          <cell r="G109" t="str">
            <v>029PINK FLOYD</v>
          </cell>
          <cell r="H109">
            <v>3325</v>
          </cell>
        </row>
        <row r="110">
          <cell r="G110" t="str">
            <v>030EXPLORER</v>
          </cell>
          <cell r="H110">
            <v>3450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8220</v>
          </cell>
        </row>
        <row r="3">
          <cell r="G3" t="str">
            <v>004BELLINA</v>
          </cell>
          <cell r="H3">
            <v>1245</v>
          </cell>
        </row>
        <row r="4">
          <cell r="G4" t="str">
            <v>005ELBA</v>
          </cell>
          <cell r="H4">
            <v>6930</v>
          </cell>
        </row>
        <row r="5">
          <cell r="G5" t="str">
            <v>005HOT BUBBLES</v>
          </cell>
          <cell r="H5">
            <v>960</v>
          </cell>
        </row>
        <row r="6">
          <cell r="G6" t="str">
            <v>005SUSPIRO</v>
          </cell>
          <cell r="H6">
            <v>4590</v>
          </cell>
        </row>
        <row r="7">
          <cell r="G7" t="str">
            <v>009HOT BUBBLES</v>
          </cell>
          <cell r="H7">
            <v>6260</v>
          </cell>
        </row>
        <row r="8">
          <cell r="G8" t="str">
            <v>014FRUITY BUBBLES</v>
          </cell>
          <cell r="H8">
            <v>2075</v>
          </cell>
        </row>
        <row r="9">
          <cell r="G9" t="str">
            <v>015FELLINI</v>
          </cell>
          <cell r="H9">
            <v>6200</v>
          </cell>
        </row>
        <row r="10">
          <cell r="G10" t="str">
            <v>016GOOD PEACH</v>
          </cell>
          <cell r="H10">
            <v>3000</v>
          </cell>
        </row>
        <row r="11">
          <cell r="G11" t="str">
            <v>016GOOD YELLOW</v>
          </cell>
          <cell r="H11">
            <v>4020</v>
          </cell>
        </row>
        <row r="12">
          <cell r="G12" t="str">
            <v>017ORANGE STAR</v>
          </cell>
          <cell r="H12">
            <v>875</v>
          </cell>
        </row>
        <row r="13">
          <cell r="G13" t="str">
            <v>018COSMO</v>
          </cell>
          <cell r="H13">
            <v>3275</v>
          </cell>
        </row>
        <row r="14">
          <cell r="G14" t="str">
            <v>018RUBICON</v>
          </cell>
          <cell r="H14">
            <v>3090</v>
          </cell>
        </row>
        <row r="15">
          <cell r="G15" t="str">
            <v>019BELLINA</v>
          </cell>
          <cell r="H15">
            <v>1755</v>
          </cell>
        </row>
        <row r="16">
          <cell r="G16" t="str">
            <v>020SUMMER DANCE</v>
          </cell>
          <cell r="H16">
            <v>2475</v>
          </cell>
        </row>
        <row r="17">
          <cell r="G17" t="str">
            <v>021ELEGANT ROSEVER</v>
          </cell>
          <cell r="H17">
            <v>600</v>
          </cell>
        </row>
        <row r="18">
          <cell r="G18" t="str">
            <v>021FLAME CLUB</v>
          </cell>
          <cell r="H18">
            <v>1275</v>
          </cell>
        </row>
        <row r="19">
          <cell r="G19" t="str">
            <v>021KELLY</v>
          </cell>
          <cell r="H19">
            <v>625</v>
          </cell>
        </row>
        <row r="20">
          <cell r="G20" t="str">
            <v>021LEILA</v>
          </cell>
          <cell r="H20">
            <v>1500</v>
          </cell>
        </row>
        <row r="21">
          <cell r="G21" t="str">
            <v>021PISTACHIO KISS</v>
          </cell>
          <cell r="H21">
            <v>960</v>
          </cell>
        </row>
        <row r="22">
          <cell r="G22" t="str">
            <v>021SNOW BUBBLES</v>
          </cell>
          <cell r="H22">
            <v>3040</v>
          </cell>
        </row>
        <row r="23">
          <cell r="G23" t="str">
            <v>022FRUITY BUBBLES</v>
          </cell>
          <cell r="H23">
            <v>4700</v>
          </cell>
        </row>
        <row r="24">
          <cell r="G24" t="str">
            <v>022GOOD PEACH</v>
          </cell>
          <cell r="H24">
            <v>2460</v>
          </cell>
        </row>
        <row r="25">
          <cell r="G25" t="str">
            <v>022MIRABEL</v>
          </cell>
          <cell r="H25">
            <v>1520</v>
          </cell>
        </row>
        <row r="26">
          <cell r="G26" t="str">
            <v>030MIRABEL</v>
          </cell>
          <cell r="H26">
            <v>2660</v>
          </cell>
        </row>
        <row r="27">
          <cell r="G27" t="str">
            <v>030SOMERSET</v>
          </cell>
          <cell r="H27">
            <v>2780</v>
          </cell>
        </row>
        <row r="28">
          <cell r="G28" t="str">
            <v>03182989</v>
          </cell>
          <cell r="H28">
            <v>600</v>
          </cell>
        </row>
        <row r="29">
          <cell r="G29" t="str">
            <v>031RUBICON</v>
          </cell>
          <cell r="H29">
            <v>1680</v>
          </cell>
        </row>
        <row r="30">
          <cell r="G30" t="str">
            <v>031SOMERSET</v>
          </cell>
          <cell r="H30">
            <v>2540</v>
          </cell>
        </row>
        <row r="31">
          <cell r="G31" t="str">
            <v>031VELVET BLOSSOMS</v>
          </cell>
          <cell r="H31">
            <v>620</v>
          </cell>
        </row>
        <row r="32">
          <cell r="G32" t="str">
            <v>032ELBA</v>
          </cell>
          <cell r="H32">
            <v>2160</v>
          </cell>
        </row>
        <row r="33">
          <cell r="G33" t="str">
            <v>032MIRABEL</v>
          </cell>
          <cell r="H33">
            <v>1160</v>
          </cell>
        </row>
        <row r="34">
          <cell r="G34" t="str">
            <v>033CREAMY FOLIES</v>
          </cell>
          <cell r="H34">
            <v>1230</v>
          </cell>
        </row>
        <row r="35">
          <cell r="G35" t="str">
            <v>033HOT BUBBLES</v>
          </cell>
          <cell r="H35">
            <v>4320</v>
          </cell>
        </row>
        <row r="36">
          <cell r="G36" t="str">
            <v>001BELIEVE IN PINK</v>
          </cell>
          <cell r="H36">
            <v>1140</v>
          </cell>
        </row>
        <row r="37">
          <cell r="G37" t="str">
            <v>001EXPLORER</v>
          </cell>
          <cell r="H37">
            <v>5125</v>
          </cell>
        </row>
        <row r="38">
          <cell r="G38" t="str">
            <v>001GRACE KELLY</v>
          </cell>
          <cell r="H38">
            <v>1710</v>
          </cell>
        </row>
        <row r="39">
          <cell r="G39" t="str">
            <v>001LIGHT HOUSE</v>
          </cell>
          <cell r="H39">
            <v>2040</v>
          </cell>
        </row>
        <row r="40">
          <cell r="G40" t="str">
            <v>001LUMIA</v>
          </cell>
          <cell r="H40">
            <v>1680</v>
          </cell>
        </row>
        <row r="41">
          <cell r="G41" t="str">
            <v>001MOMENTUM</v>
          </cell>
          <cell r="H41">
            <v>3600</v>
          </cell>
        </row>
        <row r="42">
          <cell r="G42" t="str">
            <v>002SUMMER ROMANCE</v>
          </cell>
          <cell r="H42">
            <v>1600</v>
          </cell>
        </row>
        <row r="43">
          <cell r="G43" t="str">
            <v>002SWEETNESS</v>
          </cell>
          <cell r="H43">
            <v>5280</v>
          </cell>
        </row>
        <row r="44">
          <cell r="G44" t="str">
            <v>003CABARET</v>
          </cell>
          <cell r="H44">
            <v>3660</v>
          </cell>
        </row>
        <row r="45">
          <cell r="G45" t="str">
            <v>003DEEP PURPLE</v>
          </cell>
          <cell r="H45">
            <v>8220</v>
          </cell>
        </row>
        <row r="46">
          <cell r="G46" t="str">
            <v>003EXPLORER</v>
          </cell>
          <cell r="H46">
            <v>1625</v>
          </cell>
        </row>
        <row r="47">
          <cell r="G47" t="str">
            <v>003JOCKER</v>
          </cell>
          <cell r="H47">
            <v>1075</v>
          </cell>
        </row>
        <row r="48">
          <cell r="G48" t="str">
            <v>003QUICKSAND</v>
          </cell>
          <cell r="H48">
            <v>1980</v>
          </cell>
        </row>
        <row r="49">
          <cell r="G49" t="str">
            <v>004COTOPAXI</v>
          </cell>
          <cell r="H49">
            <v>900</v>
          </cell>
        </row>
        <row r="50">
          <cell r="G50" t="str">
            <v>004DEEP PURPLE</v>
          </cell>
          <cell r="H50">
            <v>6030</v>
          </cell>
        </row>
        <row r="51">
          <cell r="G51" t="str">
            <v>004HOT EXPLORER</v>
          </cell>
          <cell r="H51">
            <v>1550</v>
          </cell>
        </row>
        <row r="52">
          <cell r="G52" t="str">
            <v>004HOT MERENGUE</v>
          </cell>
          <cell r="H52">
            <v>3120</v>
          </cell>
        </row>
        <row r="53">
          <cell r="G53" t="str">
            <v>004SWEETNESS</v>
          </cell>
          <cell r="H53">
            <v>510</v>
          </cell>
        </row>
        <row r="54">
          <cell r="G54" t="str">
            <v>005EXPLORER</v>
          </cell>
          <cell r="H54">
            <v>1650</v>
          </cell>
        </row>
        <row r="55">
          <cell r="G55" t="str">
            <v>005GOLDFINCH</v>
          </cell>
          <cell r="H55">
            <v>825</v>
          </cell>
        </row>
        <row r="56">
          <cell r="G56" t="str">
            <v>005JOCKER</v>
          </cell>
          <cell r="H56">
            <v>2425</v>
          </cell>
        </row>
        <row r="57">
          <cell r="G57" t="str">
            <v>005VENDELA</v>
          </cell>
          <cell r="H57">
            <v>1590</v>
          </cell>
        </row>
        <row r="58">
          <cell r="G58" t="str">
            <v>006EXPLORER</v>
          </cell>
          <cell r="H58">
            <v>6775</v>
          </cell>
        </row>
        <row r="59">
          <cell r="G59" t="str">
            <v>006MONDIAL</v>
          </cell>
          <cell r="H59">
            <v>6250</v>
          </cell>
        </row>
        <row r="60">
          <cell r="G60" t="str">
            <v>007BELIEVE IN PINK</v>
          </cell>
          <cell r="H60">
            <v>0</v>
          </cell>
        </row>
        <row r="61">
          <cell r="G61" t="str">
            <v>007COTOPAXI</v>
          </cell>
          <cell r="H61">
            <v>3870</v>
          </cell>
        </row>
        <row r="62">
          <cell r="G62" t="str">
            <v>007REDIANT</v>
          </cell>
          <cell r="H62">
            <v>1320</v>
          </cell>
        </row>
        <row r="63">
          <cell r="G63" t="str">
            <v>007SUMMER ROMANCE</v>
          </cell>
          <cell r="H63">
            <v>1000</v>
          </cell>
        </row>
        <row r="64">
          <cell r="G64" t="str">
            <v>007VENDELA</v>
          </cell>
          <cell r="H64">
            <v>8190</v>
          </cell>
        </row>
        <row r="65">
          <cell r="G65" t="str">
            <v>008DEEP PURPLE</v>
          </cell>
          <cell r="H65">
            <v>3570</v>
          </cell>
        </row>
        <row r="66">
          <cell r="G66" t="str">
            <v>008FREEDOM</v>
          </cell>
          <cell r="H66">
            <v>3870</v>
          </cell>
        </row>
        <row r="67">
          <cell r="G67" t="str">
            <v>008JOCKER</v>
          </cell>
          <cell r="H67">
            <v>5600</v>
          </cell>
        </row>
        <row r="68">
          <cell r="G68" t="str">
            <v>008LUMIA</v>
          </cell>
          <cell r="H68">
            <v>2340</v>
          </cell>
        </row>
        <row r="69">
          <cell r="G69" t="str">
            <v>010COOLDOWN</v>
          </cell>
          <cell r="H69">
            <v>3075</v>
          </cell>
        </row>
        <row r="70">
          <cell r="G70" t="str">
            <v>010VIOLET HILL</v>
          </cell>
          <cell r="H70">
            <v>5730</v>
          </cell>
        </row>
        <row r="71">
          <cell r="G71" t="str">
            <v>011BRIGHTON</v>
          </cell>
          <cell r="H71">
            <v>2475</v>
          </cell>
        </row>
        <row r="72">
          <cell r="G72" t="str">
            <v>011CANDLELIGHT</v>
          </cell>
          <cell r="H72">
            <v>3380</v>
          </cell>
        </row>
        <row r="73">
          <cell r="G73" t="str">
            <v>011CAYENNE</v>
          </cell>
          <cell r="H73">
            <v>1170</v>
          </cell>
        </row>
        <row r="74">
          <cell r="G74" t="str">
            <v>011LUMIA</v>
          </cell>
          <cell r="H74">
            <v>1590</v>
          </cell>
        </row>
        <row r="75">
          <cell r="G75" t="str">
            <v>011STARDUST</v>
          </cell>
          <cell r="H75">
            <v>2275</v>
          </cell>
        </row>
        <row r="76">
          <cell r="G76" t="str">
            <v>012DEEP PURPLE</v>
          </cell>
          <cell r="H76">
            <v>12570</v>
          </cell>
        </row>
        <row r="77">
          <cell r="G77" t="str">
            <v>012LIGHT HOUSE</v>
          </cell>
          <cell r="H77">
            <v>840</v>
          </cell>
        </row>
        <row r="78">
          <cell r="G78" t="str">
            <v>013COUNTRY BLUES</v>
          </cell>
          <cell r="H78">
            <v>720</v>
          </cell>
        </row>
        <row r="79">
          <cell r="G79" t="str">
            <v>013LORRAINE</v>
          </cell>
          <cell r="H79">
            <v>2325</v>
          </cell>
        </row>
        <row r="80">
          <cell r="G80" t="str">
            <v>013LUMIA</v>
          </cell>
          <cell r="H80">
            <v>480</v>
          </cell>
        </row>
        <row r="81">
          <cell r="G81" t="str">
            <v>013VENDELA</v>
          </cell>
          <cell r="H81">
            <v>6090</v>
          </cell>
        </row>
        <row r="82">
          <cell r="G82" t="str">
            <v>014STARDUST</v>
          </cell>
          <cell r="H82">
            <v>4650</v>
          </cell>
        </row>
        <row r="83">
          <cell r="G83" t="str">
            <v>015JOCKER</v>
          </cell>
          <cell r="H83">
            <v>2975</v>
          </cell>
        </row>
        <row r="84">
          <cell r="G84" t="str">
            <v>016DREAM IN PEACH</v>
          </cell>
          <cell r="H84">
            <v>1500</v>
          </cell>
        </row>
        <row r="85">
          <cell r="G85" t="str">
            <v>016NINA</v>
          </cell>
          <cell r="H85">
            <v>2425</v>
          </cell>
        </row>
        <row r="86">
          <cell r="G86" t="str">
            <v>017FREEDOM</v>
          </cell>
          <cell r="H86">
            <v>5700</v>
          </cell>
        </row>
        <row r="87">
          <cell r="G87" t="str">
            <v>017GOLDFINCH</v>
          </cell>
          <cell r="H87">
            <v>1850</v>
          </cell>
        </row>
        <row r="88">
          <cell r="G88" t="str">
            <v>018BRIGHTON</v>
          </cell>
          <cell r="H88">
            <v>1225</v>
          </cell>
        </row>
        <row r="89">
          <cell r="G89" t="str">
            <v>019BRIGHTON</v>
          </cell>
          <cell r="H89">
            <v>5400</v>
          </cell>
        </row>
        <row r="90">
          <cell r="G90" t="str">
            <v>019TABATHA</v>
          </cell>
          <cell r="H90">
            <v>2610</v>
          </cell>
        </row>
        <row r="91">
          <cell r="G91" t="str">
            <v>020BRIGHTON</v>
          </cell>
          <cell r="H91">
            <v>4125</v>
          </cell>
        </row>
        <row r="92">
          <cell r="G92" t="str">
            <v>020TYCOON</v>
          </cell>
          <cell r="H92">
            <v>840</v>
          </cell>
        </row>
        <row r="93">
          <cell r="G93" t="str">
            <v>021SHOW GIRL</v>
          </cell>
          <cell r="H93">
            <v>1400</v>
          </cell>
        </row>
        <row r="94">
          <cell r="G94" t="str">
            <v>022CORAL REEF</v>
          </cell>
          <cell r="H94">
            <v>1800</v>
          </cell>
        </row>
        <row r="95">
          <cell r="G95" t="str">
            <v>023COTOPAXI</v>
          </cell>
          <cell r="H95">
            <v>4740</v>
          </cell>
        </row>
        <row r="96">
          <cell r="G96" t="str">
            <v>023FRUTTETO</v>
          </cell>
          <cell r="H96">
            <v>3870</v>
          </cell>
        </row>
        <row r="97">
          <cell r="G97" t="str">
            <v>024COTOPAXI</v>
          </cell>
          <cell r="H97">
            <v>3000</v>
          </cell>
        </row>
        <row r="98">
          <cell r="G98" t="str">
            <v>024SWEETNESS</v>
          </cell>
          <cell r="H98">
            <v>1710</v>
          </cell>
        </row>
        <row r="99">
          <cell r="G99" t="str">
            <v>024TYCOON</v>
          </cell>
          <cell r="H99">
            <v>3240</v>
          </cell>
        </row>
        <row r="100">
          <cell r="G100" t="str">
            <v>025PINK MONDIAL</v>
          </cell>
          <cell r="H100">
            <v>4625</v>
          </cell>
        </row>
        <row r="101">
          <cell r="G101" t="str">
            <v>026LOLA</v>
          </cell>
          <cell r="H101">
            <v>3050</v>
          </cell>
        </row>
        <row r="102">
          <cell r="G102" t="str">
            <v>026PALOMA</v>
          </cell>
          <cell r="H102">
            <v>3275</v>
          </cell>
        </row>
        <row r="103">
          <cell r="G103" t="str">
            <v>027SATISFACTION</v>
          </cell>
          <cell r="H103">
            <v>3480</v>
          </cell>
        </row>
        <row r="104">
          <cell r="G104" t="str">
            <v>027TIFFANY</v>
          </cell>
          <cell r="H104">
            <v>4380</v>
          </cell>
        </row>
        <row r="105">
          <cell r="G105" t="str">
            <v>028COTOPAXI</v>
          </cell>
          <cell r="H105">
            <v>5100</v>
          </cell>
        </row>
        <row r="106">
          <cell r="G106" t="str">
            <v>028DEEP PURPLE</v>
          </cell>
          <cell r="H106">
            <v>4350</v>
          </cell>
        </row>
        <row r="107">
          <cell r="G107" t="str">
            <v>029PINK FLOYD</v>
          </cell>
          <cell r="H107">
            <v>3875</v>
          </cell>
        </row>
        <row r="108">
          <cell r="G108" t="str">
            <v>030EXPLORER</v>
          </cell>
          <cell r="H108">
            <v>2000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K9702"/>
  <sheetViews>
    <sheetView tabSelected="1" topLeftCell="F9248" zoomScaleNormal="100" workbookViewId="0">
      <selection activeCell="H9703" sqref="H9703"/>
    </sheetView>
  </sheetViews>
  <sheetFormatPr baseColWidth="10" defaultRowHeight="14.25"/>
  <cols>
    <col min="1" max="1" width="5.5" bestFit="1" customWidth="1"/>
    <col min="2" max="2" width="9" bestFit="1" customWidth="1"/>
    <col min="3" max="3" width="11.125" customWidth="1"/>
    <col min="4" max="4" width="14.75" customWidth="1"/>
    <col min="5" max="5" width="8.25" bestFit="1" customWidth="1"/>
    <col min="6" max="6" width="13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</cols>
  <sheetData>
    <row r="1" spans="1:1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hidden="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</row>
    <row r="3" spans="1:11" hidden="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5" si="1">+H3/I3</f>
        <v>1.5755322744800557</v>
      </c>
    </row>
    <row r="4" spans="1:11" hidden="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</row>
    <row r="5" spans="1:11" hidden="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</row>
    <row r="6" spans="1:11" hidden="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</row>
    <row r="7" spans="1:11" hidden="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</row>
    <row r="8" spans="1:11" hidden="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</row>
    <row r="9" spans="1:11" hidden="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</row>
    <row r="10" spans="1:11" hidden="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</row>
    <row r="11" spans="1:11" hidden="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</row>
    <row r="12" spans="1:11" hidden="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</row>
    <row r="13" spans="1:11" hidden="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</row>
    <row r="14" spans="1:11" hidden="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</row>
    <row r="15" spans="1:11" hidden="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</row>
    <row r="16" spans="1:11" hidden="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</row>
    <row r="17" spans="1:11" hidden="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</row>
    <row r="18" spans="1:11" hidden="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</row>
    <row r="19" spans="1:11" hidden="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</row>
    <row r="20" spans="1:11" hidden="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</row>
    <row r="21" spans="1:11" hidden="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</row>
    <row r="22" spans="1:11" hidden="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</row>
    <row r="23" spans="1:11" hidden="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</row>
    <row r="24" spans="1:11" hidden="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</row>
    <row r="25" spans="1:11" hidden="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</row>
    <row r="26" spans="1:11" hidden="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</row>
    <row r="27" spans="1:11" hidden="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</row>
    <row r="28" spans="1:11" hidden="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</row>
    <row r="29" spans="1:11" hidden="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</row>
    <row r="30" spans="1:11" hidden="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</row>
    <row r="31" spans="1:11" hidden="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</row>
    <row r="32" spans="1:11" hidden="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</row>
    <row r="33" spans="1:11" hidden="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</row>
    <row r="34" spans="1:11" hidden="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</row>
    <row r="35" spans="1:11" hidden="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</row>
    <row r="36" spans="1:11" hidden="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</row>
    <row r="37" spans="1:11" hidden="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</row>
    <row r="38" spans="1:11" hidden="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</row>
    <row r="39" spans="1:11" hidden="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</row>
    <row r="40" spans="1:11" hidden="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</row>
    <row r="41" spans="1:11" hidden="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</row>
    <row r="42" spans="1:11" hidden="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</row>
    <row r="43" spans="1:11" hidden="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</row>
    <row r="44" spans="1:11" hidden="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</row>
    <row r="45" spans="1:11" hidden="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</row>
    <row r="46" spans="1:11" hidden="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</row>
    <row r="47" spans="1:11" hidden="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</row>
    <row r="48" spans="1:11" hidden="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</row>
    <row r="49" spans="1:11" hidden="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</row>
    <row r="50" spans="1:11" hidden="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</row>
    <row r="51" spans="1:11" hidden="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</row>
    <row r="52" spans="1:11" hidden="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</row>
    <row r="53" spans="1:11" hidden="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</row>
    <row r="54" spans="1:11" hidden="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</row>
    <row r="55" spans="1:11" hidden="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</row>
    <row r="56" spans="1:11" hidden="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</row>
    <row r="57" spans="1:11" hidden="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</row>
    <row r="58" spans="1:11" hidden="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</row>
    <row r="59" spans="1:11" hidden="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</row>
    <row r="60" spans="1:11" hidden="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</row>
    <row r="61" spans="1:11" hidden="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</row>
    <row r="62" spans="1:11" hidden="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</row>
    <row r="63" spans="1:11" hidden="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H63" s="5">
        <v>6720</v>
      </c>
      <c r="I63" s="6">
        <v>2747.5751230427709</v>
      </c>
      <c r="J63" s="5">
        <v>20800</v>
      </c>
      <c r="K63" s="6">
        <f t="shared" si="1"/>
        <v>2.4457929989401026</v>
      </c>
    </row>
    <row r="64" spans="1:11" hidden="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H64" s="5">
        <v>425</v>
      </c>
      <c r="I64" s="6">
        <v>1056.75862064738</v>
      </c>
      <c r="J64" s="5">
        <v>9600</v>
      </c>
      <c r="K64" s="6">
        <f t="shared" si="1"/>
        <v>0.40217320369683013</v>
      </c>
    </row>
    <row r="65" spans="1:11" hidden="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H65" s="5">
        <v>3960</v>
      </c>
      <c r="I65" s="6">
        <v>3592.9793102011122</v>
      </c>
      <c r="J65" s="5">
        <v>27820</v>
      </c>
      <c r="K65" s="6">
        <f t="shared" si="1"/>
        <v>1.1021494025186425</v>
      </c>
    </row>
    <row r="66" spans="1:11" hidden="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H66" s="5">
        <v>3750</v>
      </c>
      <c r="I66" s="6">
        <v>1585.2222221588099</v>
      </c>
      <c r="J66" s="5">
        <v>11490</v>
      </c>
      <c r="K66" s="6">
        <f t="shared" ref="K66:K129" si="4">+H66/I66</f>
        <v>2.3655989346989608</v>
      </c>
    </row>
    <row r="67" spans="1:11" hidden="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H67" s="5">
        <v>900</v>
      </c>
      <c r="I67" s="6">
        <v>1796.5851851133182</v>
      </c>
      <c r="J67" s="5">
        <v>13600</v>
      </c>
      <c r="K67" s="6">
        <f t="shared" si="4"/>
        <v>0.50095036264213277</v>
      </c>
    </row>
    <row r="68" spans="1:11" hidden="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H68" s="5">
        <v>2910</v>
      </c>
      <c r="I68" s="6">
        <v>2219.311111022334</v>
      </c>
      <c r="J68" s="5">
        <v>16800</v>
      </c>
      <c r="K68" s="6">
        <f t="shared" si="4"/>
        <v>1.3112176952331382</v>
      </c>
    </row>
    <row r="69" spans="1:11" hidden="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H69" s="5">
        <v>3425</v>
      </c>
      <c r="I69" s="6">
        <v>2959.0814813631118</v>
      </c>
      <c r="J69" s="5">
        <v>22400</v>
      </c>
      <c r="K69" s="6">
        <f t="shared" si="4"/>
        <v>1.1574537644777059</v>
      </c>
    </row>
    <row r="70" spans="1:11" hidden="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H70" s="5">
        <v>580</v>
      </c>
      <c r="I70" s="6">
        <v>1912.3542857142861</v>
      </c>
      <c r="J70" s="5">
        <v>16320</v>
      </c>
      <c r="K70" s="6">
        <f t="shared" si="4"/>
        <v>0.30329108174815178</v>
      </c>
    </row>
    <row r="71" spans="1:11" hidden="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H71" s="5">
        <v>0</v>
      </c>
      <c r="I71" s="6">
        <v>2812.2857142428579</v>
      </c>
      <c r="J71" s="5">
        <v>20000</v>
      </c>
      <c r="K71" s="6">
        <f t="shared" si="4"/>
        <v>0</v>
      </c>
    </row>
    <row r="72" spans="1:11" hidden="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H72" s="5">
        <v>2650</v>
      </c>
      <c r="I72" s="6">
        <v>1768.8376470588223</v>
      </c>
      <c r="J72" s="5">
        <v>12800</v>
      </c>
      <c r="K72" s="6">
        <f t="shared" si="4"/>
        <v>1.498158977114916</v>
      </c>
    </row>
    <row r="73" spans="1:11" hidden="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H73" s="5">
        <v>3500</v>
      </c>
      <c r="I73" s="6">
        <v>2263.7999998868127</v>
      </c>
      <c r="J73" s="5">
        <v>17920</v>
      </c>
      <c r="K73" s="6">
        <f t="shared" si="4"/>
        <v>1.546072974721705</v>
      </c>
    </row>
    <row r="74" spans="1:11" hidden="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H74" s="5">
        <v>930</v>
      </c>
      <c r="I74" s="6">
        <v>994.97117647058747</v>
      </c>
      <c r="J74" s="5">
        <v>7200</v>
      </c>
      <c r="K74" s="6">
        <f t="shared" si="4"/>
        <v>0.93470044358364579</v>
      </c>
    </row>
    <row r="75" spans="1:11" hidden="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H75" s="5">
        <v>1320</v>
      </c>
      <c r="I75" s="6">
        <v>994.97117647058747</v>
      </c>
      <c r="J75" s="5">
        <v>7920</v>
      </c>
      <c r="K75" s="6">
        <f t="shared" si="4"/>
        <v>1.3266715973445296</v>
      </c>
    </row>
    <row r="76" spans="1:11" hidden="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H76" s="5">
        <v>2125</v>
      </c>
      <c r="I76" s="6">
        <v>2263.7999998868127</v>
      </c>
      <c r="J76" s="5">
        <v>17920</v>
      </c>
      <c r="K76" s="6">
        <f t="shared" si="4"/>
        <v>0.93868716322389234</v>
      </c>
    </row>
    <row r="77" spans="1:11" hidden="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H77" s="5">
        <v>7590</v>
      </c>
      <c r="I77" s="6">
        <v>6727.0499997982479</v>
      </c>
      <c r="J77" s="5">
        <v>49210</v>
      </c>
      <c r="K77" s="6">
        <f t="shared" si="4"/>
        <v>1.1282805985131124</v>
      </c>
    </row>
    <row r="78" spans="1:11" hidden="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H78" s="5">
        <v>1110</v>
      </c>
      <c r="I78" s="6">
        <v>994.95</v>
      </c>
      <c r="J78" s="5">
        <v>7200</v>
      </c>
      <c r="K78" s="6">
        <f t="shared" si="4"/>
        <v>1.115633951454847</v>
      </c>
    </row>
    <row r="79" spans="1:11" hidden="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H79" s="5">
        <v>840</v>
      </c>
      <c r="I79" s="6">
        <v>831.6</v>
      </c>
      <c r="J79" s="5">
        <v>6300</v>
      </c>
      <c r="K79" s="6">
        <f t="shared" si="4"/>
        <v>1.0101010101010102</v>
      </c>
    </row>
    <row r="80" spans="1:11" hidden="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H80" s="5">
        <v>2600</v>
      </c>
      <c r="I80" s="6">
        <v>1267.2</v>
      </c>
      <c r="J80" s="5">
        <v>9600</v>
      </c>
      <c r="K80" s="6">
        <f t="shared" si="4"/>
        <v>2.0517676767676769</v>
      </c>
    </row>
    <row r="81" spans="1:11" hidden="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H81" s="5">
        <v>570</v>
      </c>
      <c r="I81" s="6">
        <v>316.8</v>
      </c>
      <c r="J81" s="5">
        <v>2400</v>
      </c>
      <c r="K81" s="6">
        <f t="shared" si="4"/>
        <v>1.7992424242424241</v>
      </c>
    </row>
    <row r="82" spans="1:11" hidden="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H82" s="5">
        <v>4350</v>
      </c>
      <c r="I82" s="6">
        <v>3603.6</v>
      </c>
      <c r="J82" s="5">
        <v>27296</v>
      </c>
      <c r="K82" s="6">
        <f t="shared" si="4"/>
        <v>1.2071262071262072</v>
      </c>
    </row>
    <row r="83" spans="1:11" hidden="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H83" s="5">
        <v>3300</v>
      </c>
      <c r="I83" s="6">
        <v>3682.8</v>
      </c>
      <c r="J83" s="5">
        <v>27900</v>
      </c>
      <c r="K83" s="6">
        <f t="shared" si="4"/>
        <v>0.8960573476702508</v>
      </c>
    </row>
    <row r="84" spans="1:11" hidden="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H84" s="5">
        <v>2875</v>
      </c>
      <c r="I84" s="6">
        <v>2376</v>
      </c>
      <c r="J84" s="5">
        <v>18000</v>
      </c>
      <c r="K84" s="6">
        <f t="shared" si="4"/>
        <v>1.210016835016835</v>
      </c>
    </row>
    <row r="85" spans="1:11" hidden="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H85" s="5">
        <v>1080</v>
      </c>
      <c r="I85" s="6">
        <v>950.4</v>
      </c>
      <c r="J85" s="5">
        <v>7200</v>
      </c>
      <c r="K85" s="6">
        <f t="shared" si="4"/>
        <v>1.1363636363636365</v>
      </c>
    </row>
    <row r="86" spans="1:11" hidden="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H86" s="5">
        <v>2375</v>
      </c>
      <c r="I86" s="6">
        <v>1346.4</v>
      </c>
      <c r="J86" s="5">
        <v>10200</v>
      </c>
      <c r="K86" s="6">
        <f t="shared" si="4"/>
        <v>1.7639631610219844</v>
      </c>
    </row>
    <row r="87" spans="1:11" hidden="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H87" s="5">
        <v>3870</v>
      </c>
      <c r="I87" s="6">
        <v>2851.2</v>
      </c>
      <c r="J87" s="5">
        <v>21600</v>
      </c>
      <c r="K87" s="6">
        <f t="shared" si="4"/>
        <v>1.3573232323232325</v>
      </c>
    </row>
    <row r="88" spans="1:11" hidden="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H88" s="5">
        <v>1290</v>
      </c>
      <c r="I88" s="6">
        <v>2138.4</v>
      </c>
      <c r="J88" s="5">
        <v>16200</v>
      </c>
      <c r="K88" s="6">
        <f t="shared" si="4"/>
        <v>0.60325476992143656</v>
      </c>
    </row>
    <row r="89" spans="1:11" hidden="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H89" s="5">
        <v>1450</v>
      </c>
      <c r="I89" s="6">
        <v>963.6</v>
      </c>
      <c r="J89" s="5">
        <v>7570</v>
      </c>
      <c r="K89" s="6">
        <f t="shared" si="4"/>
        <v>1.5047737650477375</v>
      </c>
    </row>
    <row r="90" spans="1:11" hidden="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H90" s="5">
        <v>5625</v>
      </c>
      <c r="I90" s="6">
        <v>3168</v>
      </c>
      <c r="J90" s="5">
        <v>24000</v>
      </c>
      <c r="K90" s="6">
        <f t="shared" si="4"/>
        <v>1.7755681818181819</v>
      </c>
    </row>
    <row r="91" spans="1:11" hidden="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H91" s="5">
        <v>2910</v>
      </c>
      <c r="I91" s="6">
        <v>1188</v>
      </c>
      <c r="J91" s="5">
        <v>9000</v>
      </c>
      <c r="K91" s="6">
        <f t="shared" si="4"/>
        <v>2.4494949494949494</v>
      </c>
    </row>
    <row r="92" spans="1:11" hidden="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H92" s="5">
        <v>2900</v>
      </c>
      <c r="I92" s="6">
        <v>2732.4</v>
      </c>
      <c r="J92" s="5">
        <v>20700</v>
      </c>
      <c r="K92" s="6">
        <f t="shared" si="4"/>
        <v>1.0613380178597569</v>
      </c>
    </row>
    <row r="93" spans="1:11" hidden="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H93" s="5">
        <v>630</v>
      </c>
      <c r="I93" s="6">
        <v>673.2</v>
      </c>
      <c r="J93" s="5">
        <v>5100</v>
      </c>
      <c r="K93" s="6">
        <f t="shared" si="4"/>
        <v>0.93582887700534756</v>
      </c>
    </row>
    <row r="94" spans="1:11" hidden="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H94" s="5">
        <v>1180</v>
      </c>
      <c r="I94" s="6">
        <v>1100.4749999999999</v>
      </c>
      <c r="J94" s="5">
        <v>8000</v>
      </c>
      <c r="K94" s="6">
        <f t="shared" si="4"/>
        <v>1.0722642495286128</v>
      </c>
    </row>
    <row r="95" spans="1:11" hidden="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H95" s="5">
        <v>2050</v>
      </c>
      <c r="I95" s="6">
        <v>1287</v>
      </c>
      <c r="J95" s="5">
        <v>9400</v>
      </c>
      <c r="K95" s="6">
        <f t="shared" si="4"/>
        <v>1.5928515928515929</v>
      </c>
    </row>
    <row r="96" spans="1:11" hidden="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H96" s="5">
        <v>6060</v>
      </c>
      <c r="I96" s="6">
        <v>2641.14</v>
      </c>
      <c r="J96" s="5">
        <v>19200</v>
      </c>
      <c r="K96" s="6">
        <f t="shared" si="4"/>
        <v>2.2944637542879214</v>
      </c>
    </row>
    <row r="97" spans="1:11" hidden="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H97" s="5">
        <v>2500</v>
      </c>
      <c r="I97" s="6">
        <v>2641.14</v>
      </c>
      <c r="J97" s="5">
        <v>19200</v>
      </c>
      <c r="K97" s="6">
        <f t="shared" si="4"/>
        <v>0.9465609547392414</v>
      </c>
    </row>
    <row r="98" spans="1:11" hidden="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H98" s="5">
        <v>3360</v>
      </c>
      <c r="I98" s="6">
        <v>1430.6174906250001</v>
      </c>
      <c r="J98" s="5">
        <v>10400</v>
      </c>
      <c r="K98" s="6">
        <f t="shared" si="4"/>
        <v>2.3486361812423406</v>
      </c>
    </row>
    <row r="99" spans="1:11" hidden="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H99" s="5">
        <v>1470</v>
      </c>
      <c r="I99" s="6">
        <v>1430.6175000000001</v>
      </c>
      <c r="J99" s="5">
        <v>10400</v>
      </c>
      <c r="K99" s="6">
        <f t="shared" si="4"/>
        <v>1.0275283225600134</v>
      </c>
    </row>
    <row r="100" spans="1:11" hidden="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H100" s="5">
        <v>3240</v>
      </c>
      <c r="I100" s="6">
        <v>2861.2350000000001</v>
      </c>
      <c r="J100" s="5">
        <v>20800</v>
      </c>
      <c r="K100" s="6">
        <f t="shared" si="4"/>
        <v>1.1323781513926678</v>
      </c>
    </row>
    <row r="101" spans="1:11" hidden="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H101" s="5">
        <v>4575</v>
      </c>
      <c r="I101" s="6">
        <v>3071.9505625000002</v>
      </c>
      <c r="J101" s="5">
        <v>22400</v>
      </c>
      <c r="K101" s="6">
        <f t="shared" si="4"/>
        <v>1.4892817794166568</v>
      </c>
    </row>
    <row r="102" spans="1:11" hidden="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H102" s="5">
        <v>2880</v>
      </c>
      <c r="I102" s="6">
        <v>1097.125</v>
      </c>
      <c r="J102" s="5">
        <v>8000</v>
      </c>
      <c r="K102" s="6">
        <f t="shared" si="4"/>
        <v>2.6250427253047737</v>
      </c>
    </row>
    <row r="103" spans="1:11" hidden="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H103" s="5">
        <v>4200</v>
      </c>
      <c r="I103" s="6">
        <v>2852.5250000000001</v>
      </c>
      <c r="J103" s="5">
        <v>20800</v>
      </c>
      <c r="K103" s="6">
        <f t="shared" si="4"/>
        <v>1.4723797337446647</v>
      </c>
    </row>
    <row r="104" spans="1:11" hidden="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H104" s="5">
        <v>3630</v>
      </c>
      <c r="I104" s="6">
        <v>2633.1</v>
      </c>
      <c r="J104" s="5">
        <v>19200</v>
      </c>
      <c r="K104" s="6">
        <f t="shared" si="4"/>
        <v>1.3786031673692607</v>
      </c>
    </row>
    <row r="105" spans="1:11" hidden="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H105" s="5">
        <v>3900</v>
      </c>
      <c r="I105" s="6">
        <v>2633.1</v>
      </c>
      <c r="J105" s="5">
        <v>19200</v>
      </c>
      <c r="K105" s="6">
        <f t="shared" si="4"/>
        <v>1.4811438988264785</v>
      </c>
    </row>
    <row r="106" spans="1:11" hidden="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H106" s="5">
        <v>5370</v>
      </c>
      <c r="I106" s="6">
        <v>2852.5250000000001</v>
      </c>
      <c r="J106" s="5">
        <v>20800</v>
      </c>
      <c r="K106" s="6">
        <f t="shared" si="4"/>
        <v>1.8825426595735357</v>
      </c>
    </row>
    <row r="107" spans="1:11" hidden="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H107" s="5">
        <v>4920</v>
      </c>
      <c r="I107" s="6">
        <v>2852.5250000000001</v>
      </c>
      <c r="J107" s="5">
        <v>20800</v>
      </c>
      <c r="K107" s="6">
        <f t="shared" si="4"/>
        <v>1.724787688100893</v>
      </c>
    </row>
    <row r="108" spans="1:11" hidden="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H108" s="5">
        <v>2400</v>
      </c>
      <c r="I108" s="6">
        <v>3071.95</v>
      </c>
      <c r="J108" s="5">
        <v>22400</v>
      </c>
      <c r="K108" s="6">
        <f t="shared" si="4"/>
        <v>0.78126271586451612</v>
      </c>
    </row>
    <row r="109" spans="1:11" hidden="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H109" s="5">
        <v>3250</v>
      </c>
      <c r="I109" s="6">
        <v>1645.6875</v>
      </c>
      <c r="J109" s="5">
        <v>12000</v>
      </c>
      <c r="K109" s="6">
        <f t="shared" si="4"/>
        <v>1.9748585317686378</v>
      </c>
    </row>
    <row r="110" spans="1:11" hidden="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H110" s="5">
        <v>5580</v>
      </c>
      <c r="I110" s="6">
        <v>4121.4642855494085</v>
      </c>
      <c r="J110" s="5">
        <v>31200</v>
      </c>
      <c r="K110" s="6">
        <f t="shared" si="4"/>
        <v>1.3538877479939542</v>
      </c>
    </row>
    <row r="111" spans="1:11" hidden="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H111" s="5">
        <v>1170</v>
      </c>
      <c r="I111" s="6">
        <v>1056.7857142434418</v>
      </c>
      <c r="J111" s="5">
        <v>8000</v>
      </c>
      <c r="K111" s="6">
        <f t="shared" si="4"/>
        <v>1.1071307874724716</v>
      </c>
    </row>
    <row r="112" spans="1:11" hidden="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H112" s="5">
        <v>5130</v>
      </c>
      <c r="I112" s="6">
        <v>2641.9642856076484</v>
      </c>
      <c r="J112" s="5">
        <v>19996</v>
      </c>
      <c r="K112" s="6">
        <f t="shared" si="4"/>
        <v>1.9417370734139605</v>
      </c>
    </row>
    <row r="113" spans="1:11" hidden="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H113" s="5">
        <v>1140</v>
      </c>
      <c r="I113" s="6">
        <v>528.39285712153003</v>
      </c>
      <c r="J113" s="5">
        <v>4000</v>
      </c>
      <c r="K113" s="6">
        <f t="shared" si="4"/>
        <v>2.1574856371266211</v>
      </c>
    </row>
    <row r="114" spans="1:11" hidden="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H114" s="5">
        <v>1320</v>
      </c>
      <c r="I114" s="6">
        <v>1902.2142856375078</v>
      </c>
      <c r="J114" s="5">
        <v>14400</v>
      </c>
      <c r="K114" s="6">
        <f t="shared" si="4"/>
        <v>0.69392812890037536</v>
      </c>
    </row>
    <row r="115" spans="1:11" hidden="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H115" s="5">
        <v>720</v>
      </c>
      <c r="I115" s="6">
        <v>686.89445810058101</v>
      </c>
      <c r="J115" s="5">
        <v>5200</v>
      </c>
      <c r="K115" s="6">
        <f t="shared" si="4"/>
        <v>1.0481959659289775</v>
      </c>
    </row>
    <row r="116" spans="1:11" hidden="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H116" s="5">
        <v>8000</v>
      </c>
      <c r="I116" s="6">
        <v>4487.9999999102474</v>
      </c>
      <c r="J116" s="5">
        <v>31740</v>
      </c>
      <c r="K116" s="6">
        <f t="shared" si="4"/>
        <v>1.7825311943315478</v>
      </c>
    </row>
    <row r="117" spans="1:11" hidden="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H117" s="5">
        <v>3775</v>
      </c>
      <c r="I117" s="6">
        <v>1702.8</v>
      </c>
      <c r="J117" s="5">
        <v>12900</v>
      </c>
      <c r="K117" s="6">
        <f t="shared" si="4"/>
        <v>2.2169368099600657</v>
      </c>
    </row>
    <row r="118" spans="1:11" hidden="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H118" s="5">
        <v>4960</v>
      </c>
      <c r="I118" s="6">
        <v>3009.6</v>
      </c>
      <c r="J118" s="5">
        <v>22800</v>
      </c>
      <c r="K118" s="6">
        <f t="shared" si="4"/>
        <v>1.6480595427963849</v>
      </c>
    </row>
    <row r="119" spans="1:11" hidden="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H119" s="5">
        <v>2250</v>
      </c>
      <c r="I119" s="6">
        <v>1386</v>
      </c>
      <c r="J119" s="5">
        <v>10500</v>
      </c>
      <c r="K119" s="6">
        <f t="shared" si="4"/>
        <v>1.6233766233766234</v>
      </c>
    </row>
    <row r="120" spans="1:11" hidden="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</row>
    <row r="121" spans="1:11" hidden="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H121" s="5">
        <v>1425</v>
      </c>
      <c r="I121" s="6">
        <v>1029.5999999999999</v>
      </c>
      <c r="J121" s="5">
        <v>7800</v>
      </c>
      <c r="K121" s="6">
        <f t="shared" si="4"/>
        <v>1.3840326340326341</v>
      </c>
    </row>
    <row r="122" spans="1:11" hidden="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H122" s="5">
        <v>1950</v>
      </c>
      <c r="I122" s="6">
        <v>2653.2</v>
      </c>
      <c r="J122" s="5">
        <v>20100</v>
      </c>
      <c r="K122" s="6">
        <f t="shared" si="4"/>
        <v>0.73496155585707834</v>
      </c>
    </row>
    <row r="123" spans="1:11" hidden="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H123" s="5">
        <v>2820</v>
      </c>
      <c r="I123" s="6">
        <v>1768.8</v>
      </c>
      <c r="J123" s="5">
        <v>13400</v>
      </c>
      <c r="K123" s="6">
        <f t="shared" si="4"/>
        <v>1.5943012211668928</v>
      </c>
    </row>
    <row r="124" spans="1:11" hidden="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H124" s="5">
        <v>1410</v>
      </c>
      <c r="I124" s="6">
        <v>1029.5999999999999</v>
      </c>
      <c r="J124" s="5">
        <v>7800</v>
      </c>
      <c r="K124" s="6">
        <f t="shared" si="4"/>
        <v>1.3694638694638697</v>
      </c>
    </row>
    <row r="125" spans="1:11" hidden="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H125" s="5">
        <v>2850</v>
      </c>
      <c r="I125" s="6">
        <v>1346.4</v>
      </c>
      <c r="J125" s="5">
        <v>10200</v>
      </c>
      <c r="K125" s="6">
        <f t="shared" si="4"/>
        <v>2.1167557932263814</v>
      </c>
    </row>
    <row r="126" spans="1:11" hidden="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H126" s="5">
        <v>810</v>
      </c>
      <c r="I126" s="6">
        <v>440.18999062500001</v>
      </c>
      <c r="J126" s="5">
        <v>3200</v>
      </c>
      <c r="K126" s="6">
        <f t="shared" si="4"/>
        <v>1.840114535203148</v>
      </c>
    </row>
    <row r="127" spans="1:11" hidden="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H127" s="5">
        <v>1925</v>
      </c>
      <c r="I127" s="6">
        <v>880.38</v>
      </c>
      <c r="J127" s="5">
        <v>6400</v>
      </c>
      <c r="K127" s="6">
        <f t="shared" si="4"/>
        <v>2.1865558054476475</v>
      </c>
    </row>
    <row r="128" spans="1:11" hidden="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H128" s="5">
        <v>1175</v>
      </c>
      <c r="I128" s="6">
        <v>330.14249999999998</v>
      </c>
      <c r="J128" s="5">
        <v>2400</v>
      </c>
      <c r="K128" s="6">
        <f t="shared" si="4"/>
        <v>3.5590691898195477</v>
      </c>
    </row>
    <row r="129" spans="1:11" hidden="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H129" s="5">
        <v>4600</v>
      </c>
      <c r="I129" s="6">
        <v>1650.7125000000001</v>
      </c>
      <c r="J129" s="5">
        <v>12000</v>
      </c>
      <c r="K129" s="6">
        <f t="shared" si="4"/>
        <v>2.7866754507523264</v>
      </c>
    </row>
    <row r="130" spans="1:11" hidden="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H130" s="5">
        <v>1660</v>
      </c>
      <c r="I130" s="6">
        <v>1287.0000000000018</v>
      </c>
      <c r="J130" s="5">
        <v>9400</v>
      </c>
      <c r="K130" s="6">
        <f t="shared" ref="K130:K192" si="6">+H130/I130</f>
        <v>1.289821289821288</v>
      </c>
    </row>
    <row r="131" spans="1:11" hidden="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H131" s="5">
        <v>3075</v>
      </c>
      <c r="I131" s="6">
        <v>2641.14</v>
      </c>
      <c r="J131" s="5">
        <v>19200</v>
      </c>
      <c r="K131" s="6">
        <f t="shared" si="6"/>
        <v>1.164269974329267</v>
      </c>
    </row>
    <row r="132" spans="1:11" hidden="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H132" s="5">
        <v>2460</v>
      </c>
      <c r="I132" s="6">
        <v>880.38</v>
      </c>
      <c r="J132" s="5">
        <v>6400</v>
      </c>
      <c r="K132" s="6">
        <f t="shared" si="6"/>
        <v>2.7942479383902405</v>
      </c>
    </row>
    <row r="133" spans="1:11" hidden="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H133" s="5">
        <v>1540</v>
      </c>
      <c r="I133" s="6">
        <v>880.38</v>
      </c>
      <c r="J133" s="5">
        <v>6400</v>
      </c>
      <c r="K133" s="6">
        <f t="shared" si="6"/>
        <v>1.749244644358118</v>
      </c>
    </row>
    <row r="134" spans="1:11" hidden="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H134" s="5">
        <v>1580</v>
      </c>
      <c r="I134" s="6">
        <v>1755.4</v>
      </c>
      <c r="J134" s="5">
        <v>12800</v>
      </c>
      <c r="K134" s="6">
        <f t="shared" si="6"/>
        <v>0.90007975390224448</v>
      </c>
    </row>
    <row r="135" spans="1:11" hidden="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H135" s="5">
        <v>4120</v>
      </c>
      <c r="I135" s="6">
        <v>2413.6749943750001</v>
      </c>
      <c r="J135" s="5">
        <v>17600</v>
      </c>
      <c r="K135" s="6">
        <f t="shared" si="6"/>
        <v>1.7069406650031762</v>
      </c>
    </row>
    <row r="136" spans="1:11" hidden="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H136" s="5">
        <v>2580</v>
      </c>
      <c r="I136" s="6">
        <v>1645.6875</v>
      </c>
      <c r="J136" s="5">
        <v>12000</v>
      </c>
      <c r="K136" s="6">
        <f t="shared" si="6"/>
        <v>1.5677338498347955</v>
      </c>
    </row>
    <row r="137" spans="1:11" hidden="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H137" s="5">
        <v>2000</v>
      </c>
      <c r="I137" s="6">
        <v>726.32013058333712</v>
      </c>
      <c r="J137" s="5">
        <v>5712</v>
      </c>
      <c r="K137" s="6">
        <f t="shared" si="6"/>
        <v>2.7536067304009859</v>
      </c>
    </row>
    <row r="138" spans="1:11" hidden="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H138" s="5">
        <v>1800</v>
      </c>
      <c r="I138" s="6">
        <v>924.39958333667107</v>
      </c>
      <c r="J138" s="5">
        <v>6720</v>
      </c>
      <c r="K138" s="6">
        <f t="shared" si="6"/>
        <v>1.9472098781165621</v>
      </c>
    </row>
    <row r="139" spans="1:11" hidden="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H139" s="5">
        <v>2640</v>
      </c>
      <c r="I139" s="6">
        <v>1122.485208333339</v>
      </c>
      <c r="J139" s="5">
        <v>8160</v>
      </c>
      <c r="K139" s="6">
        <f t="shared" si="6"/>
        <v>2.3519240880865238</v>
      </c>
    </row>
    <row r="140" spans="1:11" hidden="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H140" s="5">
        <v>0</v>
      </c>
      <c r="I140" s="6">
        <v>396.17125000000198</v>
      </c>
      <c r="J140" s="5">
        <v>2880</v>
      </c>
      <c r="K140" s="6">
        <f t="shared" si="6"/>
        <v>0</v>
      </c>
    </row>
    <row r="141" spans="1:11" hidden="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H141" s="5">
        <v>2370</v>
      </c>
      <c r="I141" s="6">
        <v>1535.9749999999999</v>
      </c>
      <c r="J141" s="5">
        <v>11200</v>
      </c>
      <c r="K141" s="6">
        <f t="shared" si="6"/>
        <v>1.5429938638324192</v>
      </c>
    </row>
    <row r="142" spans="1:11" hidden="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H142" s="5">
        <v>2660</v>
      </c>
      <c r="I142" s="6">
        <v>1535.9749999999999</v>
      </c>
      <c r="J142" s="5">
        <v>11200</v>
      </c>
      <c r="K142" s="6">
        <f t="shared" si="6"/>
        <v>1.731799020166344</v>
      </c>
    </row>
    <row r="143" spans="1:11" hidden="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H143" s="5">
        <v>870</v>
      </c>
      <c r="I143" s="6">
        <v>594.25687500000299</v>
      </c>
      <c r="J143" s="5">
        <v>4320</v>
      </c>
      <c r="K143" s="6">
        <f t="shared" si="6"/>
        <v>1.4640133528114347</v>
      </c>
    </row>
    <row r="144" spans="1:11" hidden="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H144" s="5">
        <v>2800</v>
      </c>
      <c r="I144" s="6">
        <v>2575.1131250013459</v>
      </c>
      <c r="J144" s="5">
        <v>18720</v>
      </c>
      <c r="K144" s="6">
        <f t="shared" si="6"/>
        <v>1.0873308721140305</v>
      </c>
    </row>
    <row r="145" spans="1:11" hidden="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H145" s="5">
        <v>990</v>
      </c>
      <c r="I145" s="6">
        <v>528.37931032368999</v>
      </c>
      <c r="J145" s="5">
        <v>4000</v>
      </c>
      <c r="K145" s="6">
        <f t="shared" ref="K145:K151" si="7">IFERROR(H145/I145,"")</f>
        <v>1.8736539842817028</v>
      </c>
    </row>
    <row r="146" spans="1:11" hidden="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H146" s="5">
        <v>3250</v>
      </c>
      <c r="I146" s="6">
        <v>2272.0310343918732</v>
      </c>
      <c r="J146" s="5">
        <v>17200</v>
      </c>
      <c r="K146" s="6">
        <f t="shared" si="7"/>
        <v>1.4304382074032223</v>
      </c>
    </row>
    <row r="147" spans="1:11" hidden="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H147" s="5">
        <v>950</v>
      </c>
      <c r="I147" s="6">
        <v>1162.4344827121224</v>
      </c>
      <c r="J147" s="5">
        <v>8800</v>
      </c>
      <c r="K147" s="6">
        <f t="shared" si="7"/>
        <v>0.81725036045344845</v>
      </c>
    </row>
    <row r="148" spans="1:11" hidden="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H148" s="5">
        <v>315</v>
      </c>
      <c r="I148" s="6">
        <v>1162.4344827121181</v>
      </c>
      <c r="J148" s="5">
        <v>8800</v>
      </c>
      <c r="K148" s="6">
        <f t="shared" si="7"/>
        <v>0.27098301425561816</v>
      </c>
    </row>
    <row r="149" spans="1:11" hidden="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H149" s="5">
        <v>1410</v>
      </c>
      <c r="I149" s="6">
        <v>1056.7586206473827</v>
      </c>
      <c r="J149" s="5">
        <v>8000</v>
      </c>
      <c r="K149" s="6">
        <f t="shared" si="7"/>
        <v>1.3342687463824212</v>
      </c>
    </row>
    <row r="150" spans="1:11" hidden="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H150" s="5">
        <v>990</v>
      </c>
      <c r="I150" s="6">
        <v>1109.596551679753</v>
      </c>
      <c r="J150" s="5">
        <v>8400</v>
      </c>
      <c r="K150" s="6">
        <f t="shared" si="7"/>
        <v>0.8922161829912838</v>
      </c>
    </row>
    <row r="151" spans="1:11" hidden="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H151" s="5">
        <v>2475</v>
      </c>
      <c r="I151" s="6">
        <v>1902.1655171652881</v>
      </c>
      <c r="J151" s="5">
        <v>14400</v>
      </c>
      <c r="K151" s="6">
        <f t="shared" si="7"/>
        <v>1.3011486001956241</v>
      </c>
    </row>
    <row r="152" spans="1:11" hidden="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H152" s="5">
        <v>25</v>
      </c>
      <c r="I152" s="6">
        <v>951.10714281909407</v>
      </c>
      <c r="J152" s="5">
        <v>7200</v>
      </c>
      <c r="K152" s="6">
        <f t="shared" si="6"/>
        <v>2.6285156397732091E-2</v>
      </c>
    </row>
    <row r="153" spans="1:11" hidden="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H153" s="5">
        <v>3690</v>
      </c>
      <c r="I153" s="6">
        <v>3804.4285712763772</v>
      </c>
      <c r="J153" s="5">
        <v>28800</v>
      </c>
      <c r="K153" s="6">
        <f t="shared" si="6"/>
        <v>0.9699222710763139</v>
      </c>
    </row>
    <row r="154" spans="1:11" hidden="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H154" s="5">
        <v>4320</v>
      </c>
      <c r="I154" s="6">
        <v>2641.8965516184649</v>
      </c>
      <c r="J154" s="5">
        <v>20000</v>
      </c>
      <c r="K154" s="6">
        <f t="shared" si="6"/>
        <v>1.6351889317367496</v>
      </c>
    </row>
    <row r="155" spans="1:11" hidden="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H155" s="5">
        <v>6570</v>
      </c>
      <c r="I155" s="6">
        <v>3592.9793102010913</v>
      </c>
      <c r="J155" s="5">
        <v>26044</v>
      </c>
      <c r="K155" s="6">
        <f t="shared" si="6"/>
        <v>1.8285660541786675</v>
      </c>
    </row>
    <row r="156" spans="1:11" hidden="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H156" s="5">
        <v>2075</v>
      </c>
      <c r="I156" s="6">
        <v>1268.1103447768633</v>
      </c>
      <c r="J156" s="5">
        <v>9600</v>
      </c>
      <c r="K156" s="6">
        <f t="shared" si="6"/>
        <v>1.6362929366096426</v>
      </c>
    </row>
    <row r="157" spans="1:11" hidden="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H157" s="5">
        <v>750</v>
      </c>
      <c r="I157" s="6">
        <v>528.37931032368999</v>
      </c>
      <c r="J157" s="5">
        <v>4000</v>
      </c>
      <c r="K157" s="6">
        <f t="shared" si="6"/>
        <v>1.4194348365770475</v>
      </c>
    </row>
    <row r="158" spans="1:11" hidden="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H158" s="5">
        <v>1770</v>
      </c>
      <c r="I158" s="6">
        <v>1162.4344827121247</v>
      </c>
      <c r="J158" s="5">
        <v>8800</v>
      </c>
      <c r="K158" s="6">
        <f t="shared" si="6"/>
        <v>1.5226664610553695</v>
      </c>
    </row>
    <row r="159" spans="1:11" hidden="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H159" s="5">
        <v>510</v>
      </c>
      <c r="I159" s="6">
        <v>528.3915024419166</v>
      </c>
      <c r="J159" s="5">
        <v>4000</v>
      </c>
      <c r="K159" s="6">
        <f t="shared" si="6"/>
        <v>0.96519341746238951</v>
      </c>
    </row>
    <row r="160" spans="1:11" hidden="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H160" s="5">
        <v>7230</v>
      </c>
      <c r="I160" s="6">
        <v>3910.1071427007282</v>
      </c>
      <c r="J160" s="5">
        <v>29260</v>
      </c>
      <c r="K160" s="6">
        <f t="shared" si="6"/>
        <v>1.8490541911355931</v>
      </c>
    </row>
    <row r="161" spans="1:11" hidden="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H161" s="5">
        <v>2460</v>
      </c>
      <c r="I161" s="6">
        <v>1902.2142856381945</v>
      </c>
      <c r="J161" s="5">
        <v>14400</v>
      </c>
      <c r="K161" s="6">
        <f t="shared" si="6"/>
        <v>1.2932296947684145</v>
      </c>
    </row>
    <row r="162" spans="1:11" hidden="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H162" s="5">
        <v>1710</v>
      </c>
      <c r="I162" s="6">
        <v>1162.4642856677858</v>
      </c>
      <c r="J162" s="5">
        <v>8800</v>
      </c>
      <c r="K162" s="6">
        <f t="shared" si="6"/>
        <v>1.4710129344039833</v>
      </c>
    </row>
    <row r="163" spans="1:11" hidden="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H163" s="5">
        <v>360</v>
      </c>
      <c r="I163" s="6">
        <v>317.03571427303262</v>
      </c>
      <c r="J163" s="5">
        <v>2400</v>
      </c>
      <c r="K163" s="6">
        <f t="shared" si="6"/>
        <v>1.1355187563820217</v>
      </c>
    </row>
    <row r="164" spans="1:11" hidden="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H164" s="5">
        <v>2350</v>
      </c>
      <c r="I164" s="6">
        <v>951.10714281875391</v>
      </c>
      <c r="J164" s="5">
        <v>7200</v>
      </c>
      <c r="K164" s="6">
        <f t="shared" si="6"/>
        <v>2.4708047013877001</v>
      </c>
    </row>
    <row r="165" spans="1:11" hidden="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H165" s="5">
        <v>540</v>
      </c>
      <c r="I165" s="6">
        <v>898.26785710660101</v>
      </c>
      <c r="J165" s="5">
        <v>6800</v>
      </c>
      <c r="K165" s="6">
        <f t="shared" si="6"/>
        <v>0.60115698867305245</v>
      </c>
    </row>
    <row r="166" spans="1:11" hidden="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H166" s="5">
        <v>1750</v>
      </c>
      <c r="I166" s="6">
        <v>1268.1428570916721</v>
      </c>
      <c r="J166" s="5">
        <v>9600</v>
      </c>
      <c r="K166" s="6">
        <f t="shared" si="6"/>
        <v>1.3799707108814281</v>
      </c>
    </row>
    <row r="167" spans="1:11" hidden="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H167" s="5">
        <v>630</v>
      </c>
      <c r="I167" s="6">
        <v>686.91071425798896</v>
      </c>
      <c r="J167" s="5">
        <v>5200</v>
      </c>
      <c r="K167" s="6">
        <f t="shared" si="6"/>
        <v>0.9171497647704262</v>
      </c>
    </row>
    <row r="168" spans="1:11" hidden="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H168" s="5">
        <v>600</v>
      </c>
      <c r="I168" s="6">
        <v>845.428571394752</v>
      </c>
      <c r="J168" s="5">
        <v>6400</v>
      </c>
      <c r="K168" s="6">
        <f t="shared" si="6"/>
        <v>0.70969922273876507</v>
      </c>
    </row>
    <row r="169" spans="1:11" hidden="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H169" s="5">
        <v>7200</v>
      </c>
      <c r="I169" s="6">
        <v>4015.7857141250797</v>
      </c>
      <c r="J169" s="5">
        <v>30400</v>
      </c>
      <c r="K169" s="6">
        <f t="shared" si="6"/>
        <v>1.7929243521821399</v>
      </c>
    </row>
    <row r="170" spans="1:11" hidden="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H170" s="5">
        <v>6225</v>
      </c>
      <c r="I170" s="6">
        <v>4015.7857141250793</v>
      </c>
      <c r="J170" s="5">
        <v>30400</v>
      </c>
      <c r="K170" s="6">
        <f t="shared" si="6"/>
        <v>1.5501325128241419</v>
      </c>
    </row>
    <row r="171" spans="1:11" hidden="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H171" s="5">
        <v>4440</v>
      </c>
      <c r="I171" s="6">
        <v>2747.5751230427709</v>
      </c>
      <c r="J171" s="5">
        <v>20800</v>
      </c>
      <c r="K171" s="6">
        <f t="shared" si="6"/>
        <v>1.6159703742997107</v>
      </c>
    </row>
    <row r="172" spans="1:11" hidden="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H172" s="5">
        <v>250</v>
      </c>
      <c r="I172" s="6">
        <v>1056.75862064738</v>
      </c>
      <c r="J172" s="5">
        <v>9600</v>
      </c>
      <c r="K172" s="6">
        <f t="shared" si="6"/>
        <v>0.23657247276284127</v>
      </c>
    </row>
    <row r="173" spans="1:11" hidden="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H173" s="5">
        <v>3780</v>
      </c>
      <c r="I173" s="6">
        <v>3592.9793102011122</v>
      </c>
      <c r="J173" s="5">
        <v>27820</v>
      </c>
      <c r="K173" s="6">
        <f t="shared" si="6"/>
        <v>1.0520517024041587</v>
      </c>
    </row>
    <row r="174" spans="1:11" hidden="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H174" s="5">
        <v>4200</v>
      </c>
      <c r="I174" s="6">
        <v>1585.2222221588099</v>
      </c>
      <c r="J174" s="5">
        <v>11490</v>
      </c>
      <c r="K174" s="6">
        <f t="shared" si="6"/>
        <v>2.6494708068628361</v>
      </c>
    </row>
    <row r="175" spans="1:11" hidden="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H175" s="5">
        <v>1100</v>
      </c>
      <c r="I175" s="6">
        <v>1796.5851851133182</v>
      </c>
      <c r="J175" s="5">
        <v>13600</v>
      </c>
      <c r="K175" s="6">
        <f t="shared" si="6"/>
        <v>0.61227266545149561</v>
      </c>
    </row>
    <row r="176" spans="1:11" hidden="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H176" s="5">
        <v>2670</v>
      </c>
      <c r="I176" s="6">
        <v>2219.311111022334</v>
      </c>
      <c r="J176" s="5">
        <v>16800</v>
      </c>
      <c r="K176" s="6">
        <f t="shared" si="6"/>
        <v>1.2030760296469001</v>
      </c>
    </row>
    <row r="177" spans="1:11" hidden="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H177" s="5">
        <v>4800</v>
      </c>
      <c r="I177" s="6">
        <v>2959.0814813631118</v>
      </c>
      <c r="J177" s="5">
        <v>22400</v>
      </c>
      <c r="K177" s="6">
        <f t="shared" si="6"/>
        <v>1.6221249837935732</v>
      </c>
    </row>
    <row r="178" spans="1:11" hidden="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H178" s="5">
        <v>720</v>
      </c>
      <c r="I178" s="6">
        <v>1912.3542857142861</v>
      </c>
      <c r="J178" s="5">
        <v>16320</v>
      </c>
      <c r="K178" s="6">
        <f t="shared" si="6"/>
        <v>0.37649927389425741</v>
      </c>
    </row>
    <row r="179" spans="1:11" hidden="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H179" s="5">
        <v>0</v>
      </c>
      <c r="I179" s="6">
        <v>2812.2857142428579</v>
      </c>
      <c r="J179" s="5">
        <v>20000</v>
      </c>
      <c r="K179" s="6">
        <f t="shared" si="6"/>
        <v>0</v>
      </c>
    </row>
    <row r="180" spans="1:11" hidden="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H180" s="5">
        <v>1900</v>
      </c>
      <c r="I180" s="6">
        <v>1768.8376470588223</v>
      </c>
      <c r="J180" s="5">
        <v>12800</v>
      </c>
      <c r="K180" s="6">
        <f t="shared" si="6"/>
        <v>1.0741517194408832</v>
      </c>
    </row>
    <row r="181" spans="1:11" hidden="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H181" s="5">
        <v>3100</v>
      </c>
      <c r="I181" s="6">
        <v>2263.7999998868127</v>
      </c>
      <c r="J181" s="5">
        <v>17920</v>
      </c>
      <c r="K181" s="6">
        <f t="shared" si="6"/>
        <v>1.369378920467796</v>
      </c>
    </row>
    <row r="182" spans="1:11" hidden="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H182" s="5">
        <v>1110</v>
      </c>
      <c r="I182" s="6">
        <v>994.97117647058747</v>
      </c>
      <c r="J182" s="5">
        <v>7200</v>
      </c>
      <c r="K182" s="6">
        <f t="shared" si="6"/>
        <v>1.1156102068578997</v>
      </c>
    </row>
    <row r="183" spans="1:11" hidden="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H183" s="5">
        <v>1320</v>
      </c>
      <c r="I183" s="6">
        <v>994.97117647058747</v>
      </c>
      <c r="J183" s="5">
        <v>7920</v>
      </c>
      <c r="K183" s="6">
        <f t="shared" si="6"/>
        <v>1.3266715973445296</v>
      </c>
    </row>
    <row r="184" spans="1:11" hidden="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H184" s="5">
        <v>2300</v>
      </c>
      <c r="I184" s="6">
        <v>2263.7999998868127</v>
      </c>
      <c r="J184" s="5">
        <v>17920</v>
      </c>
      <c r="K184" s="6">
        <f t="shared" si="6"/>
        <v>1.0159908119599776</v>
      </c>
    </row>
    <row r="185" spans="1:11" hidden="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H185" s="5">
        <v>9960</v>
      </c>
      <c r="I185" s="6">
        <v>6727.0499997982479</v>
      </c>
      <c r="J185" s="5">
        <v>49210</v>
      </c>
      <c r="K185" s="6">
        <f t="shared" si="6"/>
        <v>1.4805895601041634</v>
      </c>
    </row>
    <row r="186" spans="1:11" hidden="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H186" s="5">
        <v>1380</v>
      </c>
      <c r="I186" s="6">
        <v>994.95</v>
      </c>
      <c r="J186" s="5">
        <v>7200</v>
      </c>
      <c r="K186" s="6">
        <f t="shared" si="6"/>
        <v>1.3870043720789988</v>
      </c>
    </row>
    <row r="187" spans="1:11" hidden="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H187" s="5">
        <v>920</v>
      </c>
      <c r="I187" s="6">
        <v>831.6</v>
      </c>
      <c r="J187" s="5">
        <v>6300</v>
      </c>
      <c r="K187" s="6">
        <f t="shared" si="6"/>
        <v>1.1063011063011063</v>
      </c>
    </row>
    <row r="188" spans="1:11" hidden="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H188" s="5">
        <v>2425</v>
      </c>
      <c r="I188" s="6">
        <v>1267.2</v>
      </c>
      <c r="J188" s="5">
        <v>9600</v>
      </c>
      <c r="K188" s="6">
        <f t="shared" si="6"/>
        <v>1.9136679292929293</v>
      </c>
    </row>
    <row r="189" spans="1:11" hidden="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H189" s="5">
        <v>450</v>
      </c>
      <c r="I189" s="6">
        <v>316.8</v>
      </c>
      <c r="J189" s="5">
        <v>2400</v>
      </c>
      <c r="K189" s="6">
        <f t="shared" si="6"/>
        <v>1.4204545454545454</v>
      </c>
    </row>
    <row r="190" spans="1:11" hidden="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H190" s="5">
        <v>4050</v>
      </c>
      <c r="I190" s="6">
        <v>3603.6</v>
      </c>
      <c r="J190" s="5">
        <v>27296</v>
      </c>
      <c r="K190" s="6">
        <f t="shared" si="6"/>
        <v>1.1238761238761239</v>
      </c>
    </row>
    <row r="191" spans="1:11" hidden="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H191" s="5">
        <v>3525</v>
      </c>
      <c r="I191" s="6">
        <v>3682.8</v>
      </c>
      <c r="J191" s="5">
        <v>27900</v>
      </c>
      <c r="K191" s="6">
        <f t="shared" si="6"/>
        <v>0.95715216682958615</v>
      </c>
    </row>
    <row r="192" spans="1:11" hidden="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H192" s="5">
        <v>3300</v>
      </c>
      <c r="I192" s="6">
        <v>2376</v>
      </c>
      <c r="J192" s="5">
        <v>18000</v>
      </c>
      <c r="K192" s="6">
        <f t="shared" si="6"/>
        <v>1.3888888888888888</v>
      </c>
    </row>
    <row r="193" spans="1:11" hidden="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H193" s="5">
        <v>1050</v>
      </c>
      <c r="I193" s="6">
        <v>950.4</v>
      </c>
      <c r="J193" s="5">
        <v>7200</v>
      </c>
      <c r="K193" s="6">
        <f t="shared" ref="K193:K252" si="9">+H193/I193</f>
        <v>1.1047979797979799</v>
      </c>
    </row>
    <row r="194" spans="1:11" hidden="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H194" s="5">
        <v>2050</v>
      </c>
      <c r="I194" s="6">
        <v>1346.4</v>
      </c>
      <c r="J194" s="5">
        <v>10200</v>
      </c>
      <c r="K194" s="6">
        <f t="shared" si="9"/>
        <v>1.5225787284610812</v>
      </c>
    </row>
    <row r="195" spans="1:11" hidden="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H195" s="5">
        <v>4230</v>
      </c>
      <c r="I195" s="6">
        <v>2851.2</v>
      </c>
      <c r="J195" s="5">
        <v>21600</v>
      </c>
      <c r="K195" s="6">
        <f t="shared" si="9"/>
        <v>1.4835858585858588</v>
      </c>
    </row>
    <row r="196" spans="1:11" hidden="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H196" s="5">
        <v>1110</v>
      </c>
      <c r="I196" s="6">
        <v>2138.4</v>
      </c>
      <c r="J196" s="5">
        <v>16200</v>
      </c>
      <c r="K196" s="6">
        <f t="shared" si="9"/>
        <v>0.51907968574635244</v>
      </c>
    </row>
    <row r="197" spans="1:11" hidden="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H197" s="5">
        <v>1350</v>
      </c>
      <c r="I197" s="6">
        <v>963.6</v>
      </c>
      <c r="J197" s="5">
        <v>7570</v>
      </c>
      <c r="K197" s="6">
        <f t="shared" si="9"/>
        <v>1.4009962640099627</v>
      </c>
    </row>
    <row r="198" spans="1:11" hidden="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H198" s="5">
        <v>5450</v>
      </c>
      <c r="I198" s="6">
        <v>3168</v>
      </c>
      <c r="J198" s="5">
        <v>24000</v>
      </c>
      <c r="K198" s="6">
        <f t="shared" si="9"/>
        <v>1.7203282828282829</v>
      </c>
    </row>
    <row r="199" spans="1:11" hidden="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H199" s="5">
        <v>2820</v>
      </c>
      <c r="I199" s="6">
        <v>1188</v>
      </c>
      <c r="J199" s="5">
        <v>9000</v>
      </c>
      <c r="K199" s="6">
        <f t="shared" si="9"/>
        <v>2.3737373737373737</v>
      </c>
    </row>
    <row r="200" spans="1:11" hidden="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H200" s="5">
        <v>2700</v>
      </c>
      <c r="I200" s="6">
        <v>2732.4</v>
      </c>
      <c r="J200" s="5">
        <v>20700</v>
      </c>
      <c r="K200" s="6">
        <f t="shared" si="9"/>
        <v>0.98814229249011853</v>
      </c>
    </row>
    <row r="201" spans="1:11" hidden="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H201" s="5">
        <v>1020</v>
      </c>
      <c r="I201" s="6">
        <v>673.2</v>
      </c>
      <c r="J201" s="5">
        <v>5100</v>
      </c>
      <c r="K201" s="6">
        <f t="shared" si="9"/>
        <v>1.5151515151515151</v>
      </c>
    </row>
    <row r="202" spans="1:11" hidden="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H202" s="5">
        <v>1180</v>
      </c>
      <c r="I202" s="6">
        <v>1100.4749999999999</v>
      </c>
      <c r="J202" s="5">
        <v>8000</v>
      </c>
      <c r="K202" s="6">
        <f t="shared" si="9"/>
        <v>1.0722642495286128</v>
      </c>
    </row>
    <row r="203" spans="1:11" hidden="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H203" s="5">
        <v>2350</v>
      </c>
      <c r="I203" s="6">
        <v>1287</v>
      </c>
      <c r="J203" s="5">
        <v>9400</v>
      </c>
      <c r="K203" s="6">
        <f t="shared" si="9"/>
        <v>1.8259518259518259</v>
      </c>
    </row>
    <row r="204" spans="1:11" hidden="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H204" s="5">
        <v>4860</v>
      </c>
      <c r="I204" s="6">
        <v>2641.14</v>
      </c>
      <c r="J204" s="5">
        <v>19200</v>
      </c>
      <c r="K204" s="6">
        <f t="shared" si="9"/>
        <v>1.8401144960130853</v>
      </c>
    </row>
    <row r="205" spans="1:11" hidden="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H205" s="5">
        <v>2225</v>
      </c>
      <c r="I205" s="6">
        <v>2641.14</v>
      </c>
      <c r="J205" s="5">
        <v>19200</v>
      </c>
      <c r="K205" s="6">
        <f t="shared" si="9"/>
        <v>0.84243924971792483</v>
      </c>
    </row>
    <row r="206" spans="1:11" hidden="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H206" s="5">
        <v>2790</v>
      </c>
      <c r="I206" s="6">
        <v>1430.6174906250001</v>
      </c>
      <c r="J206" s="5">
        <v>10400</v>
      </c>
      <c r="K206" s="6">
        <f t="shared" si="9"/>
        <v>1.9502068290673005</v>
      </c>
    </row>
    <row r="207" spans="1:11" hidden="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H207" s="5">
        <v>1680</v>
      </c>
      <c r="I207" s="6">
        <v>1430.6175000000001</v>
      </c>
      <c r="J207" s="5">
        <v>10400</v>
      </c>
      <c r="K207" s="6">
        <f t="shared" si="9"/>
        <v>1.1743180829257296</v>
      </c>
    </row>
    <row r="208" spans="1:11" hidden="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H208" s="5">
        <v>4170</v>
      </c>
      <c r="I208" s="6">
        <v>2861.2350000000001</v>
      </c>
      <c r="J208" s="5">
        <v>20800</v>
      </c>
      <c r="K208" s="6">
        <f t="shared" si="9"/>
        <v>1.4574126207738964</v>
      </c>
    </row>
    <row r="209" spans="1:11" hidden="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H209" s="5">
        <v>4675</v>
      </c>
      <c r="I209" s="6">
        <v>3071.9505625000002</v>
      </c>
      <c r="J209" s="5">
        <v>22400</v>
      </c>
      <c r="K209" s="6">
        <f t="shared" si="9"/>
        <v>1.521834386617021</v>
      </c>
    </row>
    <row r="210" spans="1:11" hidden="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H210" s="5">
        <v>4620</v>
      </c>
      <c r="I210" s="6">
        <v>1097.125</v>
      </c>
      <c r="J210" s="5">
        <v>8000</v>
      </c>
      <c r="K210" s="6">
        <f t="shared" si="9"/>
        <v>4.2110060385097414</v>
      </c>
    </row>
    <row r="211" spans="1:11" hidden="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H211" s="5">
        <v>5000</v>
      </c>
      <c r="I211" s="6">
        <v>2852.5250000000001</v>
      </c>
      <c r="J211" s="5">
        <v>20800</v>
      </c>
      <c r="K211" s="6">
        <f t="shared" si="9"/>
        <v>1.7528330163626962</v>
      </c>
    </row>
    <row r="212" spans="1:11" hidden="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H212" s="5">
        <v>3240</v>
      </c>
      <c r="I212" s="6">
        <v>2633.1</v>
      </c>
      <c r="J212" s="5">
        <v>19200</v>
      </c>
      <c r="K212" s="6">
        <f t="shared" si="9"/>
        <v>1.2304887774866127</v>
      </c>
    </row>
    <row r="213" spans="1:11" hidden="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H213" s="5">
        <v>3540</v>
      </c>
      <c r="I213" s="6">
        <v>2633.1</v>
      </c>
      <c r="J213" s="5">
        <v>19200</v>
      </c>
      <c r="K213" s="6">
        <f t="shared" si="9"/>
        <v>1.3444229235501881</v>
      </c>
    </row>
    <row r="214" spans="1:11" hidden="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H214" s="5">
        <v>4200</v>
      </c>
      <c r="I214" s="6">
        <v>2852.5250000000001</v>
      </c>
      <c r="J214" s="5">
        <v>20800</v>
      </c>
      <c r="K214" s="6">
        <f t="shared" si="9"/>
        <v>1.4723797337446647</v>
      </c>
    </row>
    <row r="215" spans="1:11" hidden="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H215" s="5">
        <v>5250</v>
      </c>
      <c r="I215" s="6">
        <v>2852.5250000000001</v>
      </c>
      <c r="J215" s="5">
        <v>20800</v>
      </c>
      <c r="K215" s="6">
        <f t="shared" si="9"/>
        <v>1.840474667180831</v>
      </c>
    </row>
    <row r="216" spans="1:11" hidden="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H216" s="5">
        <v>3000</v>
      </c>
      <c r="I216" s="6">
        <v>3071.95</v>
      </c>
      <c r="J216" s="5">
        <v>22400</v>
      </c>
      <c r="K216" s="6">
        <f t="shared" si="9"/>
        <v>0.97657839483064512</v>
      </c>
    </row>
    <row r="217" spans="1:11" hidden="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H217" s="5">
        <v>2850</v>
      </c>
      <c r="I217" s="6">
        <v>1645.6875</v>
      </c>
      <c r="J217" s="5">
        <v>12000</v>
      </c>
      <c r="K217" s="6">
        <f t="shared" si="9"/>
        <v>1.7317990201663438</v>
      </c>
    </row>
    <row r="218" spans="1:11" hidden="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H218" s="5">
        <v>7060</v>
      </c>
      <c r="I218" s="6">
        <v>4121.4642855494085</v>
      </c>
      <c r="J218" s="5">
        <v>31200</v>
      </c>
      <c r="K218" s="6">
        <f t="shared" si="9"/>
        <v>1.7129834230891248</v>
      </c>
    </row>
    <row r="219" spans="1:11" hidden="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H219" s="5">
        <v>2745</v>
      </c>
      <c r="I219" s="6">
        <v>1056.7857142434418</v>
      </c>
      <c r="J219" s="5">
        <v>8000</v>
      </c>
      <c r="K219" s="6">
        <f t="shared" si="9"/>
        <v>2.5974991552238755</v>
      </c>
    </row>
    <row r="220" spans="1:11" hidden="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H220" s="5">
        <v>5070</v>
      </c>
      <c r="I220" s="6">
        <v>2641.9642856076484</v>
      </c>
      <c r="J220" s="5">
        <v>19996</v>
      </c>
      <c r="K220" s="6">
        <f t="shared" si="9"/>
        <v>1.9190266982863118</v>
      </c>
    </row>
    <row r="221" spans="1:11" hidden="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H221" s="5">
        <v>1240</v>
      </c>
      <c r="I221" s="6">
        <v>528.39285712153003</v>
      </c>
      <c r="J221" s="5">
        <v>4000</v>
      </c>
      <c r="K221" s="6">
        <f t="shared" si="9"/>
        <v>2.34673876319036</v>
      </c>
    </row>
    <row r="222" spans="1:11" hidden="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H222" s="5">
        <v>1530</v>
      </c>
      <c r="I222" s="6">
        <v>1902.2142856375078</v>
      </c>
      <c r="J222" s="5">
        <v>14400</v>
      </c>
      <c r="K222" s="6">
        <f t="shared" si="9"/>
        <v>0.80432578577088965</v>
      </c>
    </row>
    <row r="223" spans="1:11" hidden="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H223" s="5">
        <v>1640</v>
      </c>
      <c r="I223" s="6">
        <v>686.89445810058101</v>
      </c>
      <c r="J223" s="5">
        <v>5200</v>
      </c>
      <c r="K223" s="6">
        <f t="shared" si="9"/>
        <v>2.3875574779493376</v>
      </c>
    </row>
    <row r="224" spans="1:11" hidden="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H224" s="5">
        <v>10960</v>
      </c>
      <c r="I224" s="6">
        <v>4487.9999999102474</v>
      </c>
      <c r="J224" s="5">
        <v>31740</v>
      </c>
      <c r="K224" s="6">
        <f t="shared" si="9"/>
        <v>2.4420677362342205</v>
      </c>
    </row>
    <row r="225" spans="1:11" hidden="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H225" s="5">
        <v>3450</v>
      </c>
      <c r="I225" s="6">
        <v>1702.8</v>
      </c>
      <c r="J225" s="5">
        <v>12900</v>
      </c>
      <c r="K225" s="6">
        <f t="shared" si="9"/>
        <v>2.0260747004933051</v>
      </c>
    </row>
    <row r="226" spans="1:11" hidden="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H226" s="5">
        <v>6300</v>
      </c>
      <c r="I226" s="6">
        <v>3009.6</v>
      </c>
      <c r="J226" s="5">
        <v>22800</v>
      </c>
      <c r="K226" s="6">
        <f t="shared" si="9"/>
        <v>2.0933014354066986</v>
      </c>
    </row>
    <row r="227" spans="1:11" hidden="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H227" s="5">
        <v>2520</v>
      </c>
      <c r="I227" s="6">
        <v>1386</v>
      </c>
      <c r="J227" s="5">
        <v>10500</v>
      </c>
      <c r="K227" s="6">
        <f t="shared" si="9"/>
        <v>1.8181818181818181</v>
      </c>
    </row>
    <row r="228" spans="1:11" hidden="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H228" s="5">
        <v>4140</v>
      </c>
      <c r="I228" s="6">
        <v>1386</v>
      </c>
      <c r="J228" s="5">
        <v>10500</v>
      </c>
      <c r="K228" s="6">
        <f t="shared" si="9"/>
        <v>2.9870129870129869</v>
      </c>
    </row>
    <row r="229" spans="1:11" hidden="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H229" s="5">
        <v>1875</v>
      </c>
      <c r="I229" s="6">
        <v>1029.5999999999999</v>
      </c>
      <c r="J229" s="5">
        <v>7800</v>
      </c>
      <c r="K229" s="6">
        <f t="shared" si="9"/>
        <v>1.8210955710955712</v>
      </c>
    </row>
    <row r="230" spans="1:11" hidden="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H230" s="5">
        <v>2425</v>
      </c>
      <c r="I230" s="6">
        <v>2653.2</v>
      </c>
      <c r="J230" s="5">
        <v>20100</v>
      </c>
      <c r="K230" s="6">
        <f t="shared" si="9"/>
        <v>0.91399065279662306</v>
      </c>
    </row>
    <row r="231" spans="1:11" hidden="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H231" s="5">
        <v>4830</v>
      </c>
      <c r="I231" s="6">
        <v>1768.8</v>
      </c>
      <c r="J231" s="5">
        <v>13400</v>
      </c>
      <c r="K231" s="6">
        <f t="shared" si="9"/>
        <v>2.7306648575305292</v>
      </c>
    </row>
    <row r="232" spans="1:11" hidden="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H232" s="5">
        <v>2370</v>
      </c>
      <c r="I232" s="6">
        <v>1029.5999999999999</v>
      </c>
      <c r="J232" s="5">
        <v>7800</v>
      </c>
      <c r="K232" s="6">
        <f t="shared" si="9"/>
        <v>2.3018648018648022</v>
      </c>
    </row>
    <row r="233" spans="1:11" hidden="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H233" s="5">
        <v>4825</v>
      </c>
      <c r="I233" s="6">
        <v>1346.4</v>
      </c>
      <c r="J233" s="5">
        <v>10200</v>
      </c>
      <c r="K233" s="6">
        <f t="shared" si="9"/>
        <v>3.5836304218657156</v>
      </c>
    </row>
    <row r="234" spans="1:11" hidden="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H234" s="5">
        <v>450</v>
      </c>
      <c r="I234" s="6">
        <v>440.18999062500001</v>
      </c>
      <c r="J234" s="5">
        <v>3200</v>
      </c>
      <c r="K234" s="6">
        <f t="shared" si="9"/>
        <v>1.0222858528906378</v>
      </c>
    </row>
    <row r="235" spans="1:11" hidden="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H235" s="5">
        <v>1550</v>
      </c>
      <c r="I235" s="6">
        <v>880.38</v>
      </c>
      <c r="J235" s="5">
        <v>6400</v>
      </c>
      <c r="K235" s="6">
        <f t="shared" si="9"/>
        <v>1.760603375814989</v>
      </c>
    </row>
    <row r="236" spans="1:11" hidden="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H236" s="5">
        <v>1175</v>
      </c>
      <c r="I236" s="6">
        <v>330.14249999999998</v>
      </c>
      <c r="J236" s="5">
        <v>2400</v>
      </c>
      <c r="K236" s="6">
        <f t="shared" si="9"/>
        <v>3.5590691898195477</v>
      </c>
    </row>
    <row r="237" spans="1:11" hidden="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H237" s="5">
        <v>3925</v>
      </c>
      <c r="I237" s="6">
        <v>1650.7125000000001</v>
      </c>
      <c r="J237" s="5">
        <v>12000</v>
      </c>
      <c r="K237" s="6">
        <f t="shared" si="9"/>
        <v>2.3777611183049743</v>
      </c>
    </row>
    <row r="238" spans="1:11" hidden="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H238" s="5">
        <v>3100</v>
      </c>
      <c r="I238" s="6">
        <v>1287.0000000000018</v>
      </c>
      <c r="J238" s="5">
        <v>9400</v>
      </c>
      <c r="K238" s="6">
        <f t="shared" si="9"/>
        <v>2.4087024087024052</v>
      </c>
    </row>
    <row r="239" spans="1:11" hidden="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H239" s="5">
        <v>4825</v>
      </c>
      <c r="I239" s="6">
        <v>2641.14</v>
      </c>
      <c r="J239" s="5">
        <v>19200</v>
      </c>
      <c r="K239" s="6">
        <f t="shared" si="9"/>
        <v>1.826862642646736</v>
      </c>
    </row>
    <row r="240" spans="1:11" hidden="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H240" s="5">
        <v>2670</v>
      </c>
      <c r="I240" s="6">
        <v>880.38</v>
      </c>
      <c r="J240" s="5">
        <v>6400</v>
      </c>
      <c r="K240" s="6">
        <f t="shared" si="9"/>
        <v>3.0327812989845295</v>
      </c>
    </row>
    <row r="241" spans="1:11" hidden="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H241" s="5">
        <v>1940</v>
      </c>
      <c r="I241" s="6">
        <v>880.38</v>
      </c>
      <c r="J241" s="5">
        <v>6400</v>
      </c>
      <c r="K241" s="6">
        <f t="shared" si="9"/>
        <v>2.2035939026329538</v>
      </c>
    </row>
    <row r="242" spans="1:11" hidden="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H242" s="5">
        <v>2250</v>
      </c>
      <c r="I242" s="6">
        <v>1755.4</v>
      </c>
      <c r="J242" s="5">
        <v>12800</v>
      </c>
      <c r="K242" s="6">
        <f t="shared" si="9"/>
        <v>1.2817591432152216</v>
      </c>
    </row>
    <row r="243" spans="1:11" hidden="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H243" s="5">
        <v>5080</v>
      </c>
      <c r="I243" s="6">
        <v>2413.6749943750001</v>
      </c>
      <c r="J243" s="5">
        <v>17600</v>
      </c>
      <c r="K243" s="6">
        <f t="shared" si="9"/>
        <v>2.1046744121883822</v>
      </c>
    </row>
    <row r="244" spans="1:11" hidden="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H244" s="5">
        <v>5000</v>
      </c>
      <c r="I244" s="6">
        <v>1645.6875</v>
      </c>
      <c r="J244" s="5">
        <v>12000</v>
      </c>
      <c r="K244" s="6">
        <f t="shared" si="9"/>
        <v>3.0382438950286734</v>
      </c>
    </row>
    <row r="245" spans="1:11" hidden="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H245" s="5">
        <v>2640</v>
      </c>
      <c r="I245" s="6">
        <v>726.32013058333712</v>
      </c>
      <c r="J245" s="5">
        <v>5712</v>
      </c>
      <c r="K245" s="6">
        <f t="shared" si="9"/>
        <v>3.6347608841293013</v>
      </c>
    </row>
    <row r="246" spans="1:11" hidden="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H246" s="5">
        <v>3180</v>
      </c>
      <c r="I246" s="6">
        <v>924.39958333667107</v>
      </c>
      <c r="J246" s="5">
        <v>6720</v>
      </c>
      <c r="K246" s="6">
        <f t="shared" si="9"/>
        <v>3.4400707846725931</v>
      </c>
    </row>
    <row r="247" spans="1:11" hidden="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H247" s="5">
        <v>3620</v>
      </c>
      <c r="I247" s="6">
        <v>1122.485208333339</v>
      </c>
      <c r="J247" s="5">
        <v>8160</v>
      </c>
      <c r="K247" s="6">
        <f t="shared" si="9"/>
        <v>3.2249868177550063</v>
      </c>
    </row>
    <row r="248" spans="1:11" hidden="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H248" s="5">
        <v>0</v>
      </c>
      <c r="I248" s="6">
        <v>396.17125000000198</v>
      </c>
      <c r="J248" s="5">
        <v>2880</v>
      </c>
      <c r="K248" s="6">
        <f t="shared" si="9"/>
        <v>0</v>
      </c>
    </row>
    <row r="249" spans="1:11" hidden="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H249" s="5">
        <v>2340</v>
      </c>
      <c r="I249" s="6">
        <v>1535.9749999999999</v>
      </c>
      <c r="J249" s="5">
        <v>11200</v>
      </c>
      <c r="K249" s="6">
        <f t="shared" si="9"/>
        <v>1.5234622959358064</v>
      </c>
    </row>
    <row r="250" spans="1:11" hidden="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H250" s="5">
        <v>2880</v>
      </c>
      <c r="I250" s="6">
        <v>1535.9749999999999</v>
      </c>
      <c r="J250" s="5">
        <v>11200</v>
      </c>
      <c r="K250" s="6">
        <f t="shared" si="9"/>
        <v>1.8750305180748386</v>
      </c>
    </row>
    <row r="251" spans="1:11" hidden="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H251" s="5">
        <v>1020</v>
      </c>
      <c r="I251" s="6">
        <v>594.25687500000299</v>
      </c>
      <c r="J251" s="5">
        <v>4320</v>
      </c>
      <c r="K251" s="6">
        <f t="shared" si="9"/>
        <v>1.716429448123751</v>
      </c>
    </row>
    <row r="252" spans="1:11" hidden="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H252" s="5">
        <v>3440</v>
      </c>
      <c r="I252" s="6">
        <v>2575.1131250013459</v>
      </c>
      <c r="J252" s="5">
        <v>18720</v>
      </c>
      <c r="K252" s="6">
        <f t="shared" si="9"/>
        <v>1.3358636428829518</v>
      </c>
    </row>
    <row r="253" spans="1:11" hidden="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H253" s="5">
        <v>1290</v>
      </c>
      <c r="I253" s="6">
        <v>528.37931032368999</v>
      </c>
      <c r="J253" s="5">
        <v>4000</v>
      </c>
      <c r="K253" s="6">
        <f t="shared" ref="K253:K259" si="10">IFERROR(H253/I253,"")</f>
        <v>2.4414279189125216</v>
      </c>
    </row>
    <row r="254" spans="1:11" hidden="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H254" s="5">
        <v>5625</v>
      </c>
      <c r="I254" s="6">
        <v>2272.0310343918732</v>
      </c>
      <c r="J254" s="5">
        <v>17200</v>
      </c>
      <c r="K254" s="6">
        <f t="shared" si="10"/>
        <v>2.4757584358901923</v>
      </c>
    </row>
    <row r="255" spans="1:11" hidden="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H255" s="5">
        <v>1850</v>
      </c>
      <c r="I255" s="6">
        <v>1162.4344827121224</v>
      </c>
      <c r="J255" s="5">
        <v>8800</v>
      </c>
      <c r="K255" s="6">
        <f t="shared" si="10"/>
        <v>1.591487544040926</v>
      </c>
    </row>
    <row r="256" spans="1:11" hidden="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H256" s="5">
        <v>1435</v>
      </c>
      <c r="I256" s="6">
        <v>1162.4344827121181</v>
      </c>
      <c r="J256" s="5">
        <v>8800</v>
      </c>
      <c r="K256" s="6">
        <f t="shared" si="10"/>
        <v>1.2344781760533716</v>
      </c>
    </row>
    <row r="257" spans="1:11" hidden="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H257" s="5">
        <v>2280</v>
      </c>
      <c r="I257" s="6">
        <v>1056.7586206473827</v>
      </c>
      <c r="J257" s="5">
        <v>8000</v>
      </c>
      <c r="K257" s="6">
        <f t="shared" si="10"/>
        <v>2.1575409515971069</v>
      </c>
    </row>
    <row r="258" spans="1:11" hidden="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H258" s="5">
        <v>2610</v>
      </c>
      <c r="I258" s="6">
        <v>1109.596551679753</v>
      </c>
      <c r="J258" s="5">
        <v>8400</v>
      </c>
      <c r="K258" s="6">
        <f t="shared" si="10"/>
        <v>2.3522063006133846</v>
      </c>
    </row>
    <row r="259" spans="1:11" hidden="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H259" s="5">
        <v>4025</v>
      </c>
      <c r="I259" s="6">
        <v>1902.1655171652881</v>
      </c>
      <c r="J259" s="5">
        <v>14400</v>
      </c>
      <c r="K259" s="6">
        <f t="shared" si="10"/>
        <v>2.1160093397120754</v>
      </c>
    </row>
    <row r="260" spans="1:11" hidden="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H260" s="5">
        <v>475</v>
      </c>
      <c r="I260" s="6">
        <v>951.10714281909407</v>
      </c>
      <c r="J260" s="5">
        <v>7200</v>
      </c>
      <c r="K260" s="6">
        <f t="shared" ref="K260:K322" si="12">+H260/I260</f>
        <v>0.49941797155690976</v>
      </c>
    </row>
    <row r="261" spans="1:11" hidden="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H261" s="5">
        <v>12180</v>
      </c>
      <c r="I261" s="6">
        <v>3804.4285712763772</v>
      </c>
      <c r="J261" s="5">
        <v>28800</v>
      </c>
      <c r="K261" s="6">
        <f t="shared" si="12"/>
        <v>3.201532049243768</v>
      </c>
    </row>
    <row r="262" spans="1:11" hidden="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H262" s="5">
        <v>8700</v>
      </c>
      <c r="I262" s="6">
        <v>2641.8965516184649</v>
      </c>
      <c r="J262" s="5">
        <v>20000</v>
      </c>
      <c r="K262" s="6">
        <f t="shared" si="12"/>
        <v>3.2930888208587317</v>
      </c>
    </row>
    <row r="263" spans="1:11" hidden="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H263" s="5">
        <v>13290</v>
      </c>
      <c r="I263" s="6">
        <v>3592.9793102010913</v>
      </c>
      <c r="J263" s="5">
        <v>26044</v>
      </c>
      <c r="K263" s="6">
        <f t="shared" si="12"/>
        <v>3.6988801917860719</v>
      </c>
    </row>
    <row r="264" spans="1:11" hidden="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H264" s="5">
        <v>3000</v>
      </c>
      <c r="I264" s="6">
        <v>1268.1103447768633</v>
      </c>
      <c r="J264" s="5">
        <v>9600</v>
      </c>
      <c r="K264" s="6">
        <f t="shared" si="12"/>
        <v>2.365724727628399</v>
      </c>
    </row>
    <row r="265" spans="1:11" hidden="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H265" s="5">
        <v>875</v>
      </c>
      <c r="I265" s="6">
        <v>528.37931032368999</v>
      </c>
      <c r="J265" s="5">
        <v>4000</v>
      </c>
      <c r="K265" s="6">
        <f t="shared" si="12"/>
        <v>1.6560073093398888</v>
      </c>
    </row>
    <row r="266" spans="1:11" hidden="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H266" s="5">
        <v>2820</v>
      </c>
      <c r="I266" s="6">
        <v>1162.4344827121247</v>
      </c>
      <c r="J266" s="5">
        <v>8800</v>
      </c>
      <c r="K266" s="6">
        <f t="shared" si="12"/>
        <v>2.4259431752407581</v>
      </c>
    </row>
    <row r="267" spans="1:11" hidden="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H267" s="5">
        <v>1470</v>
      </c>
      <c r="I267" s="6">
        <v>528.3915024419166</v>
      </c>
      <c r="J267" s="5">
        <v>4000</v>
      </c>
      <c r="K267" s="6">
        <f t="shared" si="12"/>
        <v>2.7820280856268873</v>
      </c>
    </row>
    <row r="268" spans="1:11" hidden="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H268" s="5">
        <v>14190</v>
      </c>
      <c r="I268" s="6">
        <v>3910.1071427007282</v>
      </c>
      <c r="J268" s="5">
        <v>29260</v>
      </c>
      <c r="K268" s="6">
        <f t="shared" si="12"/>
        <v>3.6290565660047118</v>
      </c>
    </row>
    <row r="269" spans="1:11" hidden="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H269" s="5">
        <v>3920</v>
      </c>
      <c r="I269" s="6">
        <v>1902.2142856381945</v>
      </c>
      <c r="J269" s="5">
        <v>14400</v>
      </c>
      <c r="K269" s="6">
        <f t="shared" si="12"/>
        <v>2.0607562615821888</v>
      </c>
    </row>
    <row r="270" spans="1:11" hidden="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H270" s="5">
        <v>4680</v>
      </c>
      <c r="I270" s="6">
        <v>1162.4642856677858</v>
      </c>
      <c r="J270" s="5">
        <v>8800</v>
      </c>
      <c r="K270" s="6">
        <f t="shared" si="12"/>
        <v>4.0259301362635336</v>
      </c>
    </row>
    <row r="271" spans="1:11" hidden="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H271" s="5">
        <v>1140</v>
      </c>
      <c r="I271" s="6">
        <v>317.03571427303262</v>
      </c>
      <c r="J271" s="5">
        <v>2400</v>
      </c>
      <c r="K271" s="6">
        <f t="shared" si="12"/>
        <v>3.5958093952097356</v>
      </c>
    </row>
    <row r="272" spans="1:11" hidden="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H272" s="5">
        <v>3175</v>
      </c>
      <c r="I272" s="6">
        <v>951.10714281875391</v>
      </c>
      <c r="J272" s="5">
        <v>7200</v>
      </c>
      <c r="K272" s="6">
        <f t="shared" si="12"/>
        <v>3.3382148625131696</v>
      </c>
    </row>
    <row r="273" spans="1:11" hidden="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H273" s="5">
        <v>1680</v>
      </c>
      <c r="I273" s="6">
        <v>898.26785710660101</v>
      </c>
      <c r="J273" s="5">
        <v>6800</v>
      </c>
      <c r="K273" s="6">
        <f t="shared" si="12"/>
        <v>1.8702661869828296</v>
      </c>
    </row>
    <row r="274" spans="1:11" hidden="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H274" s="5">
        <v>3075</v>
      </c>
      <c r="I274" s="6">
        <v>1268.1428570916721</v>
      </c>
      <c r="J274" s="5">
        <v>9600</v>
      </c>
      <c r="K274" s="6">
        <f t="shared" si="12"/>
        <v>2.4248056776916522</v>
      </c>
    </row>
    <row r="275" spans="1:11" hidden="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H275" s="5">
        <v>1440</v>
      </c>
      <c r="I275" s="6">
        <v>686.91071425798896</v>
      </c>
      <c r="J275" s="5">
        <v>5200</v>
      </c>
      <c r="K275" s="6">
        <f t="shared" si="12"/>
        <v>2.09634231947526</v>
      </c>
    </row>
    <row r="276" spans="1:11" hidden="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H276" s="5">
        <v>2350</v>
      </c>
      <c r="I276" s="6">
        <v>845.428571394752</v>
      </c>
      <c r="J276" s="5">
        <v>6400</v>
      </c>
      <c r="K276" s="6">
        <f t="shared" si="12"/>
        <v>2.7796552890601629</v>
      </c>
    </row>
    <row r="277" spans="1:11" hidden="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H277" s="5">
        <v>8625</v>
      </c>
      <c r="I277" s="6">
        <v>4015.7857141250797</v>
      </c>
      <c r="J277" s="5">
        <v>30400</v>
      </c>
      <c r="K277" s="6">
        <f t="shared" si="12"/>
        <v>2.1477739635515216</v>
      </c>
    </row>
    <row r="278" spans="1:11" hidden="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H278" s="5">
        <v>7125</v>
      </c>
      <c r="I278" s="6">
        <v>4015.7857141250793</v>
      </c>
      <c r="J278" s="5">
        <v>30400</v>
      </c>
      <c r="K278" s="6">
        <f t="shared" si="12"/>
        <v>1.7742480568469092</v>
      </c>
    </row>
    <row r="279" spans="1:11" hidden="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H279" s="5">
        <v>6570</v>
      </c>
      <c r="I279" s="6">
        <v>2747.5751230427709</v>
      </c>
      <c r="J279" s="5">
        <v>20800</v>
      </c>
      <c r="K279" s="6">
        <f t="shared" si="12"/>
        <v>2.3911994052137611</v>
      </c>
    </row>
    <row r="280" spans="1:11" hidden="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H280" s="5">
        <v>1425</v>
      </c>
      <c r="I280" s="6">
        <v>1056.75862064738</v>
      </c>
      <c r="J280" s="5">
        <v>9600</v>
      </c>
      <c r="K280" s="6">
        <f t="shared" si="12"/>
        <v>1.3484630947481953</v>
      </c>
    </row>
    <row r="281" spans="1:11" hidden="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H281" s="5">
        <v>5460</v>
      </c>
      <c r="I281" s="6">
        <v>3592.9793102011122</v>
      </c>
      <c r="J281" s="5">
        <v>27820</v>
      </c>
      <c r="K281" s="6">
        <f t="shared" si="12"/>
        <v>1.5196302368060071</v>
      </c>
    </row>
    <row r="282" spans="1:11" hidden="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H282" s="5">
        <v>8790</v>
      </c>
      <c r="I282" s="6">
        <v>1585.2222221588099</v>
      </c>
      <c r="J282" s="5">
        <v>11490</v>
      </c>
      <c r="K282" s="6">
        <f t="shared" si="12"/>
        <v>5.5449639029343638</v>
      </c>
    </row>
    <row r="283" spans="1:11" hidden="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H283" s="5">
        <v>3200</v>
      </c>
      <c r="I283" s="6">
        <v>1796.5851851133182</v>
      </c>
      <c r="J283" s="5">
        <v>13600</v>
      </c>
      <c r="K283" s="6">
        <f t="shared" si="12"/>
        <v>1.7811568449498054</v>
      </c>
    </row>
    <row r="284" spans="1:11" hidden="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H284" s="5">
        <v>4770</v>
      </c>
      <c r="I284" s="6">
        <v>2219.311111022334</v>
      </c>
      <c r="J284" s="5">
        <v>16800</v>
      </c>
      <c r="K284" s="6">
        <f t="shared" si="12"/>
        <v>2.1493156035264844</v>
      </c>
    </row>
    <row r="285" spans="1:11" hidden="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H285" s="5">
        <v>6625</v>
      </c>
      <c r="I285" s="6">
        <v>2959.0814813631118</v>
      </c>
      <c r="J285" s="5">
        <v>22400</v>
      </c>
      <c r="K285" s="6">
        <f t="shared" si="12"/>
        <v>2.238870420340088</v>
      </c>
    </row>
    <row r="286" spans="1:11" hidden="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H286" s="5">
        <v>4420</v>
      </c>
      <c r="I286" s="6">
        <v>1912.3542857142861</v>
      </c>
      <c r="J286" s="5">
        <v>16320</v>
      </c>
      <c r="K286" s="6">
        <f t="shared" si="12"/>
        <v>2.3112872091841914</v>
      </c>
    </row>
    <row r="287" spans="1:11" hidden="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H287" s="5">
        <v>500</v>
      </c>
      <c r="I287" s="6">
        <v>2812.2857142428579</v>
      </c>
      <c r="J287" s="5">
        <v>20000</v>
      </c>
      <c r="K287" s="6">
        <f t="shared" si="12"/>
        <v>0.17779132378610873</v>
      </c>
    </row>
    <row r="288" spans="1:11" hidden="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H288" s="5">
        <v>2775</v>
      </c>
      <c r="I288" s="6">
        <v>1768.8376470588223</v>
      </c>
      <c r="J288" s="5">
        <v>12800</v>
      </c>
      <c r="K288" s="6">
        <f t="shared" si="12"/>
        <v>1.5688268533939214</v>
      </c>
    </row>
    <row r="289" spans="1:11" hidden="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H289" s="5">
        <v>5400</v>
      </c>
      <c r="I289" s="6">
        <v>2263.7999998868127</v>
      </c>
      <c r="J289" s="5">
        <v>17920</v>
      </c>
      <c r="K289" s="6">
        <f t="shared" si="12"/>
        <v>2.3853697324277734</v>
      </c>
    </row>
    <row r="290" spans="1:11" hidden="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H290" s="5">
        <v>1830</v>
      </c>
      <c r="I290" s="6">
        <v>994.97117647058747</v>
      </c>
      <c r="J290" s="5">
        <v>7200</v>
      </c>
      <c r="K290" s="6">
        <f t="shared" si="12"/>
        <v>1.8392492599549159</v>
      </c>
    </row>
    <row r="291" spans="1:11" hidden="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H291" s="5">
        <v>1980</v>
      </c>
      <c r="I291" s="6">
        <v>994.97117647058747</v>
      </c>
      <c r="J291" s="5">
        <v>7920</v>
      </c>
      <c r="K291" s="6">
        <f t="shared" si="12"/>
        <v>1.9900073960167943</v>
      </c>
    </row>
    <row r="292" spans="1:11" hidden="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H292" s="5">
        <v>3800</v>
      </c>
      <c r="I292" s="6">
        <v>2263.7999998868127</v>
      </c>
      <c r="J292" s="5">
        <v>17920</v>
      </c>
      <c r="K292" s="6">
        <f t="shared" si="12"/>
        <v>1.678593515412137</v>
      </c>
    </row>
    <row r="293" spans="1:11" hidden="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H293" s="5">
        <v>25020</v>
      </c>
      <c r="I293" s="6">
        <v>6727.0499997982479</v>
      </c>
      <c r="J293" s="5">
        <v>49210</v>
      </c>
      <c r="K293" s="6">
        <f t="shared" si="12"/>
        <v>3.7193123286953984</v>
      </c>
    </row>
    <row r="294" spans="1:11" hidden="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H294" s="5">
        <v>1710</v>
      </c>
      <c r="I294" s="6">
        <v>994.95</v>
      </c>
      <c r="J294" s="5">
        <v>7200</v>
      </c>
      <c r="K294" s="6">
        <f t="shared" si="12"/>
        <v>1.7186793306196291</v>
      </c>
    </row>
    <row r="295" spans="1:11" hidden="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H295" s="5">
        <v>1420</v>
      </c>
      <c r="I295" s="6">
        <v>831.6</v>
      </c>
      <c r="J295" s="5">
        <v>6300</v>
      </c>
      <c r="K295" s="6">
        <f t="shared" si="12"/>
        <v>1.7075517075517075</v>
      </c>
    </row>
    <row r="296" spans="1:11" hidden="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H296" s="5">
        <v>6575</v>
      </c>
      <c r="I296" s="6">
        <v>1267.2</v>
      </c>
      <c r="J296" s="5">
        <v>9600</v>
      </c>
      <c r="K296" s="6">
        <f t="shared" si="12"/>
        <v>5.1886047979797976</v>
      </c>
    </row>
    <row r="297" spans="1:11" hidden="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H297" s="5">
        <v>660</v>
      </c>
      <c r="I297" s="6">
        <v>316.8</v>
      </c>
      <c r="J297" s="5">
        <v>2400</v>
      </c>
      <c r="K297" s="6">
        <f t="shared" si="12"/>
        <v>2.083333333333333</v>
      </c>
    </row>
    <row r="298" spans="1:11" hidden="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H298" s="5">
        <v>9630</v>
      </c>
      <c r="I298" s="6">
        <v>3603.6</v>
      </c>
      <c r="J298" s="5">
        <v>27296</v>
      </c>
      <c r="K298" s="6">
        <f t="shared" si="12"/>
        <v>2.6723276723276723</v>
      </c>
    </row>
    <row r="299" spans="1:11" hidden="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H299" s="5">
        <v>6125</v>
      </c>
      <c r="I299" s="6">
        <v>3682.8</v>
      </c>
      <c r="J299" s="5">
        <v>27900</v>
      </c>
      <c r="K299" s="6">
        <f t="shared" si="12"/>
        <v>1.6631367437819049</v>
      </c>
    </row>
    <row r="300" spans="1:11" hidden="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H300" s="5">
        <v>4250</v>
      </c>
      <c r="I300" s="6">
        <v>2376</v>
      </c>
      <c r="J300" s="5">
        <v>18000</v>
      </c>
      <c r="K300" s="6">
        <f t="shared" si="12"/>
        <v>1.7887205387205387</v>
      </c>
    </row>
    <row r="301" spans="1:11" hidden="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H301" s="5">
        <v>1080</v>
      </c>
      <c r="I301" s="6">
        <v>950.4</v>
      </c>
      <c r="J301" s="5">
        <v>7200</v>
      </c>
      <c r="K301" s="6">
        <f t="shared" si="12"/>
        <v>1.1363636363636365</v>
      </c>
    </row>
    <row r="302" spans="1:11" hidden="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H302" s="5">
        <v>4125</v>
      </c>
      <c r="I302" s="6">
        <v>1346.4</v>
      </c>
      <c r="J302" s="5">
        <v>10200</v>
      </c>
      <c r="K302" s="6">
        <f t="shared" si="12"/>
        <v>3.0637254901960782</v>
      </c>
    </row>
    <row r="303" spans="1:11" hidden="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H303" s="5">
        <v>6090</v>
      </c>
      <c r="I303" s="6">
        <v>2851.2</v>
      </c>
      <c r="J303" s="5">
        <v>21600</v>
      </c>
      <c r="K303" s="6">
        <f t="shared" si="12"/>
        <v>2.1359427609427613</v>
      </c>
    </row>
    <row r="304" spans="1:11" hidden="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H304" s="5">
        <v>1950</v>
      </c>
      <c r="I304" s="6">
        <v>2138.4</v>
      </c>
      <c r="J304" s="5">
        <v>16200</v>
      </c>
      <c r="K304" s="6">
        <f t="shared" si="12"/>
        <v>0.91189674523007858</v>
      </c>
    </row>
    <row r="305" spans="1:11" hidden="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H305" s="5">
        <v>1475</v>
      </c>
      <c r="I305" s="6">
        <v>963.6</v>
      </c>
      <c r="J305" s="5">
        <v>7570</v>
      </c>
      <c r="K305" s="6">
        <f t="shared" si="12"/>
        <v>1.5307181403071815</v>
      </c>
    </row>
    <row r="306" spans="1:11" hidden="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H306" s="5">
        <v>6650</v>
      </c>
      <c r="I306" s="6">
        <v>3168</v>
      </c>
      <c r="J306" s="5">
        <v>24000</v>
      </c>
      <c r="K306" s="6">
        <f t="shared" si="12"/>
        <v>2.0991161616161618</v>
      </c>
    </row>
    <row r="307" spans="1:11" hidden="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H307" s="5">
        <v>3810</v>
      </c>
      <c r="I307" s="6">
        <v>1188</v>
      </c>
      <c r="J307" s="5">
        <v>9000</v>
      </c>
      <c r="K307" s="6">
        <f t="shared" si="12"/>
        <v>3.2070707070707072</v>
      </c>
    </row>
    <row r="308" spans="1:11" hidden="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H308" s="5">
        <v>4375</v>
      </c>
      <c r="I308" s="6">
        <v>2732.4</v>
      </c>
      <c r="J308" s="5">
        <v>20700</v>
      </c>
      <c r="K308" s="6">
        <f t="shared" si="12"/>
        <v>1.6011564924608401</v>
      </c>
    </row>
    <row r="309" spans="1:11" hidden="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H309" s="5">
        <v>2280</v>
      </c>
      <c r="I309" s="6">
        <v>673.2</v>
      </c>
      <c r="J309" s="5">
        <v>5100</v>
      </c>
      <c r="K309" s="6">
        <f t="shared" si="12"/>
        <v>3.3868092691622103</v>
      </c>
    </row>
    <row r="310" spans="1:11" hidden="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H310" s="5">
        <v>1940</v>
      </c>
      <c r="I310" s="6">
        <v>1100.4749999999999</v>
      </c>
      <c r="J310" s="5">
        <v>8000</v>
      </c>
      <c r="K310" s="6">
        <f t="shared" si="12"/>
        <v>1.7628751221063632</v>
      </c>
    </row>
    <row r="311" spans="1:11" hidden="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H311" s="5">
        <v>2975</v>
      </c>
      <c r="I311" s="6">
        <v>1287</v>
      </c>
      <c r="J311" s="5">
        <v>9400</v>
      </c>
      <c r="K311" s="6">
        <f t="shared" si="12"/>
        <v>2.3115773115773117</v>
      </c>
    </row>
    <row r="312" spans="1:11" hidden="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H312" s="5">
        <v>7230</v>
      </c>
      <c r="I312" s="6">
        <v>2641.14</v>
      </c>
      <c r="J312" s="5">
        <v>19200</v>
      </c>
      <c r="K312" s="6">
        <f t="shared" si="12"/>
        <v>2.7374542811058862</v>
      </c>
    </row>
    <row r="313" spans="1:11" hidden="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H313" s="5">
        <v>4450</v>
      </c>
      <c r="I313" s="6">
        <v>2641.14</v>
      </c>
      <c r="J313" s="5">
        <v>19200</v>
      </c>
      <c r="K313" s="6">
        <f t="shared" si="12"/>
        <v>1.6848784994358497</v>
      </c>
    </row>
    <row r="314" spans="1:11" hidden="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H314" s="5">
        <v>3780</v>
      </c>
      <c r="I314" s="6">
        <v>1430.6174906250001</v>
      </c>
      <c r="J314" s="5">
        <v>10400</v>
      </c>
      <c r="K314" s="6">
        <f t="shared" si="12"/>
        <v>2.6422157038976328</v>
      </c>
    </row>
    <row r="315" spans="1:11" hidden="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H315" s="5">
        <v>3390</v>
      </c>
      <c r="I315" s="6">
        <v>1430.6175000000001</v>
      </c>
      <c r="J315" s="5">
        <v>10400</v>
      </c>
      <c r="K315" s="6">
        <f t="shared" si="12"/>
        <v>2.3696061316179899</v>
      </c>
    </row>
    <row r="316" spans="1:11" hidden="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H316" s="5">
        <v>7050</v>
      </c>
      <c r="I316" s="6">
        <v>2861.2350000000001</v>
      </c>
      <c r="J316" s="5">
        <v>20800</v>
      </c>
      <c r="K316" s="6">
        <f t="shared" si="12"/>
        <v>2.4639709775673788</v>
      </c>
    </row>
    <row r="317" spans="1:11" hidden="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H317" s="5">
        <v>6525</v>
      </c>
      <c r="I317" s="6">
        <v>3071.9505625000002</v>
      </c>
      <c r="J317" s="5">
        <v>22400</v>
      </c>
      <c r="K317" s="6">
        <f t="shared" si="12"/>
        <v>2.1240576198237564</v>
      </c>
    </row>
    <row r="318" spans="1:11" hidden="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H318" s="5">
        <v>7320</v>
      </c>
      <c r="I318" s="6">
        <v>1097.125</v>
      </c>
      <c r="J318" s="5">
        <v>8000</v>
      </c>
      <c r="K318" s="6">
        <f t="shared" si="12"/>
        <v>6.6719835934829668</v>
      </c>
    </row>
    <row r="319" spans="1:11" hidden="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H319" s="5">
        <v>5180</v>
      </c>
      <c r="I319" s="6">
        <v>2852.5250000000001</v>
      </c>
      <c r="J319" s="5">
        <v>20800</v>
      </c>
      <c r="K319" s="6">
        <f t="shared" si="12"/>
        <v>1.8159350049517533</v>
      </c>
    </row>
    <row r="320" spans="1:11" hidden="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H320" s="5">
        <v>5670</v>
      </c>
      <c r="I320" s="6">
        <v>2633.1</v>
      </c>
      <c r="J320" s="5">
        <v>19200</v>
      </c>
      <c r="K320" s="6">
        <f t="shared" si="12"/>
        <v>2.1533553606015725</v>
      </c>
    </row>
    <row r="321" spans="1:11" hidden="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H321" s="5">
        <v>5970</v>
      </c>
      <c r="I321" s="6">
        <v>2633.1</v>
      </c>
      <c r="J321" s="5">
        <v>19200</v>
      </c>
      <c r="K321" s="6">
        <f t="shared" si="12"/>
        <v>2.2672895066651475</v>
      </c>
    </row>
    <row r="322" spans="1:11" hidden="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H322" s="5">
        <v>4470</v>
      </c>
      <c r="I322" s="6">
        <v>2852.5250000000001</v>
      </c>
      <c r="J322" s="5">
        <v>20800</v>
      </c>
      <c r="K322" s="6">
        <f t="shared" si="12"/>
        <v>1.5670327166282503</v>
      </c>
    </row>
    <row r="323" spans="1:11" hidden="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H323" s="5">
        <v>9390</v>
      </c>
      <c r="I323" s="6">
        <v>2852.5250000000001</v>
      </c>
      <c r="J323" s="5">
        <v>20800</v>
      </c>
      <c r="K323" s="6">
        <f t="shared" ref="K323:K386" si="14">+H323/I323</f>
        <v>3.2918204047291435</v>
      </c>
    </row>
    <row r="324" spans="1:11" hidden="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H324" s="5">
        <v>4325</v>
      </c>
      <c r="I324" s="6">
        <v>3071.95</v>
      </c>
      <c r="J324" s="5">
        <v>22400</v>
      </c>
      <c r="K324" s="6">
        <f t="shared" si="14"/>
        <v>1.40790051921418</v>
      </c>
    </row>
    <row r="325" spans="1:11" hidden="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H325" s="5">
        <v>4225</v>
      </c>
      <c r="I325" s="6">
        <v>1645.6875</v>
      </c>
      <c r="J325" s="5">
        <v>12000</v>
      </c>
      <c r="K325" s="6">
        <f t="shared" si="14"/>
        <v>2.567316091299229</v>
      </c>
    </row>
    <row r="326" spans="1:11" hidden="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H326" s="5">
        <v>13540</v>
      </c>
      <c r="I326" s="6">
        <v>4121.4642855494085</v>
      </c>
      <c r="J326" s="5">
        <v>31200</v>
      </c>
      <c r="K326" s="6">
        <f t="shared" si="14"/>
        <v>3.2852401626950072</v>
      </c>
    </row>
    <row r="327" spans="1:11" hidden="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H327" s="5">
        <v>3555</v>
      </c>
      <c r="I327" s="6">
        <v>1056.7857142434418</v>
      </c>
      <c r="J327" s="5">
        <v>8000</v>
      </c>
      <c r="K327" s="6">
        <f t="shared" si="14"/>
        <v>3.3639743157817406</v>
      </c>
    </row>
    <row r="328" spans="1:11" hidden="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H328" s="5">
        <v>15870</v>
      </c>
      <c r="I328" s="6">
        <v>2641.9642856076484</v>
      </c>
      <c r="J328" s="5">
        <v>19996</v>
      </c>
      <c r="K328" s="6">
        <f t="shared" si="14"/>
        <v>6.0068942212630709</v>
      </c>
    </row>
    <row r="329" spans="1:11" hidden="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H329" s="5">
        <v>2420</v>
      </c>
      <c r="I329" s="6">
        <v>528.39285712153003</v>
      </c>
      <c r="J329" s="5">
        <v>4000</v>
      </c>
      <c r="K329" s="6">
        <f t="shared" si="14"/>
        <v>4.579925650742477</v>
      </c>
    </row>
    <row r="330" spans="1:11" hidden="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H330" s="5">
        <v>5940</v>
      </c>
      <c r="I330" s="6">
        <v>1902.2142856375078</v>
      </c>
      <c r="J330" s="5">
        <v>14400</v>
      </c>
      <c r="K330" s="6">
        <f t="shared" si="14"/>
        <v>3.1226765800516891</v>
      </c>
    </row>
    <row r="331" spans="1:11" hidden="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H331" s="5">
        <v>4720</v>
      </c>
      <c r="I331" s="6">
        <v>686.89445810058101</v>
      </c>
      <c r="J331" s="5">
        <v>5200</v>
      </c>
      <c r="K331" s="6">
        <f t="shared" si="14"/>
        <v>6.8715068877566292</v>
      </c>
    </row>
    <row r="332" spans="1:11" hidden="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H332" s="5">
        <v>15140</v>
      </c>
      <c r="I332" s="6">
        <v>4487.9999999102474</v>
      </c>
      <c r="J332" s="5">
        <v>31740</v>
      </c>
      <c r="K332" s="6">
        <f t="shared" si="14"/>
        <v>3.3734402852724541</v>
      </c>
    </row>
    <row r="333" spans="1:11" hidden="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H333" s="5">
        <v>6925</v>
      </c>
      <c r="I333" s="6">
        <v>1702.8</v>
      </c>
      <c r="J333" s="5">
        <v>12900</v>
      </c>
      <c r="K333" s="6">
        <f t="shared" si="14"/>
        <v>4.0668311017148229</v>
      </c>
    </row>
    <row r="334" spans="1:11" hidden="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H334" s="5">
        <v>5700</v>
      </c>
      <c r="I334" s="6">
        <v>3009.6</v>
      </c>
      <c r="J334" s="5">
        <v>22800</v>
      </c>
      <c r="K334" s="6">
        <f t="shared" si="14"/>
        <v>1.893939393939394</v>
      </c>
    </row>
    <row r="335" spans="1:11" hidden="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H335" s="5">
        <v>5910</v>
      </c>
      <c r="I335" s="6">
        <v>1386</v>
      </c>
      <c r="J335" s="5">
        <v>10500</v>
      </c>
      <c r="K335" s="6">
        <f t="shared" si="14"/>
        <v>4.2640692640692643</v>
      </c>
    </row>
    <row r="336" spans="1:11" hidden="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H336" s="5">
        <v>8670</v>
      </c>
      <c r="I336" s="6">
        <v>1386</v>
      </c>
      <c r="J336" s="5">
        <v>10500</v>
      </c>
      <c r="K336" s="6">
        <f t="shared" si="14"/>
        <v>6.2554112554112553</v>
      </c>
    </row>
    <row r="337" spans="1:11" hidden="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H337" s="5">
        <v>3225</v>
      </c>
      <c r="I337" s="6">
        <v>1029.5999999999999</v>
      </c>
      <c r="J337" s="5">
        <v>7800</v>
      </c>
      <c r="K337" s="6">
        <f t="shared" si="14"/>
        <v>3.1322843822843827</v>
      </c>
    </row>
    <row r="338" spans="1:11" hidden="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H338" s="5">
        <v>3675</v>
      </c>
      <c r="I338" s="6">
        <v>2653.2</v>
      </c>
      <c r="J338" s="5">
        <v>20100</v>
      </c>
      <c r="K338" s="6">
        <f t="shared" si="14"/>
        <v>1.3851198552691091</v>
      </c>
    </row>
    <row r="339" spans="1:11" hidden="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H339" s="5">
        <v>11100</v>
      </c>
      <c r="I339" s="6">
        <v>1768.8</v>
      </c>
      <c r="J339" s="5">
        <v>13400</v>
      </c>
      <c r="K339" s="6">
        <f t="shared" si="14"/>
        <v>6.2754409769335142</v>
      </c>
    </row>
    <row r="340" spans="1:11" hidden="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H340" s="5">
        <v>3975</v>
      </c>
      <c r="I340" s="6">
        <v>1029.5999999999999</v>
      </c>
      <c r="J340" s="5">
        <v>7800</v>
      </c>
      <c r="K340" s="6">
        <f t="shared" si="14"/>
        <v>3.8607226107226111</v>
      </c>
    </row>
    <row r="341" spans="1:11" hidden="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H341" s="5">
        <v>7150</v>
      </c>
      <c r="I341" s="6">
        <v>1346.4</v>
      </c>
      <c r="J341" s="5">
        <v>10200</v>
      </c>
      <c r="K341" s="6">
        <f t="shared" si="14"/>
        <v>5.3104575163398691</v>
      </c>
    </row>
    <row r="342" spans="1:11" hidden="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H342" s="5">
        <v>930</v>
      </c>
      <c r="I342" s="6">
        <v>440.18999062500001</v>
      </c>
      <c r="J342" s="5">
        <v>3200</v>
      </c>
      <c r="K342" s="6">
        <f t="shared" si="14"/>
        <v>2.1127240959739848</v>
      </c>
    </row>
    <row r="343" spans="1:11" hidden="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H343" s="5">
        <v>1100</v>
      </c>
      <c r="I343" s="6">
        <v>880.38</v>
      </c>
      <c r="J343" s="5">
        <v>6400</v>
      </c>
      <c r="K343" s="6">
        <f t="shared" si="14"/>
        <v>1.2494604602557986</v>
      </c>
    </row>
    <row r="344" spans="1:11" hidden="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H344" s="5">
        <v>575</v>
      </c>
      <c r="I344" s="6">
        <v>330.14249999999998</v>
      </c>
      <c r="J344" s="5">
        <v>2400</v>
      </c>
      <c r="K344" s="6">
        <f t="shared" si="14"/>
        <v>1.7416721567202043</v>
      </c>
    </row>
    <row r="345" spans="1:11" hidden="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H345" s="5">
        <v>2425</v>
      </c>
      <c r="I345" s="6">
        <v>1650.7125000000001</v>
      </c>
      <c r="J345" s="5">
        <v>12000</v>
      </c>
      <c r="K345" s="6">
        <f t="shared" si="14"/>
        <v>1.4690626017553026</v>
      </c>
    </row>
    <row r="346" spans="1:11" hidden="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H346" s="5">
        <v>4340</v>
      </c>
      <c r="I346" s="6">
        <v>1287.0000000000018</v>
      </c>
      <c r="J346" s="5">
        <v>9400</v>
      </c>
      <c r="K346" s="6">
        <f t="shared" si="14"/>
        <v>3.3721833721833674</v>
      </c>
    </row>
    <row r="347" spans="1:11" hidden="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H347" s="5">
        <v>9550</v>
      </c>
      <c r="I347" s="6">
        <v>2641.14</v>
      </c>
      <c r="J347" s="5">
        <v>19200</v>
      </c>
      <c r="K347" s="6">
        <f t="shared" si="14"/>
        <v>3.6158628471039025</v>
      </c>
    </row>
    <row r="348" spans="1:11" hidden="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H348" s="5">
        <v>3690</v>
      </c>
      <c r="I348" s="6">
        <v>880.38</v>
      </c>
      <c r="J348" s="5">
        <v>6400</v>
      </c>
      <c r="K348" s="6">
        <f t="shared" si="14"/>
        <v>4.1913719075853608</v>
      </c>
    </row>
    <row r="349" spans="1:11" hidden="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H349" s="5">
        <v>2380</v>
      </c>
      <c r="I349" s="6">
        <v>880.38</v>
      </c>
      <c r="J349" s="5">
        <v>6400</v>
      </c>
      <c r="K349" s="6">
        <f t="shared" si="14"/>
        <v>2.7033780867352735</v>
      </c>
    </row>
    <row r="350" spans="1:11" hidden="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H350" s="5">
        <v>3290</v>
      </c>
      <c r="I350" s="6">
        <v>1755.4</v>
      </c>
      <c r="J350" s="5">
        <v>12800</v>
      </c>
      <c r="K350" s="6">
        <f t="shared" si="14"/>
        <v>1.8742167027458128</v>
      </c>
    </row>
    <row r="351" spans="1:11" hidden="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H351" s="5">
        <v>6960</v>
      </c>
      <c r="I351" s="6">
        <v>2413.6749943750001</v>
      </c>
      <c r="J351" s="5">
        <v>17600</v>
      </c>
      <c r="K351" s="6">
        <f t="shared" si="14"/>
        <v>2.8835696670927442</v>
      </c>
    </row>
    <row r="352" spans="1:11" hidden="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H352" s="5">
        <v>8820</v>
      </c>
      <c r="I352" s="6">
        <v>1645.6875</v>
      </c>
      <c r="J352" s="5">
        <v>12000</v>
      </c>
      <c r="K352" s="6">
        <f t="shared" si="14"/>
        <v>5.3594622308305802</v>
      </c>
    </row>
    <row r="353" spans="1:11" hidden="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H353" s="5">
        <v>4640</v>
      </c>
      <c r="I353" s="6">
        <v>726.32013058333712</v>
      </c>
      <c r="J353" s="5">
        <v>5712</v>
      </c>
      <c r="K353" s="6">
        <f t="shared" si="14"/>
        <v>6.3883676145302868</v>
      </c>
    </row>
    <row r="354" spans="1:11" hidden="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H354" s="5">
        <v>4470</v>
      </c>
      <c r="I354" s="6">
        <v>924.39958333667107</v>
      </c>
      <c r="J354" s="5">
        <v>6720</v>
      </c>
      <c r="K354" s="6">
        <f t="shared" si="14"/>
        <v>4.8355711973227953</v>
      </c>
    </row>
    <row r="355" spans="1:11" hidden="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H355" s="5">
        <v>5120</v>
      </c>
      <c r="I355" s="6">
        <v>1122.485208333339</v>
      </c>
      <c r="J355" s="5">
        <v>8160</v>
      </c>
      <c r="K355" s="6">
        <f t="shared" si="14"/>
        <v>4.5613073223496219</v>
      </c>
    </row>
    <row r="356" spans="1:11" hidden="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H356" s="5">
        <v>0</v>
      </c>
      <c r="I356" s="6">
        <v>396.17125000000198</v>
      </c>
      <c r="J356" s="5">
        <v>2880</v>
      </c>
      <c r="K356" s="6">
        <f t="shared" si="14"/>
        <v>0</v>
      </c>
    </row>
    <row r="357" spans="1:11" hidden="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H357" s="5">
        <v>6390</v>
      </c>
      <c r="I357" s="6">
        <v>1535.9749999999999</v>
      </c>
      <c r="J357" s="5">
        <v>11200</v>
      </c>
      <c r="K357" s="6">
        <f t="shared" si="14"/>
        <v>4.1602239619785477</v>
      </c>
    </row>
    <row r="358" spans="1:11" hidden="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H358" s="5">
        <v>4980</v>
      </c>
      <c r="I358" s="6">
        <v>1535.9749999999999</v>
      </c>
      <c r="J358" s="5">
        <v>11200</v>
      </c>
      <c r="K358" s="6">
        <f t="shared" si="14"/>
        <v>3.2422402708377418</v>
      </c>
    </row>
    <row r="359" spans="1:11" hidden="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H359" s="5">
        <v>1560</v>
      </c>
      <c r="I359" s="6">
        <v>594.25687500000299</v>
      </c>
      <c r="J359" s="5">
        <v>4320</v>
      </c>
      <c r="K359" s="6">
        <f t="shared" si="14"/>
        <v>2.6251273912480899</v>
      </c>
    </row>
    <row r="360" spans="1:11" hidden="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H360" s="5">
        <v>5900</v>
      </c>
      <c r="I360" s="6">
        <v>2575.1131250013459</v>
      </c>
      <c r="J360" s="5">
        <v>18720</v>
      </c>
      <c r="K360" s="6">
        <f t="shared" si="14"/>
        <v>2.291161480525993</v>
      </c>
    </row>
    <row r="361" spans="1:11" hidden="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H361" s="5">
        <v>2760</v>
      </c>
      <c r="I361" s="6">
        <v>528.37931032368999</v>
      </c>
      <c r="J361" s="5">
        <v>4000</v>
      </c>
      <c r="K361" s="6">
        <f t="shared" ref="K361:K367" si="15">IFERROR(H361/I361,"")</f>
        <v>5.2235201986035351</v>
      </c>
    </row>
    <row r="362" spans="1:11" hidden="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H362" s="5">
        <v>5800</v>
      </c>
      <c r="I362" s="6">
        <v>2272.0310343918732</v>
      </c>
      <c r="J362" s="5">
        <v>17200</v>
      </c>
      <c r="K362" s="6">
        <f t="shared" si="15"/>
        <v>2.5527820316734431</v>
      </c>
    </row>
    <row r="363" spans="1:11" hidden="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H363" s="5">
        <v>3125</v>
      </c>
      <c r="I363" s="6">
        <v>1162.4344827121224</v>
      </c>
      <c r="J363" s="5">
        <v>8800</v>
      </c>
      <c r="K363" s="6">
        <f t="shared" si="15"/>
        <v>2.688323554123186</v>
      </c>
    </row>
    <row r="364" spans="1:11" hidden="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H364" s="5">
        <v>2975</v>
      </c>
      <c r="I364" s="6">
        <v>1162.4344827121181</v>
      </c>
      <c r="J364" s="5">
        <v>8800</v>
      </c>
      <c r="K364" s="6">
        <f t="shared" si="15"/>
        <v>2.5592840235252825</v>
      </c>
    </row>
    <row r="365" spans="1:11" hidden="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H365" s="5">
        <v>2640</v>
      </c>
      <c r="I365" s="6">
        <v>1056.7586206473827</v>
      </c>
      <c r="J365" s="5">
        <v>8000</v>
      </c>
      <c r="K365" s="6">
        <f t="shared" si="15"/>
        <v>2.4982053123755974</v>
      </c>
    </row>
    <row r="366" spans="1:11" hidden="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H366" s="5">
        <v>5580</v>
      </c>
      <c r="I366" s="6">
        <v>1109.596551679753</v>
      </c>
      <c r="J366" s="5">
        <v>8400</v>
      </c>
      <c r="K366" s="6">
        <f t="shared" si="15"/>
        <v>5.0288548495872361</v>
      </c>
    </row>
    <row r="367" spans="1:11" hidden="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H367" s="5">
        <v>4700</v>
      </c>
      <c r="I367" s="6">
        <v>1902.1655171652881</v>
      </c>
      <c r="J367" s="5">
        <v>14400</v>
      </c>
      <c r="K367" s="6">
        <f t="shared" si="15"/>
        <v>2.4708680488563366</v>
      </c>
    </row>
    <row r="368" spans="1:11" hidden="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H368" s="5">
        <v>1475</v>
      </c>
      <c r="I368" s="6">
        <v>951.10714281909407</v>
      </c>
      <c r="J368" s="5">
        <v>7200</v>
      </c>
      <c r="K368" s="6">
        <f t="shared" si="14"/>
        <v>1.5508242274661934</v>
      </c>
    </row>
    <row r="369" spans="1:11" hidden="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H369" s="5">
        <v>16710</v>
      </c>
      <c r="I369" s="6">
        <v>3804.4285712763772</v>
      </c>
      <c r="J369" s="5">
        <v>28800</v>
      </c>
      <c r="K369" s="6">
        <f t="shared" si="14"/>
        <v>4.3922496340610317</v>
      </c>
    </row>
    <row r="370" spans="1:11" hidden="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H370" s="5">
        <v>13440</v>
      </c>
      <c r="I370" s="6">
        <v>2641.8965516184649</v>
      </c>
      <c r="J370" s="5">
        <v>20000</v>
      </c>
      <c r="K370" s="6">
        <f t="shared" si="14"/>
        <v>5.0872544542921094</v>
      </c>
    </row>
    <row r="371" spans="1:11" hidden="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H371" s="5">
        <v>23010</v>
      </c>
      <c r="I371" s="6">
        <v>3592.9793102010913</v>
      </c>
      <c r="J371" s="5">
        <v>26044</v>
      </c>
      <c r="K371" s="6">
        <f t="shared" si="14"/>
        <v>6.4041559979682097</v>
      </c>
    </row>
    <row r="372" spans="1:11" hidden="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H372" s="5">
        <v>2775</v>
      </c>
      <c r="I372" s="6">
        <v>1268.1103447768633</v>
      </c>
      <c r="J372" s="5">
        <v>9600</v>
      </c>
      <c r="K372" s="6">
        <f t="shared" si="14"/>
        <v>2.1882953730562691</v>
      </c>
    </row>
    <row r="373" spans="1:11" hidden="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H373" s="5">
        <v>1500</v>
      </c>
      <c r="I373" s="6">
        <v>528.37931032368999</v>
      </c>
      <c r="J373" s="5">
        <v>4000</v>
      </c>
      <c r="K373" s="6">
        <f t="shared" si="14"/>
        <v>2.838869673154095</v>
      </c>
    </row>
    <row r="374" spans="1:11" hidden="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H374" s="5">
        <v>3510</v>
      </c>
      <c r="I374" s="6">
        <v>1162.4344827121247</v>
      </c>
      <c r="J374" s="5">
        <v>8800</v>
      </c>
      <c r="K374" s="6">
        <f t="shared" si="14"/>
        <v>3.0195250159911566</v>
      </c>
    </row>
    <row r="375" spans="1:11" hidden="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H375" s="5">
        <v>960</v>
      </c>
      <c r="I375" s="6">
        <v>528.3915024419166</v>
      </c>
      <c r="J375" s="5">
        <v>4000</v>
      </c>
      <c r="K375" s="6">
        <f t="shared" si="14"/>
        <v>1.8168346681644978</v>
      </c>
    </row>
    <row r="376" spans="1:11" hidden="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H376" s="5">
        <v>24690</v>
      </c>
      <c r="I376" s="6">
        <v>3910.1071427007282</v>
      </c>
      <c r="J376" s="5">
        <v>29260</v>
      </c>
      <c r="K376" s="6">
        <f t="shared" si="14"/>
        <v>6.314404976367606</v>
      </c>
    </row>
    <row r="377" spans="1:11" hidden="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H377" s="5">
        <v>3800</v>
      </c>
      <c r="I377" s="6">
        <v>1902.2142856381945</v>
      </c>
      <c r="J377" s="5">
        <v>14400</v>
      </c>
      <c r="K377" s="6">
        <f t="shared" si="14"/>
        <v>1.9976718862276321</v>
      </c>
    </row>
    <row r="378" spans="1:11" hidden="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H378" s="5">
        <v>6330</v>
      </c>
      <c r="I378" s="6">
        <v>1162.4642856677858</v>
      </c>
      <c r="J378" s="5">
        <v>8800</v>
      </c>
      <c r="K378" s="6">
        <f t="shared" si="14"/>
        <v>5.4453285817410615</v>
      </c>
    </row>
    <row r="379" spans="1:11" hidden="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H379" s="5">
        <v>1950</v>
      </c>
      <c r="I379" s="6">
        <v>317.03571427303262</v>
      </c>
      <c r="J379" s="5">
        <v>2400</v>
      </c>
      <c r="K379" s="6">
        <f t="shared" si="14"/>
        <v>6.1507265970692844</v>
      </c>
    </row>
    <row r="380" spans="1:11" hidden="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H380" s="5">
        <v>3875</v>
      </c>
      <c r="I380" s="6">
        <v>951.10714281875391</v>
      </c>
      <c r="J380" s="5">
        <v>7200</v>
      </c>
      <c r="K380" s="6">
        <f t="shared" si="14"/>
        <v>4.0741992416499313</v>
      </c>
    </row>
    <row r="381" spans="1:11" hidden="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H381" s="5">
        <v>5820</v>
      </c>
      <c r="I381" s="6">
        <v>898.26785710660101</v>
      </c>
      <c r="J381" s="5">
        <v>6800</v>
      </c>
      <c r="K381" s="6">
        <f t="shared" si="14"/>
        <v>6.4791364334762314</v>
      </c>
    </row>
    <row r="382" spans="1:11" hidden="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H382" s="5">
        <v>5625</v>
      </c>
      <c r="I382" s="6">
        <v>1268.1428570916721</v>
      </c>
      <c r="J382" s="5">
        <v>9600</v>
      </c>
      <c r="K382" s="6">
        <f t="shared" si="14"/>
        <v>4.4356201421188759</v>
      </c>
    </row>
    <row r="383" spans="1:11" hidden="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H383" s="5">
        <v>4350</v>
      </c>
      <c r="I383" s="6">
        <v>686.91071425798896</v>
      </c>
      <c r="J383" s="5">
        <v>5200</v>
      </c>
      <c r="K383" s="6">
        <f t="shared" si="14"/>
        <v>6.3327007567481806</v>
      </c>
    </row>
    <row r="384" spans="1:11" hidden="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H384" s="5">
        <v>4525</v>
      </c>
      <c r="I384" s="6">
        <v>845.428571394752</v>
      </c>
      <c r="J384" s="5">
        <v>6400</v>
      </c>
      <c r="K384" s="6">
        <f t="shared" si="14"/>
        <v>5.3523149714881866</v>
      </c>
    </row>
    <row r="385" spans="1:11" hidden="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H385" s="5">
        <v>11375</v>
      </c>
      <c r="I385" s="6">
        <v>4015.7857141250797</v>
      </c>
      <c r="J385" s="5">
        <v>30400</v>
      </c>
      <c r="K385" s="6">
        <f t="shared" si="14"/>
        <v>2.8325714591766444</v>
      </c>
    </row>
    <row r="386" spans="1:11" hidden="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H386" s="5">
        <v>11175</v>
      </c>
      <c r="I386" s="6">
        <v>4015.7857141250793</v>
      </c>
      <c r="J386" s="5">
        <v>30400</v>
      </c>
      <c r="K386" s="6">
        <f t="shared" si="14"/>
        <v>2.782768004949363</v>
      </c>
    </row>
    <row r="387" spans="1:11" hidden="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H387" s="5">
        <v>8580</v>
      </c>
      <c r="I387" s="6">
        <v>2747.5751230427709</v>
      </c>
      <c r="J387" s="5">
        <v>20800</v>
      </c>
      <c r="K387" s="6">
        <f t="shared" ref="K387:K449" si="17">+H387/I387</f>
        <v>3.1227535611467383</v>
      </c>
    </row>
    <row r="388" spans="1:11" hidden="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H388" s="5">
        <v>1950</v>
      </c>
      <c r="I388" s="6">
        <v>1056.75862064738</v>
      </c>
      <c r="J388" s="5">
        <v>9600</v>
      </c>
      <c r="K388" s="6">
        <f t="shared" si="17"/>
        <v>1.8452652875501618</v>
      </c>
    </row>
    <row r="389" spans="1:11" hidden="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H389" s="5">
        <v>13320</v>
      </c>
      <c r="I389" s="6">
        <v>3592.9793102011122</v>
      </c>
      <c r="J389" s="5">
        <v>27820</v>
      </c>
      <c r="K389" s="6">
        <f t="shared" si="17"/>
        <v>3.7072298084717974</v>
      </c>
    </row>
    <row r="390" spans="1:11" hidden="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H390" s="5">
        <v>16530</v>
      </c>
      <c r="I390" s="6">
        <v>1585.2222221588099</v>
      </c>
      <c r="J390" s="5">
        <v>11490</v>
      </c>
      <c r="K390" s="6">
        <f t="shared" si="17"/>
        <v>10.427560104153018</v>
      </c>
    </row>
    <row r="391" spans="1:11" hidden="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H391" s="5">
        <v>8950</v>
      </c>
      <c r="I391" s="6">
        <v>1796.5851851133182</v>
      </c>
      <c r="J391" s="5">
        <v>13600</v>
      </c>
      <c r="K391" s="6">
        <f t="shared" si="17"/>
        <v>4.981673050718987</v>
      </c>
    </row>
    <row r="392" spans="1:11" hidden="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H392" s="5">
        <v>10920</v>
      </c>
      <c r="I392" s="6">
        <v>2219.311111022334</v>
      </c>
      <c r="J392" s="5">
        <v>16800</v>
      </c>
      <c r="K392" s="6">
        <f t="shared" si="17"/>
        <v>4.9204457841738378</v>
      </c>
    </row>
    <row r="393" spans="1:11" hidden="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H393" s="5">
        <v>10875</v>
      </c>
      <c r="I393" s="6">
        <v>2959.0814813631118</v>
      </c>
      <c r="J393" s="5">
        <v>22400</v>
      </c>
      <c r="K393" s="6">
        <f t="shared" si="17"/>
        <v>3.6751269164073141</v>
      </c>
    </row>
    <row r="394" spans="1:11" hidden="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H394" s="5">
        <v>4920</v>
      </c>
      <c r="I394" s="6">
        <v>1912.3542857142861</v>
      </c>
      <c r="J394" s="5">
        <v>16320</v>
      </c>
      <c r="K394" s="6">
        <f t="shared" si="17"/>
        <v>2.5727450382774255</v>
      </c>
    </row>
    <row r="395" spans="1:11" hidden="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H395" s="5">
        <v>1625</v>
      </c>
      <c r="I395" s="6">
        <v>2812.2857142428579</v>
      </c>
      <c r="J395" s="5">
        <v>20000</v>
      </c>
      <c r="K395" s="6">
        <f t="shared" si="17"/>
        <v>0.57782180230485336</v>
      </c>
    </row>
    <row r="396" spans="1:11" hidden="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H396" s="5">
        <v>8825</v>
      </c>
      <c r="I396" s="6">
        <v>1768.8376470588223</v>
      </c>
      <c r="J396" s="5">
        <v>12800</v>
      </c>
      <c r="K396" s="6">
        <f t="shared" si="17"/>
        <v>4.9891520652977865</v>
      </c>
    </row>
    <row r="397" spans="1:11" hidden="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H397" s="5">
        <v>10660</v>
      </c>
      <c r="I397" s="6">
        <v>2263.7999998868127</v>
      </c>
      <c r="J397" s="5">
        <v>17920</v>
      </c>
      <c r="K397" s="6">
        <f t="shared" si="17"/>
        <v>4.7088965458666792</v>
      </c>
    </row>
    <row r="398" spans="1:11" hidden="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H398" s="5">
        <v>4140</v>
      </c>
      <c r="I398" s="6">
        <v>994.97117647058747</v>
      </c>
      <c r="J398" s="5">
        <v>7200</v>
      </c>
      <c r="K398" s="6">
        <f t="shared" si="17"/>
        <v>4.1609245553078429</v>
      </c>
    </row>
    <row r="399" spans="1:11" hidden="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H399" s="5">
        <v>5760</v>
      </c>
      <c r="I399" s="6">
        <v>994.97117647058747</v>
      </c>
      <c r="J399" s="5">
        <v>7920</v>
      </c>
      <c r="K399" s="6">
        <f t="shared" si="17"/>
        <v>5.7891124247761283</v>
      </c>
    </row>
    <row r="400" spans="1:11" hidden="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H400" s="5">
        <v>7175</v>
      </c>
      <c r="I400" s="6">
        <v>2263.7999998868127</v>
      </c>
      <c r="J400" s="5">
        <v>17920</v>
      </c>
      <c r="K400" s="6">
        <f t="shared" si="17"/>
        <v>3.1694495981794955</v>
      </c>
    </row>
    <row r="401" spans="1:11" hidden="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H401" s="5">
        <v>57000</v>
      </c>
      <c r="I401" s="6">
        <v>6727.0499997982479</v>
      </c>
      <c r="J401" s="5">
        <v>49210</v>
      </c>
      <c r="K401" s="6">
        <f t="shared" si="17"/>
        <v>8.4732535066202121</v>
      </c>
    </row>
    <row r="402" spans="1:11" hidden="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H402" s="5">
        <v>2730</v>
      </c>
      <c r="I402" s="6">
        <v>994.95</v>
      </c>
      <c r="J402" s="5">
        <v>7200</v>
      </c>
      <c r="K402" s="6">
        <f t="shared" si="17"/>
        <v>2.7438564751997587</v>
      </c>
    </row>
    <row r="403" spans="1:11" hidden="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H403" s="5">
        <v>1620</v>
      </c>
      <c r="I403" s="6">
        <v>831.6</v>
      </c>
      <c r="J403" s="5">
        <v>6300</v>
      </c>
      <c r="K403" s="6">
        <f t="shared" si="17"/>
        <v>1.948051948051948</v>
      </c>
    </row>
    <row r="404" spans="1:11" hidden="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H404" s="5">
        <v>9675</v>
      </c>
      <c r="I404" s="6">
        <v>1267.2</v>
      </c>
      <c r="J404" s="5">
        <v>9600</v>
      </c>
      <c r="K404" s="6">
        <f t="shared" si="17"/>
        <v>7.6349431818181817</v>
      </c>
    </row>
    <row r="405" spans="1:11" hidden="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H405" s="5">
        <v>1050</v>
      </c>
      <c r="I405" s="6">
        <v>316.8</v>
      </c>
      <c r="J405" s="5">
        <v>2400</v>
      </c>
      <c r="K405" s="6">
        <f t="shared" si="17"/>
        <v>3.3143939393939394</v>
      </c>
    </row>
    <row r="406" spans="1:11" hidden="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H406" s="5">
        <v>15540</v>
      </c>
      <c r="I406" s="6">
        <v>3603.6</v>
      </c>
      <c r="J406" s="5">
        <v>27296</v>
      </c>
      <c r="K406" s="6">
        <f t="shared" si="17"/>
        <v>4.3123543123543122</v>
      </c>
    </row>
    <row r="407" spans="1:11" hidden="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H407" s="5">
        <v>6950</v>
      </c>
      <c r="I407" s="6">
        <v>3682.8</v>
      </c>
      <c r="J407" s="5">
        <v>27900</v>
      </c>
      <c r="K407" s="6">
        <f t="shared" si="17"/>
        <v>1.8871510806994678</v>
      </c>
    </row>
    <row r="408" spans="1:11" hidden="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H408" s="5">
        <v>6200</v>
      </c>
      <c r="I408" s="6">
        <v>2376</v>
      </c>
      <c r="J408" s="5">
        <v>18000</v>
      </c>
      <c r="K408" s="6">
        <f t="shared" si="17"/>
        <v>2.6094276094276094</v>
      </c>
    </row>
    <row r="409" spans="1:11" hidden="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H409" s="5">
        <v>1680</v>
      </c>
      <c r="I409" s="6">
        <v>950.4</v>
      </c>
      <c r="J409" s="5">
        <v>7200</v>
      </c>
      <c r="K409" s="6">
        <f t="shared" si="17"/>
        <v>1.7676767676767677</v>
      </c>
    </row>
    <row r="410" spans="1:11" hidden="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H410" s="5">
        <v>6125</v>
      </c>
      <c r="I410" s="6">
        <v>1346.4</v>
      </c>
      <c r="J410" s="5">
        <v>10200</v>
      </c>
      <c r="K410" s="6">
        <f t="shared" si="17"/>
        <v>4.5491681521093286</v>
      </c>
    </row>
    <row r="411" spans="1:11" hidden="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H411" s="5">
        <v>7620</v>
      </c>
      <c r="I411" s="6">
        <v>2851.2</v>
      </c>
      <c r="J411" s="5">
        <v>21600</v>
      </c>
      <c r="K411" s="6">
        <f t="shared" si="17"/>
        <v>2.6725589225589226</v>
      </c>
    </row>
    <row r="412" spans="1:11" hidden="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H412" s="5">
        <v>6120</v>
      </c>
      <c r="I412" s="6">
        <v>2138.4</v>
      </c>
      <c r="J412" s="5">
        <v>16200</v>
      </c>
      <c r="K412" s="6">
        <f t="shared" si="17"/>
        <v>2.861952861952862</v>
      </c>
    </row>
    <row r="413" spans="1:11" hidden="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H413" s="5">
        <v>3650</v>
      </c>
      <c r="I413" s="6">
        <v>963.6</v>
      </c>
      <c r="J413" s="5">
        <v>7570</v>
      </c>
      <c r="K413" s="6">
        <f t="shared" si="17"/>
        <v>3.7878787878787876</v>
      </c>
    </row>
    <row r="414" spans="1:11" hidden="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H414" s="5">
        <v>13825</v>
      </c>
      <c r="I414" s="6">
        <v>3168</v>
      </c>
      <c r="J414" s="5">
        <v>24000</v>
      </c>
      <c r="K414" s="6">
        <f t="shared" si="17"/>
        <v>4.3639520202020199</v>
      </c>
    </row>
    <row r="415" spans="1:11" hidden="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H415" s="5">
        <v>3600</v>
      </c>
      <c r="I415" s="6">
        <v>1188</v>
      </c>
      <c r="J415" s="5">
        <v>9000</v>
      </c>
      <c r="K415" s="6">
        <f t="shared" si="17"/>
        <v>3.0303030303030303</v>
      </c>
    </row>
    <row r="416" spans="1:11" hidden="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H416" s="5">
        <v>12675</v>
      </c>
      <c r="I416" s="6">
        <v>2732.4</v>
      </c>
      <c r="J416" s="5">
        <v>20700</v>
      </c>
      <c r="K416" s="6">
        <f t="shared" si="17"/>
        <v>4.6387790953008343</v>
      </c>
    </row>
    <row r="417" spans="1:11" hidden="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H417" s="5">
        <v>4170</v>
      </c>
      <c r="I417" s="6">
        <v>673.2</v>
      </c>
      <c r="J417" s="5">
        <v>5100</v>
      </c>
      <c r="K417" s="6">
        <f t="shared" si="17"/>
        <v>6.1942959001782523</v>
      </c>
    </row>
    <row r="418" spans="1:11" hidden="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H418" s="5">
        <v>2360</v>
      </c>
      <c r="I418" s="6">
        <v>1100.4749999999999</v>
      </c>
      <c r="J418" s="5">
        <v>8000</v>
      </c>
      <c r="K418" s="6">
        <f t="shared" si="17"/>
        <v>2.1445284990572255</v>
      </c>
    </row>
    <row r="419" spans="1:11" hidden="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H419" s="5">
        <v>4825</v>
      </c>
      <c r="I419" s="6">
        <v>1287</v>
      </c>
      <c r="J419" s="5">
        <v>9400</v>
      </c>
      <c r="K419" s="6">
        <f t="shared" si="17"/>
        <v>3.7490287490287488</v>
      </c>
    </row>
    <row r="420" spans="1:11" hidden="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H420" s="5">
        <v>10710</v>
      </c>
      <c r="I420" s="6">
        <v>2641.14</v>
      </c>
      <c r="J420" s="5">
        <v>19200</v>
      </c>
      <c r="K420" s="6">
        <f t="shared" si="17"/>
        <v>4.05506713010291</v>
      </c>
    </row>
    <row r="421" spans="1:11" hidden="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H421" s="5">
        <v>17025</v>
      </c>
      <c r="I421" s="6">
        <v>2641.14</v>
      </c>
      <c r="J421" s="5">
        <v>19200</v>
      </c>
      <c r="K421" s="6">
        <f t="shared" si="17"/>
        <v>6.4460801017742337</v>
      </c>
    </row>
    <row r="422" spans="1:11" hidden="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H422" s="5">
        <v>6090</v>
      </c>
      <c r="I422" s="6">
        <v>1430.6174906250001</v>
      </c>
      <c r="J422" s="5">
        <v>10400</v>
      </c>
      <c r="K422" s="6">
        <f t="shared" si="17"/>
        <v>4.2569030785017423</v>
      </c>
    </row>
    <row r="423" spans="1:11" hidden="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H423" s="5">
        <v>5040</v>
      </c>
      <c r="I423" s="6">
        <v>1430.6175000000001</v>
      </c>
      <c r="J423" s="5">
        <v>10400</v>
      </c>
      <c r="K423" s="6">
        <f t="shared" si="17"/>
        <v>3.5229542487771885</v>
      </c>
    </row>
    <row r="424" spans="1:11" hidden="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H424" s="5">
        <v>8190</v>
      </c>
      <c r="I424" s="6">
        <v>2861.2350000000001</v>
      </c>
      <c r="J424" s="5">
        <v>20800</v>
      </c>
      <c r="K424" s="6">
        <f t="shared" si="17"/>
        <v>2.862400327131466</v>
      </c>
    </row>
    <row r="425" spans="1:11" hidden="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H425" s="5">
        <v>8375</v>
      </c>
      <c r="I425" s="6">
        <v>3071.9505625000002</v>
      </c>
      <c r="J425" s="5">
        <v>22400</v>
      </c>
      <c r="K425" s="6">
        <f t="shared" si="17"/>
        <v>2.7262808530304921</v>
      </c>
    </row>
    <row r="426" spans="1:11" hidden="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H426" s="5">
        <v>11260</v>
      </c>
      <c r="I426" s="6">
        <v>1097.125</v>
      </c>
      <c r="J426" s="5">
        <v>8000</v>
      </c>
      <c r="K426" s="6">
        <f t="shared" si="17"/>
        <v>10.263187877406859</v>
      </c>
    </row>
    <row r="427" spans="1:11" hidden="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H427" s="5">
        <v>11200</v>
      </c>
      <c r="I427" s="6">
        <v>2852.5250000000001</v>
      </c>
      <c r="J427" s="5">
        <v>20800</v>
      </c>
      <c r="K427" s="6">
        <f t="shared" si="17"/>
        <v>3.9263459566524395</v>
      </c>
    </row>
    <row r="428" spans="1:11" hidden="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H428" s="5">
        <v>11370</v>
      </c>
      <c r="I428" s="6">
        <v>2633.1</v>
      </c>
      <c r="J428" s="5">
        <v>19200</v>
      </c>
      <c r="K428" s="6">
        <f t="shared" si="17"/>
        <v>4.3181041358095023</v>
      </c>
    </row>
    <row r="429" spans="1:11" hidden="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H429" s="5">
        <v>9570</v>
      </c>
      <c r="I429" s="6">
        <v>2633.1</v>
      </c>
      <c r="J429" s="5">
        <v>19200</v>
      </c>
      <c r="K429" s="6">
        <f t="shared" si="17"/>
        <v>3.6344992594280505</v>
      </c>
    </row>
    <row r="430" spans="1:11" hidden="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H430" s="5">
        <v>9510</v>
      </c>
      <c r="I430" s="6">
        <v>2852.5250000000001</v>
      </c>
      <c r="J430" s="5">
        <v>20800</v>
      </c>
      <c r="K430" s="6">
        <f t="shared" si="17"/>
        <v>3.3338883971218483</v>
      </c>
    </row>
    <row r="431" spans="1:11" hidden="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H431" s="5">
        <v>18720</v>
      </c>
      <c r="I431" s="6">
        <v>2852.5250000000001</v>
      </c>
      <c r="J431" s="5">
        <v>20800</v>
      </c>
      <c r="K431" s="6">
        <f t="shared" si="17"/>
        <v>6.562606813261934</v>
      </c>
    </row>
    <row r="432" spans="1:11" hidden="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H432" s="5">
        <v>7025</v>
      </c>
      <c r="I432" s="6">
        <v>3071.95</v>
      </c>
      <c r="J432" s="5">
        <v>22400</v>
      </c>
      <c r="K432" s="6">
        <f t="shared" si="17"/>
        <v>2.2868210745617605</v>
      </c>
    </row>
    <row r="433" spans="1:11" hidden="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H433" s="5">
        <v>5600</v>
      </c>
      <c r="I433" s="6">
        <v>1645.6875</v>
      </c>
      <c r="J433" s="5">
        <v>12000</v>
      </c>
      <c r="K433" s="6">
        <f t="shared" si="17"/>
        <v>3.4028331624321142</v>
      </c>
    </row>
    <row r="434" spans="1:11" hidden="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H434" s="5">
        <v>16700</v>
      </c>
      <c r="I434" s="6">
        <v>4121.4642855494085</v>
      </c>
      <c r="J434" s="5">
        <v>31200</v>
      </c>
      <c r="K434" s="6">
        <f t="shared" si="17"/>
        <v>4.0519579554657765</v>
      </c>
    </row>
    <row r="435" spans="1:11" hidden="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H435" s="5">
        <v>3405</v>
      </c>
      <c r="I435" s="6">
        <v>1056.7857142434418</v>
      </c>
      <c r="J435" s="5">
        <v>8000</v>
      </c>
      <c r="K435" s="6">
        <f t="shared" si="17"/>
        <v>3.2220344712339877</v>
      </c>
    </row>
    <row r="436" spans="1:11" hidden="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H436" s="5">
        <v>17190</v>
      </c>
      <c r="I436" s="6">
        <v>2641.9642856076484</v>
      </c>
      <c r="J436" s="5">
        <v>19996</v>
      </c>
      <c r="K436" s="6">
        <f t="shared" si="17"/>
        <v>6.5065224740713408</v>
      </c>
    </row>
    <row r="437" spans="1:11" hidden="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H437" s="5">
        <v>3400</v>
      </c>
      <c r="I437" s="6">
        <v>528.39285712153003</v>
      </c>
      <c r="J437" s="5">
        <v>4000</v>
      </c>
      <c r="K437" s="6">
        <f t="shared" si="17"/>
        <v>6.4346062861671163</v>
      </c>
    </row>
    <row r="438" spans="1:11" hidden="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H438" s="5">
        <v>10080</v>
      </c>
      <c r="I438" s="6">
        <v>1902.2142856375078</v>
      </c>
      <c r="J438" s="5">
        <v>14400</v>
      </c>
      <c r="K438" s="6">
        <f t="shared" si="17"/>
        <v>5.2990875297846847</v>
      </c>
    </row>
    <row r="439" spans="1:11" hidden="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H439" s="5">
        <v>4860</v>
      </c>
      <c r="I439" s="6">
        <v>686.89445810058101</v>
      </c>
      <c r="J439" s="5">
        <v>5200</v>
      </c>
      <c r="K439" s="6">
        <f t="shared" si="17"/>
        <v>7.0753227700205974</v>
      </c>
    </row>
    <row r="440" spans="1:11" hidden="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H440" s="5">
        <v>27040</v>
      </c>
      <c r="I440" s="6">
        <v>4487.9999999102474</v>
      </c>
      <c r="J440" s="5">
        <v>31740</v>
      </c>
      <c r="K440" s="6">
        <f t="shared" si="17"/>
        <v>6.0249554368406315</v>
      </c>
    </row>
    <row r="441" spans="1:11" hidden="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H441" s="5">
        <v>5750</v>
      </c>
      <c r="I441" s="6">
        <v>1702.8</v>
      </c>
      <c r="J441" s="5">
        <v>12900</v>
      </c>
      <c r="K441" s="6">
        <f t="shared" si="17"/>
        <v>3.3767911674888418</v>
      </c>
    </row>
    <row r="442" spans="1:11" hidden="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H442" s="5">
        <v>6760</v>
      </c>
      <c r="I442" s="6">
        <v>3009.6</v>
      </c>
      <c r="J442" s="5">
        <v>22800</v>
      </c>
      <c r="K442" s="6">
        <f t="shared" si="17"/>
        <v>2.2461456671982987</v>
      </c>
    </row>
    <row r="443" spans="1:11" hidden="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H443" s="5">
        <v>6510</v>
      </c>
      <c r="I443" s="6">
        <v>1386</v>
      </c>
      <c r="J443" s="5">
        <v>10500</v>
      </c>
      <c r="K443" s="6">
        <f t="shared" si="17"/>
        <v>4.6969696969696972</v>
      </c>
    </row>
    <row r="444" spans="1:11" hidden="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H444" s="5">
        <v>6840</v>
      </c>
      <c r="I444" s="6">
        <v>1386</v>
      </c>
      <c r="J444" s="5">
        <v>10500</v>
      </c>
      <c r="K444" s="6">
        <f t="shared" si="17"/>
        <v>4.9350649350649354</v>
      </c>
    </row>
    <row r="445" spans="1:11" hidden="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H445" s="5">
        <v>3375</v>
      </c>
      <c r="I445" s="6">
        <v>1029.5999999999999</v>
      </c>
      <c r="J445" s="5">
        <v>7800</v>
      </c>
      <c r="K445" s="6">
        <f t="shared" si="17"/>
        <v>3.2779720279720284</v>
      </c>
    </row>
    <row r="446" spans="1:11" hidden="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H446" s="5">
        <v>10975</v>
      </c>
      <c r="I446" s="6">
        <v>2653.2</v>
      </c>
      <c r="J446" s="5">
        <v>20100</v>
      </c>
      <c r="K446" s="6">
        <f t="shared" si="17"/>
        <v>4.136514397708428</v>
      </c>
    </row>
    <row r="447" spans="1:11" hidden="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H447" s="5">
        <v>8820</v>
      </c>
      <c r="I447" s="6">
        <v>1768.8</v>
      </c>
      <c r="J447" s="5">
        <v>13400</v>
      </c>
      <c r="K447" s="6">
        <f t="shared" si="17"/>
        <v>4.9864314789687922</v>
      </c>
    </row>
    <row r="448" spans="1:11" hidden="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H448" s="5">
        <v>6060</v>
      </c>
      <c r="I448" s="6">
        <v>1029.5999999999999</v>
      </c>
      <c r="J448" s="5">
        <v>7800</v>
      </c>
      <c r="K448" s="6">
        <f t="shared" si="17"/>
        <v>5.8857808857808864</v>
      </c>
    </row>
    <row r="449" spans="1:11" hidden="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H449" s="5">
        <v>5975</v>
      </c>
      <c r="I449" s="6">
        <v>1346.4</v>
      </c>
      <c r="J449" s="5">
        <v>10200</v>
      </c>
      <c r="K449" s="6">
        <f t="shared" si="17"/>
        <v>4.4377599524658349</v>
      </c>
    </row>
    <row r="450" spans="1:11" hidden="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H450" s="5">
        <v>1110</v>
      </c>
      <c r="I450" s="6">
        <v>440.18999062500001</v>
      </c>
      <c r="J450" s="5">
        <v>3200</v>
      </c>
      <c r="K450" s="6">
        <f t="shared" ref="K450:K512" si="19">+H450/I450</f>
        <v>2.5216384371302398</v>
      </c>
    </row>
    <row r="451" spans="1:11" hidden="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H451" s="5">
        <v>1850</v>
      </c>
      <c r="I451" s="6">
        <v>880.38</v>
      </c>
      <c r="J451" s="5">
        <v>6400</v>
      </c>
      <c r="K451" s="6">
        <f t="shared" si="19"/>
        <v>2.1013653195211157</v>
      </c>
    </row>
    <row r="452" spans="1:11" hidden="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H452" s="5">
        <v>525</v>
      </c>
      <c r="I452" s="6">
        <v>330.14249999999998</v>
      </c>
      <c r="J452" s="5">
        <v>2400</v>
      </c>
      <c r="K452" s="6">
        <f t="shared" si="19"/>
        <v>1.5902224039619257</v>
      </c>
    </row>
    <row r="453" spans="1:11" hidden="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H453" s="5">
        <v>4550</v>
      </c>
      <c r="I453" s="6">
        <v>1650.7125000000001</v>
      </c>
      <c r="J453" s="5">
        <v>12000</v>
      </c>
      <c r="K453" s="6">
        <f t="shared" si="19"/>
        <v>2.756385500200671</v>
      </c>
    </row>
    <row r="454" spans="1:11" hidden="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H454" s="5">
        <v>8660</v>
      </c>
      <c r="I454" s="6">
        <v>1287.0000000000018</v>
      </c>
      <c r="J454" s="5">
        <v>9400</v>
      </c>
      <c r="K454" s="6">
        <f t="shared" si="19"/>
        <v>6.7288267288267196</v>
      </c>
    </row>
    <row r="455" spans="1:11" hidden="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H455" s="5">
        <v>18550</v>
      </c>
      <c r="I455" s="6">
        <v>2641.14</v>
      </c>
      <c r="J455" s="5">
        <v>19200</v>
      </c>
      <c r="K455" s="6">
        <f t="shared" si="19"/>
        <v>7.0234822841651718</v>
      </c>
    </row>
    <row r="456" spans="1:11" hidden="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H456" s="5">
        <v>4590</v>
      </c>
      <c r="I456" s="6">
        <v>880.38</v>
      </c>
      <c r="J456" s="5">
        <v>6400</v>
      </c>
      <c r="K456" s="6">
        <f t="shared" si="19"/>
        <v>5.2136577387037413</v>
      </c>
    </row>
    <row r="457" spans="1:11" hidden="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H457" s="5">
        <v>4360</v>
      </c>
      <c r="I457" s="6">
        <v>880.38</v>
      </c>
      <c r="J457" s="5">
        <v>6400</v>
      </c>
      <c r="K457" s="6">
        <f t="shared" si="19"/>
        <v>4.9524069151957111</v>
      </c>
    </row>
    <row r="458" spans="1:11" hidden="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H458" s="5">
        <v>2690</v>
      </c>
      <c r="I458" s="6">
        <v>1755.4</v>
      </c>
      <c r="J458" s="5">
        <v>12800</v>
      </c>
      <c r="K458" s="6">
        <f t="shared" si="19"/>
        <v>1.5324142645550871</v>
      </c>
    </row>
    <row r="459" spans="1:11" hidden="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H459" s="5">
        <v>12940</v>
      </c>
      <c r="I459" s="6">
        <v>2413.6749943750001</v>
      </c>
      <c r="J459" s="5">
        <v>17600</v>
      </c>
      <c r="K459" s="6">
        <f t="shared" si="19"/>
        <v>5.3611194672672573</v>
      </c>
    </row>
    <row r="460" spans="1:11" hidden="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H460" s="5">
        <v>9740</v>
      </c>
      <c r="I460" s="6">
        <v>1645.6875</v>
      </c>
      <c r="J460" s="5">
        <v>12000</v>
      </c>
      <c r="K460" s="6">
        <f t="shared" si="19"/>
        <v>5.9184991075158555</v>
      </c>
    </row>
    <row r="461" spans="1:11" hidden="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H461" s="5">
        <v>4680</v>
      </c>
      <c r="I461" s="6">
        <v>726.32013058333712</v>
      </c>
      <c r="J461" s="5">
        <v>5712</v>
      </c>
      <c r="K461" s="6">
        <f t="shared" si="19"/>
        <v>6.4434397491383066</v>
      </c>
    </row>
    <row r="462" spans="1:11" hidden="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H462" s="5">
        <v>5340</v>
      </c>
      <c r="I462" s="6">
        <v>924.39958333667107</v>
      </c>
      <c r="J462" s="5">
        <v>6720</v>
      </c>
      <c r="K462" s="6">
        <f t="shared" si="19"/>
        <v>5.7767226384124672</v>
      </c>
    </row>
    <row r="463" spans="1:11" hidden="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H463" s="5">
        <v>5380</v>
      </c>
      <c r="I463" s="6">
        <v>1122.485208333339</v>
      </c>
      <c r="J463" s="5">
        <v>8160</v>
      </c>
      <c r="K463" s="6">
        <f t="shared" si="19"/>
        <v>4.7929362098126891</v>
      </c>
    </row>
    <row r="464" spans="1:11" hidden="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H464" s="5">
        <v>0</v>
      </c>
      <c r="I464" s="6">
        <v>396.17125000000198</v>
      </c>
      <c r="J464" s="5">
        <v>2880</v>
      </c>
      <c r="K464" s="6">
        <f t="shared" si="19"/>
        <v>0</v>
      </c>
    </row>
    <row r="465" spans="1:11" hidden="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H465" s="5">
        <v>6210</v>
      </c>
      <c r="I465" s="6">
        <v>1535.9749999999999</v>
      </c>
      <c r="J465" s="5">
        <v>11200</v>
      </c>
      <c r="K465" s="6">
        <f t="shared" si="19"/>
        <v>4.0430345545988704</v>
      </c>
    </row>
    <row r="466" spans="1:11" hidden="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H466" s="5">
        <v>7020</v>
      </c>
      <c r="I466" s="6">
        <v>1535.9749999999999</v>
      </c>
      <c r="J466" s="5">
        <v>11200</v>
      </c>
      <c r="K466" s="6">
        <f t="shared" si="19"/>
        <v>4.5703868878074188</v>
      </c>
    </row>
    <row r="467" spans="1:11" hidden="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H467" s="5">
        <v>2580</v>
      </c>
      <c r="I467" s="6">
        <v>594.25687500000299</v>
      </c>
      <c r="J467" s="5">
        <v>4320</v>
      </c>
      <c r="K467" s="6">
        <f t="shared" si="19"/>
        <v>4.3415568393718411</v>
      </c>
    </row>
    <row r="468" spans="1:11" hidden="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H468" s="5">
        <v>11740</v>
      </c>
      <c r="I468" s="6">
        <v>2575.1131250013459</v>
      </c>
      <c r="J468" s="5">
        <v>18720</v>
      </c>
      <c r="K468" s="6">
        <f t="shared" si="19"/>
        <v>4.5590230137923999</v>
      </c>
    </row>
    <row r="469" spans="1:11" hidden="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H469" s="5">
        <v>3330</v>
      </c>
      <c r="I469" s="6">
        <v>528.37931032368999</v>
      </c>
      <c r="J469" s="5">
        <v>4000</v>
      </c>
      <c r="K469" s="6">
        <f t="shared" ref="K469:K475" si="20">IFERROR(H469/I469,"")</f>
        <v>6.3022906744020908</v>
      </c>
    </row>
    <row r="470" spans="1:11" hidden="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H470" s="5">
        <v>4525</v>
      </c>
      <c r="I470" s="6">
        <v>2272.0310343918732</v>
      </c>
      <c r="J470" s="5">
        <v>17200</v>
      </c>
      <c r="K470" s="6">
        <f t="shared" si="20"/>
        <v>1.9916101195383327</v>
      </c>
    </row>
    <row r="471" spans="1:11" hidden="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H471" s="5">
        <v>6700</v>
      </c>
      <c r="I471" s="6">
        <v>1162.4344827121224</v>
      </c>
      <c r="J471" s="5">
        <v>8800</v>
      </c>
      <c r="K471" s="6">
        <f t="shared" si="20"/>
        <v>5.7637657000401106</v>
      </c>
    </row>
    <row r="472" spans="1:11" hidden="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H472" s="5">
        <v>4165</v>
      </c>
      <c r="I472" s="6">
        <v>1162.4344827121181</v>
      </c>
      <c r="J472" s="5">
        <v>8800</v>
      </c>
      <c r="K472" s="6">
        <f t="shared" si="20"/>
        <v>3.5829976329353954</v>
      </c>
    </row>
    <row r="473" spans="1:11" hidden="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H473" s="5">
        <v>5460</v>
      </c>
      <c r="I473" s="6">
        <v>1056.7586206473827</v>
      </c>
      <c r="J473" s="5">
        <v>8000</v>
      </c>
      <c r="K473" s="6">
        <f t="shared" si="20"/>
        <v>5.1667428051404398</v>
      </c>
    </row>
    <row r="474" spans="1:11" hidden="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H474" s="5">
        <v>7260</v>
      </c>
      <c r="I474" s="6">
        <v>1109.596551679753</v>
      </c>
      <c r="J474" s="5">
        <v>8400</v>
      </c>
      <c r="K474" s="6">
        <f t="shared" si="20"/>
        <v>6.5429186752694148</v>
      </c>
    </row>
    <row r="475" spans="1:11" hidden="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H475" s="5">
        <v>10100</v>
      </c>
      <c r="I475" s="6">
        <v>1902.1655171652881</v>
      </c>
      <c r="J475" s="5">
        <v>14400</v>
      </c>
      <c r="K475" s="6">
        <f t="shared" si="20"/>
        <v>5.3097377220104258</v>
      </c>
    </row>
    <row r="476" spans="1:11" hidden="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H476" s="5">
        <v>3475</v>
      </c>
      <c r="I476" s="6">
        <v>951.10714281909407</v>
      </c>
      <c r="J476" s="5">
        <v>7200</v>
      </c>
      <c r="K476" s="6">
        <f t="shared" si="19"/>
        <v>3.6536367392847606</v>
      </c>
    </row>
    <row r="477" spans="1:11" hidden="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H477" s="5">
        <v>14130</v>
      </c>
      <c r="I477" s="6">
        <v>3804.4285712763772</v>
      </c>
      <c r="J477" s="5">
        <v>28800</v>
      </c>
      <c r="K477" s="6">
        <f t="shared" si="19"/>
        <v>3.7140925989995437</v>
      </c>
    </row>
    <row r="478" spans="1:11" hidden="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H478" s="5">
        <v>11790</v>
      </c>
      <c r="I478" s="6">
        <v>2641.8965516184649</v>
      </c>
      <c r="J478" s="5">
        <v>20000</v>
      </c>
      <c r="K478" s="6">
        <f t="shared" si="19"/>
        <v>4.4627031261982122</v>
      </c>
    </row>
    <row r="479" spans="1:11" hidden="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H479" s="5">
        <v>29700</v>
      </c>
      <c r="I479" s="6">
        <v>3592.9793102010913</v>
      </c>
      <c r="J479" s="5">
        <v>26044</v>
      </c>
      <c r="K479" s="6">
        <f t="shared" si="19"/>
        <v>8.266120518889867</v>
      </c>
    </row>
    <row r="480" spans="1:11" hidden="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H480" s="5">
        <v>2475</v>
      </c>
      <c r="I480" s="6">
        <v>1268.1103447768633</v>
      </c>
      <c r="J480" s="5">
        <v>9600</v>
      </c>
      <c r="K480" s="6">
        <f t="shared" si="19"/>
        <v>1.9517229002934291</v>
      </c>
    </row>
    <row r="481" spans="1:11" hidden="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H481" s="5">
        <v>3200</v>
      </c>
      <c r="I481" s="6">
        <v>528.37931032368999</v>
      </c>
      <c r="J481" s="5">
        <v>4000</v>
      </c>
      <c r="K481" s="6">
        <f t="shared" si="19"/>
        <v>6.0562553027287365</v>
      </c>
    </row>
    <row r="482" spans="1:11" hidden="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H482" s="5">
        <v>4170</v>
      </c>
      <c r="I482" s="6">
        <v>1162.4344827121247</v>
      </c>
      <c r="J482" s="5">
        <v>8800</v>
      </c>
      <c r="K482" s="6">
        <f t="shared" si="19"/>
        <v>3.5872989506219723</v>
      </c>
    </row>
    <row r="483" spans="1:11" hidden="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H483" s="5">
        <v>1770</v>
      </c>
      <c r="I483" s="6">
        <v>528.3915024419166</v>
      </c>
      <c r="J483" s="5">
        <v>4000</v>
      </c>
      <c r="K483" s="6">
        <f t="shared" si="19"/>
        <v>3.3497889194282928</v>
      </c>
    </row>
    <row r="484" spans="1:11" hidden="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H484" s="5">
        <v>28590</v>
      </c>
      <c r="I484" s="6">
        <v>3910.1071427007282</v>
      </c>
      <c r="J484" s="5">
        <v>29260</v>
      </c>
      <c r="K484" s="6">
        <f t="shared" si="19"/>
        <v>7.3118201002166812</v>
      </c>
    </row>
    <row r="485" spans="1:11" hidden="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H485" s="5">
        <v>4800</v>
      </c>
      <c r="I485" s="6">
        <v>1902.2142856381945</v>
      </c>
      <c r="J485" s="5">
        <v>14400</v>
      </c>
      <c r="K485" s="6">
        <f t="shared" si="19"/>
        <v>2.5233750141822724</v>
      </c>
    </row>
    <row r="486" spans="1:11" hidden="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H486" s="5">
        <v>5160</v>
      </c>
      <c r="I486" s="6">
        <v>1162.4642856677858</v>
      </c>
      <c r="J486" s="5">
        <v>8800</v>
      </c>
      <c r="K486" s="6">
        <f t="shared" si="19"/>
        <v>4.4388460476751783</v>
      </c>
    </row>
    <row r="487" spans="1:11" hidden="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H487" s="5">
        <v>1890</v>
      </c>
      <c r="I487" s="6">
        <v>317.03571427303262</v>
      </c>
      <c r="J487" s="5">
        <v>2400</v>
      </c>
      <c r="K487" s="6">
        <f t="shared" si="19"/>
        <v>5.9614734710056148</v>
      </c>
    </row>
    <row r="488" spans="1:11" hidden="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H488" s="5">
        <v>2675</v>
      </c>
      <c r="I488" s="6">
        <v>951.10714281875391</v>
      </c>
      <c r="J488" s="5">
        <v>7200</v>
      </c>
      <c r="K488" s="6">
        <f t="shared" si="19"/>
        <v>2.8125117345583397</v>
      </c>
    </row>
    <row r="489" spans="1:11" hidden="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H489" s="5">
        <v>3360</v>
      </c>
      <c r="I489" s="6">
        <v>898.26785710660101</v>
      </c>
      <c r="J489" s="5">
        <v>6800</v>
      </c>
      <c r="K489" s="6">
        <f t="shared" si="19"/>
        <v>3.7405323739656593</v>
      </c>
    </row>
    <row r="490" spans="1:11" hidden="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H490" s="5">
        <v>5775</v>
      </c>
      <c r="I490" s="6">
        <v>1268.1428570916721</v>
      </c>
      <c r="J490" s="5">
        <v>9600</v>
      </c>
      <c r="K490" s="6">
        <f t="shared" si="19"/>
        <v>4.5539033459087124</v>
      </c>
    </row>
    <row r="491" spans="1:11" hidden="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H491" s="5">
        <v>4530</v>
      </c>
      <c r="I491" s="6">
        <v>686.91071425798896</v>
      </c>
      <c r="J491" s="5">
        <v>5200</v>
      </c>
      <c r="K491" s="6">
        <f t="shared" si="19"/>
        <v>6.5947435466825883</v>
      </c>
    </row>
    <row r="492" spans="1:11" hidden="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H492" s="5">
        <v>3850</v>
      </c>
      <c r="I492" s="6">
        <v>845.428571394752</v>
      </c>
      <c r="J492" s="5">
        <v>6400</v>
      </c>
      <c r="K492" s="6">
        <f t="shared" si="19"/>
        <v>4.5539033459070755</v>
      </c>
    </row>
    <row r="493" spans="1:11" hidden="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H493" s="5">
        <v>8925</v>
      </c>
      <c r="I493" s="6">
        <v>4015.7857141250797</v>
      </c>
      <c r="J493" s="5">
        <v>30400</v>
      </c>
      <c r="K493" s="6">
        <f t="shared" si="19"/>
        <v>2.2224791448924441</v>
      </c>
    </row>
    <row r="494" spans="1:11" hidden="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H494" s="5">
        <v>18875</v>
      </c>
      <c r="I494" s="6">
        <v>4015.7857141250793</v>
      </c>
      <c r="J494" s="5">
        <v>30400</v>
      </c>
      <c r="K494" s="6">
        <f t="shared" si="19"/>
        <v>4.700200992699707</v>
      </c>
    </row>
    <row r="495" spans="1:11" hidden="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H495" s="5">
        <v>9900</v>
      </c>
      <c r="I495" s="6">
        <v>2747.5751230427709</v>
      </c>
      <c r="J495" s="5">
        <v>20800</v>
      </c>
      <c r="K495" s="6">
        <f t="shared" si="19"/>
        <v>3.6031771859385442</v>
      </c>
    </row>
    <row r="496" spans="1:11" hidden="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H496" s="5">
        <v>800</v>
      </c>
      <c r="I496" s="6">
        <v>1056.75862064738</v>
      </c>
      <c r="J496" s="5">
        <v>9600</v>
      </c>
      <c r="K496" s="6">
        <f t="shared" si="19"/>
        <v>0.75703191284109206</v>
      </c>
    </row>
    <row r="497" spans="1:11" hidden="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H497" s="5">
        <v>23400</v>
      </c>
      <c r="I497" s="6">
        <v>3592.9793102011122</v>
      </c>
      <c r="J497" s="5">
        <v>27820</v>
      </c>
      <c r="K497" s="6">
        <f t="shared" si="19"/>
        <v>6.5127010148828877</v>
      </c>
    </row>
    <row r="498" spans="1:11" hidden="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H498" s="5">
        <v>16860</v>
      </c>
      <c r="I498" s="6">
        <v>1585.2222221588099</v>
      </c>
      <c r="J498" s="5">
        <v>11490</v>
      </c>
      <c r="K498" s="6">
        <f t="shared" si="19"/>
        <v>10.635732810406527</v>
      </c>
    </row>
    <row r="499" spans="1:11" hidden="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H499" s="5">
        <v>6800</v>
      </c>
      <c r="I499" s="6">
        <v>1796.5851851133182</v>
      </c>
      <c r="J499" s="5">
        <v>13600</v>
      </c>
      <c r="K499" s="6">
        <f t="shared" si="19"/>
        <v>3.7849582955183365</v>
      </c>
    </row>
    <row r="500" spans="1:11" hidden="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H500" s="5">
        <v>9570</v>
      </c>
      <c r="I500" s="6">
        <v>2219.311111022334</v>
      </c>
      <c r="J500" s="5">
        <v>16800</v>
      </c>
      <c r="K500" s="6">
        <f t="shared" si="19"/>
        <v>4.3121489152512478</v>
      </c>
    </row>
    <row r="501" spans="1:11" hidden="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H501" s="5">
        <v>17950</v>
      </c>
      <c r="I501" s="6">
        <v>2959.0814813631118</v>
      </c>
      <c r="J501" s="5">
        <v>22400</v>
      </c>
      <c r="K501" s="6">
        <f t="shared" si="19"/>
        <v>6.0660715539780492</v>
      </c>
    </row>
    <row r="502" spans="1:11" hidden="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H502" s="5">
        <v>1980</v>
      </c>
      <c r="I502" s="6">
        <v>1912.3542857142861</v>
      </c>
      <c r="J502" s="5">
        <v>16320</v>
      </c>
      <c r="K502" s="6">
        <f t="shared" si="19"/>
        <v>1.0353730032092079</v>
      </c>
    </row>
    <row r="503" spans="1:11" hidden="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H503" s="5">
        <v>5475</v>
      </c>
      <c r="I503" s="6">
        <v>2812.2857142428579</v>
      </c>
      <c r="J503" s="5">
        <v>20000</v>
      </c>
      <c r="K503" s="6">
        <f t="shared" si="19"/>
        <v>1.9468149954578906</v>
      </c>
    </row>
    <row r="504" spans="1:11" hidden="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H504" s="5">
        <v>8800</v>
      </c>
      <c r="I504" s="6">
        <v>1768.8376470588223</v>
      </c>
      <c r="J504" s="5">
        <v>12800</v>
      </c>
      <c r="K504" s="6">
        <f t="shared" si="19"/>
        <v>4.9750184900419852</v>
      </c>
    </row>
    <row r="505" spans="1:11" hidden="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H505" s="5">
        <v>9040</v>
      </c>
      <c r="I505" s="6">
        <v>2263.7999998868127</v>
      </c>
      <c r="J505" s="5">
        <v>17920</v>
      </c>
      <c r="K505" s="6">
        <f t="shared" si="19"/>
        <v>3.9932856261383467</v>
      </c>
    </row>
    <row r="506" spans="1:11" hidden="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H506" s="5">
        <v>3870</v>
      </c>
      <c r="I506" s="6">
        <v>994.97117647058747</v>
      </c>
      <c r="J506" s="5">
        <v>7200</v>
      </c>
      <c r="K506" s="6">
        <f t="shared" si="19"/>
        <v>3.8895599103964615</v>
      </c>
    </row>
    <row r="507" spans="1:11" hidden="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H507" s="5">
        <v>4230</v>
      </c>
      <c r="I507" s="6">
        <v>994.97117647058747</v>
      </c>
      <c r="J507" s="5">
        <v>7920</v>
      </c>
      <c r="K507" s="6">
        <f t="shared" si="19"/>
        <v>4.2513794369449691</v>
      </c>
    </row>
    <row r="508" spans="1:11" hidden="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H508" s="5">
        <v>10075</v>
      </c>
      <c r="I508" s="6">
        <v>2263.7999998868127</v>
      </c>
      <c r="J508" s="5">
        <v>17920</v>
      </c>
      <c r="K508" s="6">
        <f t="shared" si="19"/>
        <v>4.4504814915203363</v>
      </c>
    </row>
    <row r="509" spans="1:11" hidden="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H509" s="5">
        <v>37560</v>
      </c>
      <c r="I509" s="6">
        <v>6727.0499997982479</v>
      </c>
      <c r="J509" s="5">
        <v>49210</v>
      </c>
      <c r="K509" s="6">
        <f t="shared" si="19"/>
        <v>5.5834281001518447</v>
      </c>
    </row>
    <row r="510" spans="1:11" hidden="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H510" s="5">
        <v>3480</v>
      </c>
      <c r="I510" s="6">
        <v>994.95</v>
      </c>
      <c r="J510" s="5">
        <v>7200</v>
      </c>
      <c r="K510" s="6">
        <f t="shared" si="19"/>
        <v>3.4976631991557361</v>
      </c>
    </row>
    <row r="511" spans="1:11" hidden="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H511" s="5">
        <v>2980</v>
      </c>
      <c r="I511" s="6">
        <v>831.6</v>
      </c>
      <c r="J511" s="5">
        <v>6300</v>
      </c>
      <c r="K511" s="6">
        <f t="shared" si="19"/>
        <v>3.5834535834535832</v>
      </c>
    </row>
    <row r="512" spans="1:11" hidden="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H512" s="5">
        <v>7375</v>
      </c>
      <c r="I512" s="6">
        <v>1267.2</v>
      </c>
      <c r="J512" s="5">
        <v>9600</v>
      </c>
      <c r="K512" s="6">
        <f t="shared" si="19"/>
        <v>5.8199179292929291</v>
      </c>
    </row>
    <row r="513" spans="1:11" hidden="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H513" s="5">
        <v>2310</v>
      </c>
      <c r="I513" s="6">
        <v>316.8</v>
      </c>
      <c r="J513" s="5">
        <v>2400</v>
      </c>
      <c r="K513" s="6">
        <f t="shared" ref="K513:K576" si="22">+H513/I513</f>
        <v>7.2916666666666661</v>
      </c>
    </row>
    <row r="514" spans="1:11" hidden="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H514" s="5">
        <v>14400</v>
      </c>
      <c r="I514" s="6">
        <v>3603.6</v>
      </c>
      <c r="J514" s="5">
        <v>27296</v>
      </c>
      <c r="K514" s="6">
        <f t="shared" si="22"/>
        <v>3.9960039960039961</v>
      </c>
    </row>
    <row r="515" spans="1:11" hidden="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H515" s="5">
        <v>17650</v>
      </c>
      <c r="I515" s="6">
        <v>3682.8</v>
      </c>
      <c r="J515" s="5">
        <v>27900</v>
      </c>
      <c r="K515" s="6">
        <f t="shared" si="22"/>
        <v>4.7925491473878568</v>
      </c>
    </row>
    <row r="516" spans="1:11" hidden="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H516" s="5">
        <v>13975</v>
      </c>
      <c r="I516" s="6">
        <v>2376</v>
      </c>
      <c r="J516" s="5">
        <v>18000</v>
      </c>
      <c r="K516" s="6">
        <f t="shared" si="22"/>
        <v>5.8817340067340069</v>
      </c>
    </row>
    <row r="517" spans="1:11" hidden="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H517" s="5">
        <v>4020</v>
      </c>
      <c r="I517" s="6">
        <v>950.4</v>
      </c>
      <c r="J517" s="5">
        <v>7200</v>
      </c>
      <c r="K517" s="6">
        <f t="shared" si="22"/>
        <v>4.2297979797979801</v>
      </c>
    </row>
    <row r="518" spans="1:11" hidden="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H518" s="5">
        <v>7175</v>
      </c>
      <c r="I518" s="6">
        <v>1346.4</v>
      </c>
      <c r="J518" s="5">
        <v>10200</v>
      </c>
      <c r="K518" s="6">
        <f t="shared" si="22"/>
        <v>5.3290255496137844</v>
      </c>
    </row>
    <row r="519" spans="1:11" hidden="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H519" s="5">
        <v>14190</v>
      </c>
      <c r="I519" s="6">
        <v>2851.2</v>
      </c>
      <c r="J519" s="5">
        <v>21600</v>
      </c>
      <c r="K519" s="6">
        <f t="shared" si="22"/>
        <v>4.9768518518518521</v>
      </c>
    </row>
    <row r="520" spans="1:11" hidden="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H520" s="5">
        <v>13080</v>
      </c>
      <c r="I520" s="6">
        <v>2138.4</v>
      </c>
      <c r="J520" s="5">
        <v>16200</v>
      </c>
      <c r="K520" s="6">
        <f t="shared" si="22"/>
        <v>6.1167227833894495</v>
      </c>
    </row>
    <row r="521" spans="1:11" hidden="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H521" s="5">
        <v>5475</v>
      </c>
      <c r="I521" s="6">
        <v>963.6</v>
      </c>
      <c r="J521" s="5">
        <v>7570</v>
      </c>
      <c r="K521" s="6">
        <f t="shared" si="22"/>
        <v>5.6818181818181817</v>
      </c>
    </row>
    <row r="522" spans="1:11" hidden="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H522" s="5">
        <v>17675</v>
      </c>
      <c r="I522" s="6">
        <v>3168</v>
      </c>
      <c r="J522" s="5">
        <v>24000</v>
      </c>
      <c r="K522" s="6">
        <f t="shared" si="22"/>
        <v>5.5792297979797976</v>
      </c>
    </row>
    <row r="523" spans="1:11" hidden="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H523" s="5">
        <v>3840</v>
      </c>
      <c r="I523" s="6">
        <v>1188</v>
      </c>
      <c r="J523" s="5">
        <v>9000</v>
      </c>
      <c r="K523" s="6">
        <f t="shared" si="22"/>
        <v>3.2323232323232323</v>
      </c>
    </row>
    <row r="524" spans="1:11" hidden="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H524" s="5">
        <v>13175</v>
      </c>
      <c r="I524" s="6">
        <v>2732.4</v>
      </c>
      <c r="J524" s="5">
        <v>20700</v>
      </c>
      <c r="K524" s="6">
        <f t="shared" si="22"/>
        <v>4.82176840872493</v>
      </c>
    </row>
    <row r="525" spans="1:11" hidden="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H525" s="5">
        <v>2520</v>
      </c>
      <c r="I525" s="6">
        <v>673.2</v>
      </c>
      <c r="J525" s="5">
        <v>5100</v>
      </c>
      <c r="K525" s="6">
        <f t="shared" si="22"/>
        <v>3.7433155080213902</v>
      </c>
    </row>
    <row r="526" spans="1:11" hidden="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H526" s="5">
        <v>2720</v>
      </c>
      <c r="I526" s="6">
        <v>1100.4749999999999</v>
      </c>
      <c r="J526" s="5">
        <v>8000</v>
      </c>
      <c r="K526" s="6">
        <f t="shared" si="22"/>
        <v>2.4716599650151072</v>
      </c>
    </row>
    <row r="527" spans="1:11" hidden="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H527" s="5">
        <v>6500</v>
      </c>
      <c r="I527" s="6">
        <v>1287</v>
      </c>
      <c r="J527" s="5">
        <v>9400</v>
      </c>
      <c r="K527" s="6">
        <f t="shared" si="22"/>
        <v>5.0505050505050502</v>
      </c>
    </row>
    <row r="528" spans="1:11" hidden="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H528" s="5">
        <v>10710</v>
      </c>
      <c r="I528" s="6">
        <v>2641.14</v>
      </c>
      <c r="J528" s="5">
        <v>19200</v>
      </c>
      <c r="K528" s="6">
        <f t="shared" si="22"/>
        <v>4.05506713010291</v>
      </c>
    </row>
    <row r="529" spans="1:11" hidden="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H529" s="5">
        <v>23700</v>
      </c>
      <c r="I529" s="6">
        <v>2641.14</v>
      </c>
      <c r="J529" s="5">
        <v>19200</v>
      </c>
      <c r="K529" s="6">
        <f t="shared" si="22"/>
        <v>8.9733978509280092</v>
      </c>
    </row>
    <row r="530" spans="1:11" hidden="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H530" s="5">
        <v>5430</v>
      </c>
      <c r="I530" s="6">
        <v>1430.6174906250001</v>
      </c>
      <c r="J530" s="5">
        <v>10400</v>
      </c>
      <c r="K530" s="6">
        <f t="shared" si="22"/>
        <v>3.7955638286148536</v>
      </c>
    </row>
    <row r="531" spans="1:11" hidden="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H531" s="5">
        <v>5280</v>
      </c>
      <c r="I531" s="6">
        <v>1430.6175000000001</v>
      </c>
      <c r="J531" s="5">
        <v>10400</v>
      </c>
      <c r="K531" s="6">
        <f t="shared" si="22"/>
        <v>3.690713974909436</v>
      </c>
    </row>
    <row r="532" spans="1:11" hidden="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H532" s="5">
        <v>8010</v>
      </c>
      <c r="I532" s="6">
        <v>2861.2350000000001</v>
      </c>
      <c r="J532" s="5">
        <v>20800</v>
      </c>
      <c r="K532" s="6">
        <f t="shared" si="22"/>
        <v>2.7994904298318732</v>
      </c>
    </row>
    <row r="533" spans="1:11" hidden="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H533" s="5">
        <v>12000</v>
      </c>
      <c r="I533" s="6">
        <v>3071.9505625000002</v>
      </c>
      <c r="J533" s="5">
        <v>22400</v>
      </c>
      <c r="K533" s="6">
        <f t="shared" si="22"/>
        <v>3.9063128640436902</v>
      </c>
    </row>
    <row r="534" spans="1:11" hidden="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H534" s="5">
        <v>7980</v>
      </c>
      <c r="I534" s="6">
        <v>1097.125</v>
      </c>
      <c r="J534" s="5">
        <v>8000</v>
      </c>
      <c r="K534" s="6">
        <f t="shared" si="22"/>
        <v>7.2735558846986441</v>
      </c>
    </row>
    <row r="535" spans="1:11" hidden="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H535" s="5">
        <v>11100</v>
      </c>
      <c r="I535" s="6">
        <v>2852.5250000000001</v>
      </c>
      <c r="J535" s="5">
        <v>20800</v>
      </c>
      <c r="K535" s="6">
        <f t="shared" si="22"/>
        <v>3.8912892963251853</v>
      </c>
    </row>
    <row r="536" spans="1:11" hidden="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H536" s="5">
        <v>16440</v>
      </c>
      <c r="I536" s="6">
        <v>2633.1</v>
      </c>
      <c r="J536" s="5">
        <v>19200</v>
      </c>
      <c r="K536" s="6">
        <f t="shared" si="22"/>
        <v>6.2435912042839243</v>
      </c>
    </row>
    <row r="537" spans="1:11" hidden="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H537" s="5">
        <v>14730</v>
      </c>
      <c r="I537" s="6">
        <v>2633.1</v>
      </c>
      <c r="J537" s="5">
        <v>19200</v>
      </c>
      <c r="K537" s="6">
        <f t="shared" si="22"/>
        <v>5.5941665717215452</v>
      </c>
    </row>
    <row r="538" spans="1:11" hidden="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H538" s="5">
        <v>9720</v>
      </c>
      <c r="I538" s="6">
        <v>2852.5250000000001</v>
      </c>
      <c r="J538" s="5">
        <v>20800</v>
      </c>
      <c r="K538" s="6">
        <f t="shared" si="22"/>
        <v>3.4075073838090812</v>
      </c>
    </row>
    <row r="539" spans="1:11" hidden="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H539" s="5">
        <v>25050</v>
      </c>
      <c r="I539" s="6">
        <v>2852.5250000000001</v>
      </c>
      <c r="J539" s="5">
        <v>20800</v>
      </c>
      <c r="K539" s="6">
        <f t="shared" si="22"/>
        <v>8.7816934119771073</v>
      </c>
    </row>
    <row r="540" spans="1:11" hidden="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H540" s="5">
        <v>10825</v>
      </c>
      <c r="I540" s="6">
        <v>3071.95</v>
      </c>
      <c r="J540" s="5">
        <v>22400</v>
      </c>
      <c r="K540" s="6">
        <f t="shared" si="22"/>
        <v>3.5238203746805778</v>
      </c>
    </row>
    <row r="541" spans="1:11" hidden="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H541" s="5">
        <v>3500</v>
      </c>
      <c r="I541" s="6">
        <v>1645.6875</v>
      </c>
      <c r="J541" s="5">
        <v>12000</v>
      </c>
      <c r="K541" s="6">
        <f t="shared" si="22"/>
        <v>2.1267707265200713</v>
      </c>
    </row>
    <row r="542" spans="1:11" hidden="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H542" s="5">
        <v>13280</v>
      </c>
      <c r="I542" s="6">
        <v>4121.4642855494085</v>
      </c>
      <c r="J542" s="5">
        <v>31200</v>
      </c>
      <c r="K542" s="6">
        <f t="shared" si="22"/>
        <v>3.2221557873404501</v>
      </c>
    </row>
    <row r="543" spans="1:11" hidden="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H543" s="5">
        <v>2310</v>
      </c>
      <c r="I543" s="6">
        <v>1056.7857142434418</v>
      </c>
      <c r="J543" s="5">
        <v>8000</v>
      </c>
      <c r="K543" s="6">
        <f t="shared" si="22"/>
        <v>2.1858736060353925</v>
      </c>
    </row>
    <row r="544" spans="1:11" hidden="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H544" s="5">
        <v>10050</v>
      </c>
      <c r="I544" s="6">
        <v>2641.9642856076484</v>
      </c>
      <c r="J544" s="5">
        <v>19996</v>
      </c>
      <c r="K544" s="6">
        <f t="shared" si="22"/>
        <v>3.8039878338811506</v>
      </c>
    </row>
    <row r="545" spans="1:11" hidden="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H545" s="5">
        <v>2320</v>
      </c>
      <c r="I545" s="6">
        <v>528.39285712153003</v>
      </c>
      <c r="J545" s="5">
        <v>4000</v>
      </c>
      <c r="K545" s="6">
        <f t="shared" si="22"/>
        <v>4.3906725246787381</v>
      </c>
    </row>
    <row r="546" spans="1:11" hidden="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H546" s="5">
        <v>5640</v>
      </c>
      <c r="I546" s="6">
        <v>1902.2142856375078</v>
      </c>
      <c r="J546" s="5">
        <v>14400</v>
      </c>
      <c r="K546" s="6">
        <f t="shared" si="22"/>
        <v>2.9649656416652403</v>
      </c>
    </row>
    <row r="547" spans="1:11" hidden="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H547" s="5">
        <v>2120</v>
      </c>
      <c r="I547" s="6">
        <v>686.89445810058101</v>
      </c>
      <c r="J547" s="5">
        <v>5200</v>
      </c>
      <c r="K547" s="6">
        <f t="shared" si="22"/>
        <v>3.0863547885686557</v>
      </c>
    </row>
    <row r="548" spans="1:11" hidden="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H548" s="5">
        <v>21700</v>
      </c>
      <c r="I548" s="6">
        <v>4487.9999999102474</v>
      </c>
      <c r="J548" s="5">
        <v>31740</v>
      </c>
      <c r="K548" s="6">
        <f t="shared" si="22"/>
        <v>4.8351158646243233</v>
      </c>
    </row>
    <row r="549" spans="1:11" hidden="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H549" s="5">
        <v>2950</v>
      </c>
      <c r="I549" s="6">
        <v>1702.8</v>
      </c>
      <c r="J549" s="5">
        <v>12900</v>
      </c>
      <c r="K549" s="6">
        <f t="shared" si="22"/>
        <v>1.732440685929058</v>
      </c>
    </row>
    <row r="550" spans="1:11" hidden="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H550" s="5">
        <v>8980</v>
      </c>
      <c r="I550" s="6">
        <v>3009.6</v>
      </c>
      <c r="J550" s="5">
        <v>22800</v>
      </c>
      <c r="K550" s="6">
        <f t="shared" si="22"/>
        <v>2.9837852206273259</v>
      </c>
    </row>
    <row r="551" spans="1:11" hidden="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H551" s="5">
        <v>4800</v>
      </c>
      <c r="I551" s="6">
        <v>1386</v>
      </c>
      <c r="J551" s="5">
        <v>10500</v>
      </c>
      <c r="K551" s="6">
        <f t="shared" si="22"/>
        <v>3.4632034632034632</v>
      </c>
    </row>
    <row r="552" spans="1:11" hidden="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H552" s="5">
        <v>4440</v>
      </c>
      <c r="I552" s="6">
        <v>1386</v>
      </c>
      <c r="J552" s="5">
        <v>10500</v>
      </c>
      <c r="K552" s="6">
        <f t="shared" si="22"/>
        <v>3.2034632034632033</v>
      </c>
    </row>
    <row r="553" spans="1:11" hidden="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H553" s="5">
        <v>2250</v>
      </c>
      <c r="I553" s="6">
        <v>1029.5999999999999</v>
      </c>
      <c r="J553" s="5">
        <v>7800</v>
      </c>
      <c r="K553" s="6">
        <f t="shared" si="22"/>
        <v>2.1853146853146854</v>
      </c>
    </row>
    <row r="554" spans="1:11" hidden="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H554" s="5">
        <v>8675</v>
      </c>
      <c r="I554" s="6">
        <v>2653.2</v>
      </c>
      <c r="J554" s="5">
        <v>20100</v>
      </c>
      <c r="K554" s="6">
        <f t="shared" si="22"/>
        <v>3.2696366651590534</v>
      </c>
    </row>
    <row r="555" spans="1:11" hidden="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H555" s="5">
        <v>6270</v>
      </c>
      <c r="I555" s="6">
        <v>1768.8</v>
      </c>
      <c r="J555" s="5">
        <v>13400</v>
      </c>
      <c r="K555" s="6">
        <f t="shared" si="22"/>
        <v>3.544776119402985</v>
      </c>
    </row>
    <row r="556" spans="1:11" hidden="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H556" s="5">
        <v>3690</v>
      </c>
      <c r="I556" s="6">
        <v>1029.5999999999999</v>
      </c>
      <c r="J556" s="5">
        <v>7800</v>
      </c>
      <c r="K556" s="6">
        <f t="shared" si="22"/>
        <v>3.5839160839160842</v>
      </c>
    </row>
    <row r="557" spans="1:11" hidden="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H557" s="5">
        <v>3250</v>
      </c>
      <c r="I557" s="6">
        <v>1346.4</v>
      </c>
      <c r="J557" s="5">
        <v>10200</v>
      </c>
      <c r="K557" s="6">
        <f t="shared" si="22"/>
        <v>2.4138443256090314</v>
      </c>
    </row>
    <row r="558" spans="1:11" hidden="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H558" s="5">
        <v>1170</v>
      </c>
      <c r="I558" s="6">
        <v>440.18999062500001</v>
      </c>
      <c r="J558" s="5">
        <v>3200</v>
      </c>
      <c r="K558" s="6">
        <f t="shared" si="22"/>
        <v>2.6579432175156583</v>
      </c>
    </row>
    <row r="559" spans="1:11" hidden="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H559" s="5">
        <v>2525</v>
      </c>
      <c r="I559" s="6">
        <v>880.38</v>
      </c>
      <c r="J559" s="5">
        <v>6400</v>
      </c>
      <c r="K559" s="6">
        <f t="shared" si="22"/>
        <v>2.8680796928599013</v>
      </c>
    </row>
    <row r="560" spans="1:11" hidden="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H560" s="5">
        <v>650</v>
      </c>
      <c r="I560" s="6">
        <v>330.14249999999998</v>
      </c>
      <c r="J560" s="5">
        <v>2400</v>
      </c>
      <c r="K560" s="6">
        <f t="shared" si="22"/>
        <v>1.9688467858576222</v>
      </c>
    </row>
    <row r="561" spans="1:11" hidden="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H561" s="5">
        <v>7825</v>
      </c>
      <c r="I561" s="6">
        <v>1650.7125000000001</v>
      </c>
      <c r="J561" s="5">
        <v>12000</v>
      </c>
      <c r="K561" s="6">
        <f t="shared" si="22"/>
        <v>4.7403772613341202</v>
      </c>
    </row>
    <row r="562" spans="1:11" hidden="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H562" s="5">
        <v>6040</v>
      </c>
      <c r="I562" s="6">
        <v>1287.0000000000018</v>
      </c>
      <c r="J562" s="5">
        <v>9400</v>
      </c>
      <c r="K562" s="6">
        <f t="shared" si="22"/>
        <v>4.6930846930846863</v>
      </c>
    </row>
    <row r="563" spans="1:11" hidden="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H563" s="5">
        <v>10100</v>
      </c>
      <c r="I563" s="6">
        <v>2641.14</v>
      </c>
      <c r="J563" s="5">
        <v>19200</v>
      </c>
      <c r="K563" s="6">
        <f t="shared" si="22"/>
        <v>3.8241062571465352</v>
      </c>
    </row>
    <row r="564" spans="1:11" hidden="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H564" s="5">
        <v>3780</v>
      </c>
      <c r="I564" s="6">
        <v>880.38</v>
      </c>
      <c r="J564" s="5">
        <v>6400</v>
      </c>
      <c r="K564" s="6">
        <f t="shared" si="22"/>
        <v>4.293600490697199</v>
      </c>
    </row>
    <row r="565" spans="1:11" hidden="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H565" s="5">
        <v>3640</v>
      </c>
      <c r="I565" s="6">
        <v>880.38</v>
      </c>
      <c r="J565" s="5">
        <v>6400</v>
      </c>
      <c r="K565" s="6">
        <f t="shared" si="22"/>
        <v>4.134578250301006</v>
      </c>
    </row>
    <row r="566" spans="1:11" hidden="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H566" s="5">
        <v>890</v>
      </c>
      <c r="I566" s="6">
        <v>1755.4</v>
      </c>
      <c r="J566" s="5">
        <v>12800</v>
      </c>
      <c r="K566" s="6">
        <f t="shared" si="22"/>
        <v>0.50700694998290985</v>
      </c>
    </row>
    <row r="567" spans="1:11" hidden="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H567" s="5">
        <v>8700</v>
      </c>
      <c r="I567" s="6">
        <v>2413.6749943750001</v>
      </c>
      <c r="J567" s="5">
        <v>17600</v>
      </c>
      <c r="K567" s="6">
        <f t="shared" si="22"/>
        <v>3.60446208386593</v>
      </c>
    </row>
    <row r="568" spans="1:11" hidden="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H568" s="5">
        <v>5600</v>
      </c>
      <c r="I568" s="6">
        <v>1645.6875</v>
      </c>
      <c r="J568" s="5">
        <v>12000</v>
      </c>
      <c r="K568" s="6">
        <f t="shared" si="22"/>
        <v>3.4028331624321142</v>
      </c>
    </row>
    <row r="569" spans="1:11" hidden="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H569" s="5">
        <v>2780</v>
      </c>
      <c r="I569" s="6">
        <v>726.32013058333712</v>
      </c>
      <c r="J569" s="5">
        <v>5712</v>
      </c>
      <c r="K569" s="6">
        <f t="shared" si="22"/>
        <v>3.8275133552573704</v>
      </c>
    </row>
    <row r="570" spans="1:11" hidden="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H570" s="5">
        <v>3150</v>
      </c>
      <c r="I570" s="6">
        <v>924.39958333667107</v>
      </c>
      <c r="J570" s="5">
        <v>6720</v>
      </c>
      <c r="K570" s="6">
        <f t="shared" si="22"/>
        <v>3.4076172867039833</v>
      </c>
    </row>
    <row r="571" spans="1:11" hidden="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H571" s="5">
        <v>2820</v>
      </c>
      <c r="I571" s="6">
        <v>1122.485208333339</v>
      </c>
      <c r="J571" s="5">
        <v>8160</v>
      </c>
      <c r="K571" s="6">
        <f t="shared" si="22"/>
        <v>2.5122825486378777</v>
      </c>
    </row>
    <row r="572" spans="1:11" hidden="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H572" s="5">
        <v>100</v>
      </c>
      <c r="I572" s="6">
        <v>396.17125000000198</v>
      </c>
      <c r="J572" s="5">
        <v>2880</v>
      </c>
      <c r="K572" s="6">
        <f t="shared" si="22"/>
        <v>0.25241609531231635</v>
      </c>
    </row>
    <row r="573" spans="1:11" hidden="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H573" s="5">
        <v>4890</v>
      </c>
      <c r="I573" s="6">
        <v>1535.9749999999999</v>
      </c>
      <c r="J573" s="5">
        <v>11200</v>
      </c>
      <c r="K573" s="6">
        <f t="shared" si="22"/>
        <v>3.1836455671479031</v>
      </c>
    </row>
    <row r="574" spans="1:11" hidden="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H574" s="5">
        <v>5960</v>
      </c>
      <c r="I574" s="6">
        <v>1535.9749999999999</v>
      </c>
      <c r="J574" s="5">
        <v>11200</v>
      </c>
      <c r="K574" s="6">
        <f t="shared" si="22"/>
        <v>3.8802714887937633</v>
      </c>
    </row>
    <row r="575" spans="1:11" hidden="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H575" s="5">
        <v>1920</v>
      </c>
      <c r="I575" s="6">
        <v>594.25687500000299</v>
      </c>
      <c r="J575" s="5">
        <v>4320</v>
      </c>
      <c r="K575" s="6">
        <f t="shared" si="22"/>
        <v>3.2309260199976491</v>
      </c>
    </row>
    <row r="576" spans="1:11" hidden="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H576" s="5">
        <v>10040</v>
      </c>
      <c r="I576" s="6">
        <v>2575.1131250013459</v>
      </c>
      <c r="J576" s="5">
        <v>18720</v>
      </c>
      <c r="K576" s="6">
        <f t="shared" si="22"/>
        <v>3.8988578414374522</v>
      </c>
    </row>
    <row r="577" spans="1:11" hidden="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H577" s="5">
        <v>1860</v>
      </c>
      <c r="I577" s="6">
        <v>528.37931032368999</v>
      </c>
      <c r="J577" s="5">
        <v>4000</v>
      </c>
      <c r="K577" s="6">
        <f t="shared" ref="K577:K583" si="24">IFERROR(H577/I577,"")</f>
        <v>3.5201983947110778</v>
      </c>
    </row>
    <row r="578" spans="1:11" hidden="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H578" s="5">
        <v>4175</v>
      </c>
      <c r="I578" s="6">
        <v>2272.0310343918732</v>
      </c>
      <c r="J578" s="5">
        <v>17200</v>
      </c>
      <c r="K578" s="6">
        <f t="shared" si="24"/>
        <v>1.8375629279718317</v>
      </c>
    </row>
    <row r="579" spans="1:11" hidden="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H579" s="5">
        <v>3950</v>
      </c>
      <c r="I579" s="6">
        <v>1162.4344827121224</v>
      </c>
      <c r="J579" s="5">
        <v>8800</v>
      </c>
      <c r="K579" s="6">
        <f t="shared" si="24"/>
        <v>3.3980409724117071</v>
      </c>
    </row>
    <row r="580" spans="1:11" hidden="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H580" s="5">
        <v>2240</v>
      </c>
      <c r="I580" s="6">
        <v>1162.4344827121181</v>
      </c>
      <c r="J580" s="5">
        <v>8800</v>
      </c>
      <c r="K580" s="6">
        <f t="shared" si="24"/>
        <v>1.9269903235955068</v>
      </c>
    </row>
    <row r="581" spans="1:11" hidden="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H581" s="5">
        <v>3690</v>
      </c>
      <c r="I581" s="6">
        <v>1056.7586206473827</v>
      </c>
      <c r="J581" s="5">
        <v>8000</v>
      </c>
      <c r="K581" s="6">
        <f t="shared" si="24"/>
        <v>3.4918096979795279</v>
      </c>
    </row>
    <row r="582" spans="1:11" hidden="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H582" s="5">
        <v>3180</v>
      </c>
      <c r="I582" s="6">
        <v>1109.596551679753</v>
      </c>
      <c r="J582" s="5">
        <v>8400</v>
      </c>
      <c r="K582" s="6">
        <f t="shared" si="24"/>
        <v>2.8659065271841238</v>
      </c>
    </row>
    <row r="583" spans="1:11" hidden="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H583" s="5">
        <v>6825</v>
      </c>
      <c r="I583" s="6">
        <v>1902.1655171652881</v>
      </c>
      <c r="J583" s="5">
        <v>14400</v>
      </c>
      <c r="K583" s="6">
        <f t="shared" si="24"/>
        <v>3.5880158369030846</v>
      </c>
    </row>
    <row r="584" spans="1:11" hidden="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H584" s="5">
        <v>3350</v>
      </c>
      <c r="I584" s="6">
        <v>951.10714281909407</v>
      </c>
      <c r="J584" s="5">
        <v>7200</v>
      </c>
      <c r="K584" s="6">
        <f t="shared" ref="K584:K648" si="25">+H584/I584</f>
        <v>3.5222109572961</v>
      </c>
    </row>
    <row r="585" spans="1:11" hidden="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H585" s="5">
        <v>6780</v>
      </c>
      <c r="I585" s="6">
        <v>3804.4285712763772</v>
      </c>
      <c r="J585" s="5">
        <v>28800</v>
      </c>
      <c r="K585" s="6">
        <f t="shared" si="25"/>
        <v>1.7821336037662354</v>
      </c>
    </row>
    <row r="586" spans="1:11" hidden="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H586" s="5">
        <v>6120</v>
      </c>
      <c r="I586" s="6">
        <v>2641.8965516184649</v>
      </c>
      <c r="J586" s="5">
        <v>20000</v>
      </c>
      <c r="K586" s="6">
        <f t="shared" si="25"/>
        <v>2.3165176532937286</v>
      </c>
    </row>
    <row r="587" spans="1:11" hidden="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H587" s="5">
        <v>15270</v>
      </c>
      <c r="I587" s="6">
        <v>3592.9793102010913</v>
      </c>
      <c r="J587" s="5">
        <v>26044</v>
      </c>
      <c r="K587" s="6">
        <f t="shared" si="25"/>
        <v>4.2499548930453965</v>
      </c>
    </row>
    <row r="588" spans="1:11" hidden="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H588" s="5">
        <v>2400</v>
      </c>
      <c r="I588" s="6">
        <v>1268.1103447768633</v>
      </c>
      <c r="J588" s="5">
        <v>9600</v>
      </c>
      <c r="K588" s="6">
        <f t="shared" si="25"/>
        <v>1.8925797821027193</v>
      </c>
    </row>
    <row r="589" spans="1:11" hidden="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H589" s="5">
        <v>1950</v>
      </c>
      <c r="I589" s="6">
        <v>528.37931032368999</v>
      </c>
      <c r="J589" s="5">
        <v>4000</v>
      </c>
      <c r="K589" s="6">
        <f t="shared" si="25"/>
        <v>3.6905305751003237</v>
      </c>
    </row>
    <row r="590" spans="1:11" hidden="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H590" s="5">
        <v>2550</v>
      </c>
      <c r="I590" s="6">
        <v>1162.4344827121247</v>
      </c>
      <c r="J590" s="5">
        <v>8800</v>
      </c>
      <c r="K590" s="6">
        <f t="shared" si="25"/>
        <v>2.1936720201645152</v>
      </c>
    </row>
    <row r="591" spans="1:11" hidden="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H591" s="5">
        <v>1650</v>
      </c>
      <c r="I591" s="6">
        <v>528.3915024419166</v>
      </c>
      <c r="J591" s="5">
        <v>4000</v>
      </c>
      <c r="K591" s="6">
        <f t="shared" si="25"/>
        <v>3.1226845859077308</v>
      </c>
    </row>
    <row r="592" spans="1:11" hidden="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H592" s="5">
        <v>12360</v>
      </c>
      <c r="I592" s="6">
        <v>3910.1071427007282</v>
      </c>
      <c r="J592" s="5">
        <v>29260</v>
      </c>
      <c r="K592" s="6">
        <f t="shared" si="25"/>
        <v>3.1610387001986071</v>
      </c>
    </row>
    <row r="593" spans="1:11" hidden="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H593" s="5">
        <v>4520</v>
      </c>
      <c r="I593" s="6">
        <v>1902.2142856381945</v>
      </c>
      <c r="J593" s="5">
        <v>14400</v>
      </c>
      <c r="K593" s="6">
        <f t="shared" si="25"/>
        <v>2.3761781383549732</v>
      </c>
    </row>
    <row r="594" spans="1:11" hidden="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H594" s="5">
        <v>3120</v>
      </c>
      <c r="I594" s="6">
        <v>1162.4642856677858</v>
      </c>
      <c r="J594" s="5">
        <v>8800</v>
      </c>
      <c r="K594" s="6">
        <f t="shared" si="25"/>
        <v>2.6839534241756891</v>
      </c>
    </row>
    <row r="595" spans="1:11" hidden="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H595" s="5">
        <v>870</v>
      </c>
      <c r="I595" s="6">
        <v>317.03571427303262</v>
      </c>
      <c r="J595" s="5">
        <v>2400</v>
      </c>
      <c r="K595" s="6">
        <f t="shared" si="25"/>
        <v>2.7441703279232192</v>
      </c>
    </row>
    <row r="596" spans="1:11" hidden="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H596" s="5">
        <v>1875</v>
      </c>
      <c r="I596" s="6">
        <v>951.10714281875391</v>
      </c>
      <c r="J596" s="5">
        <v>7200</v>
      </c>
      <c r="K596" s="6">
        <f t="shared" si="25"/>
        <v>1.9713867298306118</v>
      </c>
    </row>
    <row r="597" spans="1:11" hidden="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H597" s="5">
        <v>1380</v>
      </c>
      <c r="I597" s="6">
        <v>898.26785710660101</v>
      </c>
      <c r="J597" s="5">
        <v>6800</v>
      </c>
      <c r="K597" s="6">
        <f t="shared" si="25"/>
        <v>1.5362900821644672</v>
      </c>
    </row>
    <row r="598" spans="1:11" hidden="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H598" s="5">
        <v>3050</v>
      </c>
      <c r="I598" s="6">
        <v>1162.4642856673661</v>
      </c>
      <c r="J598" s="5">
        <v>8800</v>
      </c>
      <c r="K598" s="6">
        <f t="shared" si="25"/>
        <v>2.6237365204291048</v>
      </c>
    </row>
    <row r="599" spans="1:11" hidden="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H599" s="5">
        <v>0</v>
      </c>
      <c r="I599" s="6">
        <v>105.68</v>
      </c>
      <c r="J599" s="5">
        <v>0</v>
      </c>
      <c r="K599" s="6">
        <f t="shared" si="25"/>
        <v>0</v>
      </c>
    </row>
    <row r="600" spans="1:11" hidden="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H600" s="5">
        <v>3210</v>
      </c>
      <c r="I600" s="6">
        <v>686.91071425798896</v>
      </c>
      <c r="J600" s="5">
        <v>5200</v>
      </c>
      <c r="K600" s="6">
        <f t="shared" si="25"/>
        <v>4.6730964204969334</v>
      </c>
    </row>
    <row r="601" spans="1:11" hidden="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H601" s="5">
        <v>2075</v>
      </c>
      <c r="I601" s="6">
        <v>845.428571394752</v>
      </c>
      <c r="J601" s="5">
        <v>6400</v>
      </c>
      <c r="K601" s="6">
        <f t="shared" si="25"/>
        <v>2.4543764786382289</v>
      </c>
    </row>
    <row r="602" spans="1:11" hidden="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H602" s="5">
        <v>6075</v>
      </c>
      <c r="I602" s="6">
        <v>3910.11</v>
      </c>
      <c r="J602" s="5">
        <v>29600</v>
      </c>
      <c r="K602" s="6">
        <f t="shared" si="25"/>
        <v>1.5536647306597513</v>
      </c>
    </row>
    <row r="603" spans="1:11" hidden="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H603" s="5">
        <v>12550</v>
      </c>
      <c r="I603" s="6">
        <v>4015.7857141250793</v>
      </c>
      <c r="J603" s="5">
        <v>30400</v>
      </c>
      <c r="K603" s="6">
        <f t="shared" si="25"/>
        <v>3.1251667527619245</v>
      </c>
    </row>
    <row r="604" spans="1:11" hidden="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H604" s="5">
        <v>0</v>
      </c>
      <c r="I604" s="6">
        <v>105.68</v>
      </c>
      <c r="J604" s="5">
        <v>0</v>
      </c>
      <c r="K604" s="6">
        <f t="shared" si="25"/>
        <v>0</v>
      </c>
    </row>
    <row r="605" spans="1:11" hidden="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H605" s="5">
        <v>6180</v>
      </c>
      <c r="I605" s="6">
        <v>2747.5751230427709</v>
      </c>
      <c r="J605" s="5">
        <v>20800</v>
      </c>
      <c r="K605" s="6">
        <f t="shared" si="25"/>
        <v>2.2492560615252728</v>
      </c>
    </row>
    <row r="606" spans="1:11" hidden="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H606" s="5">
        <v>725</v>
      </c>
      <c r="I606" s="6">
        <v>1056.75862064738</v>
      </c>
      <c r="J606" s="5">
        <v>9600</v>
      </c>
      <c r="K606" s="6">
        <f t="shared" si="25"/>
        <v>0.68606017101223971</v>
      </c>
    </row>
    <row r="607" spans="1:11" hidden="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H607" s="5">
        <v>16530</v>
      </c>
      <c r="I607" s="6">
        <v>3592.9793102011122</v>
      </c>
      <c r="J607" s="5">
        <v>27820</v>
      </c>
      <c r="K607" s="6">
        <f t="shared" si="25"/>
        <v>4.6006387938467572</v>
      </c>
    </row>
    <row r="608" spans="1:11" hidden="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H608" s="5">
        <v>7890</v>
      </c>
      <c r="I608" s="6">
        <v>1585.2222221588099</v>
      </c>
      <c r="J608" s="5">
        <v>11490</v>
      </c>
      <c r="K608" s="6">
        <f t="shared" si="25"/>
        <v>4.9772201586066132</v>
      </c>
    </row>
    <row r="609" spans="1:11" hidden="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H609" s="5">
        <v>2725</v>
      </c>
      <c r="I609" s="6">
        <v>1796.5851851133182</v>
      </c>
      <c r="J609" s="5">
        <v>13600</v>
      </c>
      <c r="K609" s="6">
        <f t="shared" si="25"/>
        <v>1.5167663757775687</v>
      </c>
    </row>
    <row r="610" spans="1:11" hidden="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H610" s="5">
        <v>4620</v>
      </c>
      <c r="I610" s="6">
        <v>2219.311111022334</v>
      </c>
      <c r="J610" s="5">
        <v>16800</v>
      </c>
      <c r="K610" s="6">
        <f t="shared" si="25"/>
        <v>2.0817270625350854</v>
      </c>
    </row>
    <row r="611" spans="1:11" hidden="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H611" s="5">
        <v>9500</v>
      </c>
      <c r="I611" s="6">
        <v>2959.0814813631118</v>
      </c>
      <c r="J611" s="5">
        <v>22400</v>
      </c>
      <c r="K611" s="6">
        <f t="shared" si="25"/>
        <v>3.2104556970914468</v>
      </c>
    </row>
    <row r="612" spans="1:11" hidden="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H612" s="5">
        <v>1220</v>
      </c>
      <c r="I612" s="6">
        <v>1912.3542857142861</v>
      </c>
      <c r="J612" s="5">
        <v>16320</v>
      </c>
      <c r="K612" s="6">
        <f t="shared" si="25"/>
        <v>0.63795710298749175</v>
      </c>
    </row>
    <row r="613" spans="1:11" hidden="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H613" s="5">
        <v>6775</v>
      </c>
      <c r="I613" s="6">
        <v>2812.2857142428579</v>
      </c>
      <c r="J613" s="5">
        <v>20000</v>
      </c>
      <c r="K613" s="6">
        <f t="shared" si="25"/>
        <v>2.4090724373017731</v>
      </c>
    </row>
    <row r="614" spans="1:11" hidden="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H614" s="5">
        <v>3975</v>
      </c>
      <c r="I614" s="6">
        <v>1768.8376470588223</v>
      </c>
      <c r="J614" s="5">
        <v>12800</v>
      </c>
      <c r="K614" s="6">
        <f t="shared" si="25"/>
        <v>2.2472384656723738</v>
      </c>
    </row>
    <row r="615" spans="1:11" hidden="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H615" s="5">
        <v>6460</v>
      </c>
      <c r="I615" s="6">
        <v>2263.7999998868127</v>
      </c>
      <c r="J615" s="5">
        <v>17920</v>
      </c>
      <c r="K615" s="6">
        <f t="shared" si="25"/>
        <v>2.8536089762006327</v>
      </c>
    </row>
    <row r="616" spans="1:11" hidden="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H616" s="5">
        <v>1950</v>
      </c>
      <c r="I616" s="6">
        <v>994.97117647058747</v>
      </c>
      <c r="J616" s="5">
        <v>7200</v>
      </c>
      <c r="K616" s="6">
        <f t="shared" si="25"/>
        <v>1.9598557688044185</v>
      </c>
    </row>
    <row r="617" spans="1:11" hidden="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H617" s="5">
        <v>2670</v>
      </c>
      <c r="I617" s="6">
        <v>994.97117647058747</v>
      </c>
      <c r="J617" s="5">
        <v>7920</v>
      </c>
      <c r="K617" s="6">
        <f t="shared" si="25"/>
        <v>2.6834948219014345</v>
      </c>
    </row>
    <row r="618" spans="1:11" hidden="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H618" s="5">
        <v>6825</v>
      </c>
      <c r="I618" s="6">
        <v>2263.7999998868127</v>
      </c>
      <c r="J618" s="5">
        <v>17920</v>
      </c>
      <c r="K618" s="6">
        <f t="shared" si="25"/>
        <v>3.0148423007073251</v>
      </c>
    </row>
    <row r="619" spans="1:11" hidden="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H619" s="5">
        <v>18480</v>
      </c>
      <c r="I619" s="6">
        <v>6727.0499997982479</v>
      </c>
      <c r="J619" s="5">
        <v>49210</v>
      </c>
      <c r="K619" s="6">
        <f t="shared" si="25"/>
        <v>2.7471179789884475</v>
      </c>
    </row>
    <row r="620" spans="1:11" hidden="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H620" s="5">
        <v>3390</v>
      </c>
      <c r="I620" s="6">
        <v>994.95</v>
      </c>
      <c r="J620" s="5">
        <v>7200</v>
      </c>
      <c r="K620" s="6">
        <f t="shared" si="25"/>
        <v>3.4072063922810192</v>
      </c>
    </row>
    <row r="621" spans="1:11" hidden="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H621" s="5">
        <v>1800</v>
      </c>
      <c r="I621" s="6">
        <v>831.6</v>
      </c>
      <c r="J621" s="5">
        <v>6300</v>
      </c>
      <c r="K621" s="6">
        <f t="shared" si="25"/>
        <v>2.1645021645021645</v>
      </c>
    </row>
    <row r="622" spans="1:11" hidden="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H622" s="5">
        <v>4050</v>
      </c>
      <c r="I622" s="6">
        <v>1267.2</v>
      </c>
      <c r="J622" s="5">
        <v>9600</v>
      </c>
      <c r="K622" s="6">
        <f t="shared" si="25"/>
        <v>3.1960227272727271</v>
      </c>
    </row>
    <row r="623" spans="1:11" hidden="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H623" s="5">
        <v>1550</v>
      </c>
      <c r="I623" s="6">
        <v>316.8</v>
      </c>
      <c r="J623" s="5">
        <v>2400</v>
      </c>
      <c r="K623" s="6">
        <f t="shared" si="25"/>
        <v>4.8926767676767673</v>
      </c>
    </row>
    <row r="624" spans="1:11" hidden="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H624" s="5">
        <v>9840</v>
      </c>
      <c r="I624" s="6">
        <v>3603.6</v>
      </c>
      <c r="J624" s="5">
        <v>27296</v>
      </c>
      <c r="K624" s="6">
        <f t="shared" si="25"/>
        <v>2.7306027306027305</v>
      </c>
    </row>
    <row r="625" spans="1:11" hidden="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H625" s="5">
        <v>13250</v>
      </c>
      <c r="I625" s="6">
        <v>3682.8</v>
      </c>
      <c r="J625" s="5">
        <v>27900</v>
      </c>
      <c r="K625" s="6">
        <f t="shared" si="25"/>
        <v>3.5978060171608557</v>
      </c>
    </row>
    <row r="626" spans="1:11" hidden="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H626" s="5">
        <v>8900</v>
      </c>
      <c r="I626" s="6">
        <v>2376</v>
      </c>
      <c r="J626" s="5">
        <v>18000</v>
      </c>
      <c r="K626" s="6">
        <f t="shared" si="25"/>
        <v>3.7457912457912457</v>
      </c>
    </row>
    <row r="627" spans="1:11" hidden="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H627" s="5">
        <v>3660</v>
      </c>
      <c r="I627" s="6">
        <v>950.4</v>
      </c>
      <c r="J627" s="5">
        <v>7200</v>
      </c>
      <c r="K627" s="6">
        <f t="shared" si="25"/>
        <v>3.8510101010101012</v>
      </c>
    </row>
    <row r="628" spans="1:11" hidden="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H628" s="5">
        <v>4850</v>
      </c>
      <c r="I628" s="6">
        <v>1346.4</v>
      </c>
      <c r="J628" s="5">
        <v>10200</v>
      </c>
      <c r="K628" s="6">
        <f t="shared" si="25"/>
        <v>3.6021984551396313</v>
      </c>
    </row>
    <row r="629" spans="1:11" hidden="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H629" s="5">
        <v>10620</v>
      </c>
      <c r="I629" s="6">
        <v>2851.2</v>
      </c>
      <c r="J629" s="5">
        <v>21600</v>
      </c>
      <c r="K629" s="6">
        <f t="shared" si="25"/>
        <v>3.7247474747474749</v>
      </c>
    </row>
    <row r="630" spans="1:11" hidden="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H630" s="5">
        <v>6360</v>
      </c>
      <c r="I630" s="6">
        <v>2138.4</v>
      </c>
      <c r="J630" s="5">
        <v>16200</v>
      </c>
      <c r="K630" s="6">
        <f t="shared" si="25"/>
        <v>2.9741863075196409</v>
      </c>
    </row>
    <row r="631" spans="1:11" hidden="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H631" s="5">
        <v>3150</v>
      </c>
      <c r="I631" s="6">
        <v>963.6</v>
      </c>
      <c r="J631" s="5">
        <v>7570</v>
      </c>
      <c r="K631" s="6">
        <f t="shared" si="25"/>
        <v>3.2689912826899126</v>
      </c>
    </row>
    <row r="632" spans="1:11" hidden="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H632" s="5">
        <v>10100</v>
      </c>
      <c r="I632" s="6">
        <v>3168</v>
      </c>
      <c r="J632" s="5">
        <v>24000</v>
      </c>
      <c r="K632" s="6">
        <f t="shared" si="25"/>
        <v>3.1881313131313131</v>
      </c>
    </row>
    <row r="633" spans="1:11" hidden="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H633" s="5">
        <v>3810</v>
      </c>
      <c r="I633" s="6">
        <v>1188</v>
      </c>
      <c r="J633" s="5">
        <v>9000</v>
      </c>
      <c r="K633" s="6">
        <f t="shared" si="25"/>
        <v>3.2070707070707072</v>
      </c>
    </row>
    <row r="634" spans="1:11" hidden="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H634" s="5">
        <v>8000</v>
      </c>
      <c r="I634" s="6">
        <v>2732.4</v>
      </c>
      <c r="J634" s="5">
        <v>20700</v>
      </c>
      <c r="K634" s="6">
        <f t="shared" si="25"/>
        <v>2.9278290147855364</v>
      </c>
    </row>
    <row r="635" spans="1:11" hidden="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H635" s="5">
        <v>1020</v>
      </c>
      <c r="I635" s="6">
        <v>673.2</v>
      </c>
      <c r="J635" s="5">
        <v>5100</v>
      </c>
      <c r="K635" s="6">
        <f t="shared" si="25"/>
        <v>1.5151515151515151</v>
      </c>
    </row>
    <row r="636" spans="1:11" hidden="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H636" s="5">
        <v>3620</v>
      </c>
      <c r="I636" s="6">
        <v>1100.4749999999999</v>
      </c>
      <c r="J636" s="5">
        <v>8000</v>
      </c>
      <c r="K636" s="6">
        <f t="shared" si="25"/>
        <v>3.2894886299098118</v>
      </c>
    </row>
    <row r="637" spans="1:11" hidden="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H637" s="5">
        <v>4600</v>
      </c>
      <c r="I637" s="6">
        <v>1287</v>
      </c>
      <c r="J637" s="5">
        <v>9400</v>
      </c>
      <c r="K637" s="6">
        <f t="shared" si="25"/>
        <v>3.5742035742035743</v>
      </c>
    </row>
    <row r="638" spans="1:11" hidden="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H638" s="5">
        <v>6960</v>
      </c>
      <c r="I638" s="6">
        <v>2641.14</v>
      </c>
      <c r="J638" s="5">
        <v>19200</v>
      </c>
      <c r="K638" s="6">
        <f t="shared" si="25"/>
        <v>2.635225697994048</v>
      </c>
    </row>
    <row r="639" spans="1:11" hidden="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H639" s="5">
        <v>12675</v>
      </c>
      <c r="I639" s="6">
        <v>2641.14</v>
      </c>
      <c r="J639" s="5">
        <v>19200</v>
      </c>
      <c r="K639" s="6">
        <f t="shared" si="25"/>
        <v>4.7990640405279539</v>
      </c>
    </row>
    <row r="640" spans="1:11" hidden="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H640" s="5">
        <v>3840</v>
      </c>
      <c r="I640" s="6">
        <v>1430.6174906250001</v>
      </c>
      <c r="J640" s="5">
        <v>10400</v>
      </c>
      <c r="K640" s="6">
        <f t="shared" si="25"/>
        <v>2.6841556357055318</v>
      </c>
    </row>
    <row r="641" spans="1:11" hidden="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H641" s="5">
        <v>3060</v>
      </c>
      <c r="I641" s="6">
        <v>1430.6175000000001</v>
      </c>
      <c r="J641" s="5">
        <v>10400</v>
      </c>
      <c r="K641" s="6">
        <f t="shared" si="25"/>
        <v>2.1389365081861502</v>
      </c>
    </row>
    <row r="642" spans="1:11" hidden="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H642" s="5">
        <v>7620</v>
      </c>
      <c r="I642" s="6">
        <v>2861.2350000000001</v>
      </c>
      <c r="J642" s="5">
        <v>20800</v>
      </c>
      <c r="K642" s="6">
        <f t="shared" si="25"/>
        <v>2.6631856523494224</v>
      </c>
    </row>
    <row r="643" spans="1:11" hidden="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H643" s="5">
        <v>8400</v>
      </c>
      <c r="I643" s="6">
        <v>3071.9505625000002</v>
      </c>
      <c r="J643" s="5">
        <v>22400</v>
      </c>
      <c r="K643" s="6">
        <f t="shared" si="25"/>
        <v>2.734419004830583</v>
      </c>
    </row>
    <row r="644" spans="1:11" hidden="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H644" s="5">
        <v>4000</v>
      </c>
      <c r="I644" s="6">
        <v>1097.125</v>
      </c>
      <c r="J644" s="5">
        <v>8000</v>
      </c>
      <c r="K644" s="6">
        <f t="shared" si="25"/>
        <v>3.6458926740344082</v>
      </c>
    </row>
    <row r="645" spans="1:11" hidden="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H645" s="5">
        <v>6200</v>
      </c>
      <c r="I645" s="6">
        <v>2852.5250000000001</v>
      </c>
      <c r="J645" s="5">
        <v>20800</v>
      </c>
      <c r="K645" s="6">
        <f t="shared" si="25"/>
        <v>2.1735129402897431</v>
      </c>
    </row>
    <row r="646" spans="1:11" hidden="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H646" s="5">
        <v>8850</v>
      </c>
      <c r="I646" s="6">
        <v>2633.1</v>
      </c>
      <c r="J646" s="5">
        <v>19200</v>
      </c>
      <c r="K646" s="6">
        <f t="shared" si="25"/>
        <v>3.3610573088754703</v>
      </c>
    </row>
    <row r="647" spans="1:11" hidden="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H647" s="5">
        <v>8250</v>
      </c>
      <c r="I647" s="6">
        <v>2633.1</v>
      </c>
      <c r="J647" s="5">
        <v>19200</v>
      </c>
      <c r="K647" s="6">
        <f t="shared" si="25"/>
        <v>3.1331890167483194</v>
      </c>
    </row>
    <row r="648" spans="1:11" hidden="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H648" s="5">
        <v>7320</v>
      </c>
      <c r="I648" s="6">
        <v>2852.5250000000001</v>
      </c>
      <c r="J648" s="5">
        <v>20800</v>
      </c>
      <c r="K648" s="6">
        <f t="shared" si="25"/>
        <v>2.566147535954987</v>
      </c>
    </row>
    <row r="649" spans="1:11" hidden="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H649" s="5">
        <v>13560</v>
      </c>
      <c r="I649" s="6">
        <v>2852.5250000000001</v>
      </c>
      <c r="J649" s="5">
        <v>20800</v>
      </c>
      <c r="K649" s="6">
        <f t="shared" ref="K649:K712" si="27">+H649/I649</f>
        <v>4.7536831403756317</v>
      </c>
    </row>
    <row r="650" spans="1:11" hidden="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H650" s="5">
        <v>8400</v>
      </c>
      <c r="I650" s="6">
        <v>3071.95</v>
      </c>
      <c r="J650" s="5">
        <v>22400</v>
      </c>
      <c r="K650" s="6">
        <f t="shared" si="27"/>
        <v>2.734419505525806</v>
      </c>
    </row>
    <row r="651" spans="1:11" hidden="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H651" s="5">
        <v>3000</v>
      </c>
      <c r="I651" s="6">
        <v>1645.6875</v>
      </c>
      <c r="J651" s="5">
        <v>12000</v>
      </c>
      <c r="K651" s="6">
        <f t="shared" si="27"/>
        <v>1.8229463370172041</v>
      </c>
    </row>
    <row r="652" spans="1:11" hidden="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H652" s="5">
        <v>9000</v>
      </c>
      <c r="I652" s="6">
        <v>4121.4642855494085</v>
      </c>
      <c r="J652" s="5">
        <v>31200</v>
      </c>
      <c r="K652" s="6">
        <f t="shared" si="27"/>
        <v>2.1836899161192811</v>
      </c>
    </row>
    <row r="653" spans="1:11" hidden="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H653" s="5">
        <v>1335</v>
      </c>
      <c r="I653" s="6">
        <v>1056.7857142434418</v>
      </c>
      <c r="J653" s="5">
        <v>8000</v>
      </c>
      <c r="K653" s="6">
        <f t="shared" si="27"/>
        <v>1.2632646164749997</v>
      </c>
    </row>
    <row r="654" spans="1:11" hidden="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H654" s="5">
        <v>9660</v>
      </c>
      <c r="I654" s="6">
        <v>2641.9642856076484</v>
      </c>
      <c r="J654" s="5">
        <v>19996</v>
      </c>
      <c r="K654" s="6">
        <f t="shared" si="27"/>
        <v>3.6563703955514342</v>
      </c>
    </row>
    <row r="655" spans="1:11" hidden="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H655" s="5">
        <v>1320</v>
      </c>
      <c r="I655" s="6">
        <v>528.39285712153003</v>
      </c>
      <c r="J655" s="5">
        <v>4000</v>
      </c>
      <c r="K655" s="6">
        <f t="shared" si="27"/>
        <v>2.498141264041351</v>
      </c>
    </row>
    <row r="656" spans="1:11" hidden="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H656" s="5">
        <v>4290</v>
      </c>
      <c r="I656" s="6">
        <v>1902.2142856375078</v>
      </c>
      <c r="J656" s="5">
        <v>14400</v>
      </c>
      <c r="K656" s="6">
        <f t="shared" si="27"/>
        <v>2.2552664189262202</v>
      </c>
    </row>
    <row r="657" spans="1:11" hidden="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H657" s="5">
        <v>1180</v>
      </c>
      <c r="I657" s="6">
        <v>686.89445810058101</v>
      </c>
      <c r="J657" s="5">
        <v>5200</v>
      </c>
      <c r="K657" s="6">
        <f t="shared" si="27"/>
        <v>1.7178767219391573</v>
      </c>
    </row>
    <row r="658" spans="1:11" hidden="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H658" s="5">
        <v>14260</v>
      </c>
      <c r="I658" s="6">
        <v>4487.9999999102474</v>
      </c>
      <c r="J658" s="5">
        <v>31740</v>
      </c>
      <c r="K658" s="6">
        <f t="shared" si="27"/>
        <v>3.177361853895984</v>
      </c>
    </row>
    <row r="659" spans="1:11" hidden="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H659" s="5">
        <v>2050</v>
      </c>
      <c r="I659" s="6">
        <v>1702.8</v>
      </c>
      <c r="J659" s="5">
        <v>12900</v>
      </c>
      <c r="K659" s="6">
        <f t="shared" si="27"/>
        <v>1.2038994597134132</v>
      </c>
    </row>
    <row r="660" spans="1:11" hidden="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H660" s="5">
        <v>8900</v>
      </c>
      <c r="I660" s="6">
        <v>3009.6</v>
      </c>
      <c r="J660" s="5">
        <v>22800</v>
      </c>
      <c r="K660" s="6">
        <f t="shared" si="27"/>
        <v>2.9572036150983521</v>
      </c>
    </row>
    <row r="661" spans="1:11" hidden="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H661" s="5">
        <v>4200</v>
      </c>
      <c r="I661" s="6">
        <v>1386</v>
      </c>
      <c r="J661" s="5">
        <v>10500</v>
      </c>
      <c r="K661" s="6">
        <f t="shared" si="27"/>
        <v>3.0303030303030303</v>
      </c>
    </row>
    <row r="662" spans="1:11" hidden="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H662" s="5">
        <v>2940</v>
      </c>
      <c r="I662" s="6">
        <v>1386</v>
      </c>
      <c r="J662" s="5">
        <v>10500</v>
      </c>
      <c r="K662" s="6">
        <f t="shared" si="27"/>
        <v>2.1212121212121211</v>
      </c>
    </row>
    <row r="663" spans="1:11" hidden="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H663" s="5">
        <v>1900</v>
      </c>
      <c r="I663" s="6">
        <v>1029.5999999999999</v>
      </c>
      <c r="J663" s="5">
        <v>7800</v>
      </c>
      <c r="K663" s="6">
        <f t="shared" si="27"/>
        <v>1.8453768453768455</v>
      </c>
    </row>
    <row r="664" spans="1:11" hidden="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H664" s="5">
        <v>4950</v>
      </c>
      <c r="I664" s="6">
        <v>2653.2</v>
      </c>
      <c r="J664" s="5">
        <v>20100</v>
      </c>
      <c r="K664" s="6">
        <f t="shared" si="27"/>
        <v>1.8656716417910448</v>
      </c>
    </row>
    <row r="665" spans="1:11" hidden="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H665" s="5">
        <v>4440</v>
      </c>
      <c r="I665" s="6">
        <v>1768.8</v>
      </c>
      <c r="J665" s="5">
        <v>13400</v>
      </c>
      <c r="K665" s="6">
        <f t="shared" si="27"/>
        <v>2.5101763907734056</v>
      </c>
    </row>
    <row r="666" spans="1:11" hidden="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H666" s="5">
        <v>2550</v>
      </c>
      <c r="I666" s="6">
        <v>1029.5999999999999</v>
      </c>
      <c r="J666" s="5">
        <v>7800</v>
      </c>
      <c r="K666" s="6">
        <f t="shared" si="27"/>
        <v>2.4766899766899768</v>
      </c>
    </row>
    <row r="667" spans="1:11" hidden="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H667" s="5">
        <v>2250</v>
      </c>
      <c r="I667" s="6">
        <v>1346.4</v>
      </c>
      <c r="J667" s="5">
        <v>10200</v>
      </c>
      <c r="K667" s="6">
        <f t="shared" si="27"/>
        <v>1.6711229946524062</v>
      </c>
    </row>
    <row r="668" spans="1:11" hidden="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H668" s="5">
        <v>1260</v>
      </c>
      <c r="I668" s="6">
        <v>440.18999062500001</v>
      </c>
      <c r="J668" s="5">
        <v>3200</v>
      </c>
      <c r="K668" s="6">
        <f t="shared" si="27"/>
        <v>2.8624003880937861</v>
      </c>
    </row>
    <row r="669" spans="1:11" hidden="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H669" s="5">
        <v>2625</v>
      </c>
      <c r="I669" s="6">
        <v>880.38</v>
      </c>
      <c r="J669" s="5">
        <v>6400</v>
      </c>
      <c r="K669" s="6">
        <f t="shared" si="27"/>
        <v>2.9816670074286105</v>
      </c>
    </row>
    <row r="670" spans="1:11" hidden="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H670" s="5">
        <v>775</v>
      </c>
      <c r="I670" s="6">
        <v>330.14249999999998</v>
      </c>
      <c r="J670" s="5">
        <v>2400</v>
      </c>
      <c r="K670" s="6">
        <f t="shared" si="27"/>
        <v>2.3474711677533189</v>
      </c>
    </row>
    <row r="671" spans="1:11" hidden="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H671" s="5">
        <v>7950</v>
      </c>
      <c r="I671" s="6">
        <v>1650.7125000000001</v>
      </c>
      <c r="J671" s="5">
        <v>12000</v>
      </c>
      <c r="K671" s="6">
        <f t="shared" si="27"/>
        <v>4.8161021377132602</v>
      </c>
    </row>
    <row r="672" spans="1:11" hidden="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H672" s="5">
        <v>3520</v>
      </c>
      <c r="I672" s="6">
        <v>1287.0000000000018</v>
      </c>
      <c r="J672" s="5">
        <v>9400</v>
      </c>
      <c r="K672" s="6">
        <f t="shared" si="27"/>
        <v>2.7350427350427311</v>
      </c>
    </row>
    <row r="673" spans="1:11" hidden="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H673" s="5">
        <v>5950</v>
      </c>
      <c r="I673" s="6">
        <v>2641.14</v>
      </c>
      <c r="J673" s="5">
        <v>19200</v>
      </c>
      <c r="K673" s="6">
        <f t="shared" si="27"/>
        <v>2.2528150722793945</v>
      </c>
    </row>
    <row r="674" spans="1:11" hidden="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H674" s="5">
        <v>3060</v>
      </c>
      <c r="I674" s="6">
        <v>880.38</v>
      </c>
      <c r="J674" s="5">
        <v>6400</v>
      </c>
      <c r="K674" s="6">
        <f t="shared" si="27"/>
        <v>3.4757718258024943</v>
      </c>
    </row>
    <row r="675" spans="1:11" hidden="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H675" s="5">
        <v>2580</v>
      </c>
      <c r="I675" s="6">
        <v>880.38</v>
      </c>
      <c r="J675" s="5">
        <v>6400</v>
      </c>
      <c r="K675" s="6">
        <f t="shared" si="27"/>
        <v>2.9305527158726914</v>
      </c>
    </row>
    <row r="676" spans="1:11" hidden="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H676" s="5">
        <v>980</v>
      </c>
      <c r="I676" s="6">
        <v>1755.4</v>
      </c>
      <c r="J676" s="5">
        <v>12800</v>
      </c>
      <c r="K676" s="6">
        <f t="shared" si="27"/>
        <v>0.55827731571151873</v>
      </c>
    </row>
    <row r="677" spans="1:11" hidden="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H677" s="5">
        <v>6980</v>
      </c>
      <c r="I677" s="6">
        <v>2413.6749943750001</v>
      </c>
      <c r="J677" s="5">
        <v>17600</v>
      </c>
      <c r="K677" s="6">
        <f t="shared" si="27"/>
        <v>2.891855786825769</v>
      </c>
    </row>
    <row r="678" spans="1:11" hidden="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H678" s="5">
        <v>4380</v>
      </c>
      <c r="I678" s="6">
        <v>1645.6875</v>
      </c>
      <c r="J678" s="5">
        <v>12000</v>
      </c>
      <c r="K678" s="6">
        <f t="shared" si="27"/>
        <v>2.6615016520451178</v>
      </c>
    </row>
    <row r="679" spans="1:11" hidden="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H679" s="5">
        <v>2360</v>
      </c>
      <c r="I679" s="6">
        <v>726.32013058333712</v>
      </c>
      <c r="J679" s="5">
        <v>5712</v>
      </c>
      <c r="K679" s="6">
        <f t="shared" si="27"/>
        <v>3.2492559418731632</v>
      </c>
    </row>
    <row r="680" spans="1:11" hidden="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H680" s="5">
        <v>2760</v>
      </c>
      <c r="I680" s="6">
        <v>924.39958333667107</v>
      </c>
      <c r="J680" s="5">
        <v>6720</v>
      </c>
      <c r="K680" s="6">
        <f t="shared" si="27"/>
        <v>2.985721813112062</v>
      </c>
    </row>
    <row r="681" spans="1:11" hidden="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H681" s="5">
        <v>2020</v>
      </c>
      <c r="I681" s="6">
        <v>1122.485208333339</v>
      </c>
      <c r="J681" s="5">
        <v>8160</v>
      </c>
      <c r="K681" s="6">
        <f t="shared" si="27"/>
        <v>1.7995782795207493</v>
      </c>
    </row>
    <row r="682" spans="1:11" hidden="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H682" s="5">
        <v>1040</v>
      </c>
      <c r="I682" s="6">
        <v>396.17125000000198</v>
      </c>
      <c r="J682" s="5">
        <v>2880</v>
      </c>
      <c r="K682" s="6">
        <f t="shared" si="27"/>
        <v>2.6251273912480899</v>
      </c>
    </row>
    <row r="683" spans="1:11" hidden="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H683" s="5">
        <v>3510</v>
      </c>
      <c r="I683" s="6">
        <v>1535.9749999999999</v>
      </c>
      <c r="J683" s="5">
        <v>11200</v>
      </c>
      <c r="K683" s="6">
        <f t="shared" si="27"/>
        <v>2.2851934439037094</v>
      </c>
    </row>
    <row r="684" spans="1:11" hidden="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H684" s="5">
        <v>3500</v>
      </c>
      <c r="I684" s="6">
        <v>1535.9749999999999</v>
      </c>
      <c r="J684" s="5">
        <v>11200</v>
      </c>
      <c r="K684" s="6">
        <f t="shared" si="27"/>
        <v>2.2786829212715052</v>
      </c>
    </row>
    <row r="685" spans="1:11" hidden="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H685" s="5">
        <v>1500</v>
      </c>
      <c r="I685" s="6">
        <v>594.25687500000299</v>
      </c>
      <c r="J685" s="5">
        <v>4320</v>
      </c>
      <c r="K685" s="6">
        <f t="shared" si="27"/>
        <v>2.5241609531231632</v>
      </c>
    </row>
    <row r="686" spans="1:11" hidden="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H686" s="5">
        <v>4540</v>
      </c>
      <c r="I686" s="6">
        <v>2575.1131250013459</v>
      </c>
      <c r="J686" s="5">
        <v>18720</v>
      </c>
      <c r="K686" s="6">
        <f t="shared" si="27"/>
        <v>1.7630293426420351</v>
      </c>
    </row>
    <row r="687" spans="1:11" hidden="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H687" s="5">
        <v>1290</v>
      </c>
      <c r="I687" s="6">
        <v>528.37931032368999</v>
      </c>
      <c r="J687" s="5">
        <v>4000</v>
      </c>
      <c r="K687" s="6">
        <f t="shared" ref="K687:K693" si="28">IFERROR(H687/I687,"")</f>
        <v>2.4414279189125216</v>
      </c>
    </row>
    <row r="688" spans="1:11" hidden="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H688" s="5">
        <v>4025</v>
      </c>
      <c r="I688" s="6">
        <v>2272.0310343918732</v>
      </c>
      <c r="J688" s="5">
        <v>17200</v>
      </c>
      <c r="K688" s="6">
        <f t="shared" si="28"/>
        <v>1.7715427030147599</v>
      </c>
    </row>
    <row r="689" spans="1:11" hidden="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H689" s="5">
        <v>2700</v>
      </c>
      <c r="I689" s="6">
        <v>1162.4344827121224</v>
      </c>
      <c r="J689" s="5">
        <v>8800</v>
      </c>
      <c r="K689" s="6">
        <f t="shared" si="28"/>
        <v>2.3227115507624325</v>
      </c>
    </row>
    <row r="690" spans="1:11" hidden="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H690" s="5">
        <v>1680</v>
      </c>
      <c r="I690" s="6">
        <v>1162.4344827121181</v>
      </c>
      <c r="J690" s="5">
        <v>8800</v>
      </c>
      <c r="K690" s="6">
        <f t="shared" si="28"/>
        <v>1.4452427426966301</v>
      </c>
    </row>
    <row r="691" spans="1:11" hidden="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H691" s="5">
        <v>3750</v>
      </c>
      <c r="I691" s="6">
        <v>1056.7586206473827</v>
      </c>
      <c r="J691" s="5">
        <v>8000</v>
      </c>
      <c r="K691" s="6">
        <f t="shared" si="28"/>
        <v>3.5485870914426099</v>
      </c>
    </row>
    <row r="692" spans="1:11" hidden="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H692" s="5">
        <v>2310</v>
      </c>
      <c r="I692" s="6">
        <v>1109.596551679753</v>
      </c>
      <c r="J692" s="5">
        <v>8400</v>
      </c>
      <c r="K692" s="6">
        <f t="shared" si="28"/>
        <v>2.0818377603129954</v>
      </c>
    </row>
    <row r="693" spans="1:11" hidden="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H693" s="5">
        <v>4675</v>
      </c>
      <c r="I693" s="6">
        <v>1902.1655171652881</v>
      </c>
      <c r="J693" s="5">
        <v>14400</v>
      </c>
      <c r="K693" s="6">
        <f t="shared" si="28"/>
        <v>2.4577251337028456</v>
      </c>
    </row>
    <row r="694" spans="1:11" hidden="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H694" s="5">
        <v>2000</v>
      </c>
      <c r="I694" s="6">
        <v>951.10714281909407</v>
      </c>
      <c r="J694" s="5">
        <v>7200</v>
      </c>
      <c r="K694" s="6">
        <f t="shared" si="27"/>
        <v>2.1028125118185672</v>
      </c>
    </row>
    <row r="695" spans="1:11" hidden="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H695" s="5">
        <v>5730</v>
      </c>
      <c r="I695" s="6">
        <v>3804.4285712763772</v>
      </c>
      <c r="J695" s="5">
        <v>28800</v>
      </c>
      <c r="K695" s="6">
        <f t="shared" si="27"/>
        <v>1.5061394615900485</v>
      </c>
    </row>
    <row r="696" spans="1:11" hidden="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H696" s="5">
        <v>5130</v>
      </c>
      <c r="I696" s="6">
        <v>2641.8965516184649</v>
      </c>
      <c r="J696" s="5">
        <v>20000</v>
      </c>
      <c r="K696" s="6">
        <f t="shared" si="27"/>
        <v>1.9417868564373901</v>
      </c>
    </row>
    <row r="697" spans="1:11" hidden="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H697" s="5">
        <v>13710</v>
      </c>
      <c r="I697" s="6">
        <v>3592.9793102010913</v>
      </c>
      <c r="J697" s="5">
        <v>26044</v>
      </c>
      <c r="K697" s="6">
        <f t="shared" si="27"/>
        <v>3.8157748253865345</v>
      </c>
    </row>
    <row r="698" spans="1:11" hidden="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H698" s="5">
        <v>2500</v>
      </c>
      <c r="I698" s="6">
        <v>1268.1103447768633</v>
      </c>
      <c r="J698" s="5">
        <v>9600</v>
      </c>
      <c r="K698" s="6">
        <f t="shared" si="27"/>
        <v>1.9714372730236658</v>
      </c>
    </row>
    <row r="699" spans="1:11" hidden="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H699" s="5">
        <v>1200</v>
      </c>
      <c r="I699" s="6">
        <v>528.37931032368999</v>
      </c>
      <c r="J699" s="5">
        <v>4000</v>
      </c>
      <c r="K699" s="6">
        <f t="shared" si="27"/>
        <v>2.2710957385232762</v>
      </c>
    </row>
    <row r="700" spans="1:11" hidden="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H700" s="5">
        <v>2400</v>
      </c>
      <c r="I700" s="6">
        <v>1162.4344827121247</v>
      </c>
      <c r="J700" s="5">
        <v>8800</v>
      </c>
      <c r="K700" s="6">
        <f t="shared" si="27"/>
        <v>2.0646324895666028</v>
      </c>
    </row>
    <row r="701" spans="1:11" hidden="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H701" s="5">
        <v>960</v>
      </c>
      <c r="I701" s="6">
        <v>528.3915024419166</v>
      </c>
      <c r="J701" s="5">
        <v>4000</v>
      </c>
      <c r="K701" s="6">
        <f t="shared" si="27"/>
        <v>1.8168346681644978</v>
      </c>
    </row>
    <row r="702" spans="1:11" hidden="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H702" s="5">
        <v>11700</v>
      </c>
      <c r="I702" s="6">
        <v>3910.1071427007282</v>
      </c>
      <c r="J702" s="5">
        <v>29260</v>
      </c>
      <c r="K702" s="6">
        <f t="shared" si="27"/>
        <v>2.9922453715472255</v>
      </c>
    </row>
    <row r="703" spans="1:11" hidden="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H703" s="5">
        <v>4040</v>
      </c>
      <c r="I703" s="6">
        <v>1902.2142856381945</v>
      </c>
      <c r="J703" s="5">
        <v>14400</v>
      </c>
      <c r="K703" s="6">
        <f t="shared" si="27"/>
        <v>2.123840636936746</v>
      </c>
    </row>
    <row r="704" spans="1:11" hidden="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H704" s="5">
        <v>2220</v>
      </c>
      <c r="I704" s="6">
        <v>1162.4642856677858</v>
      </c>
      <c r="J704" s="5">
        <v>8800</v>
      </c>
      <c r="K704" s="6">
        <f t="shared" si="27"/>
        <v>1.9097360902788556</v>
      </c>
    </row>
    <row r="705" spans="1:11" hidden="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H705" s="5">
        <v>540</v>
      </c>
      <c r="I705" s="6">
        <v>317.03571427303262</v>
      </c>
      <c r="J705" s="5">
        <v>2400</v>
      </c>
      <c r="K705" s="6">
        <f t="shared" si="27"/>
        <v>1.7032781345730328</v>
      </c>
    </row>
    <row r="706" spans="1:11" hidden="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H706" s="5">
        <v>1525</v>
      </c>
      <c r="I706" s="6">
        <v>951.10714281875391</v>
      </c>
      <c r="J706" s="5">
        <v>7200</v>
      </c>
      <c r="K706" s="6">
        <f t="shared" si="27"/>
        <v>1.6033945402622309</v>
      </c>
    </row>
    <row r="707" spans="1:11" hidden="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H707" s="5">
        <v>840</v>
      </c>
      <c r="I707" s="6">
        <v>898.26785710660101</v>
      </c>
      <c r="J707" s="5">
        <v>6800</v>
      </c>
      <c r="K707" s="6">
        <f t="shared" si="27"/>
        <v>0.93513309349141482</v>
      </c>
    </row>
    <row r="708" spans="1:11" hidden="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H708" s="5">
        <v>2050</v>
      </c>
      <c r="I708" s="6">
        <v>1162.4642856673661</v>
      </c>
      <c r="J708" s="5">
        <v>8800</v>
      </c>
      <c r="K708" s="6">
        <f t="shared" si="27"/>
        <v>1.7634950383212016</v>
      </c>
    </row>
    <row r="709" spans="1:11" hidden="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H709" s="5">
        <v>0</v>
      </c>
      <c r="I709" s="6">
        <v>105.68</v>
      </c>
      <c r="J709" s="5">
        <v>0</v>
      </c>
      <c r="K709" s="6">
        <f t="shared" si="27"/>
        <v>0</v>
      </c>
    </row>
    <row r="710" spans="1:11" hidden="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H710" s="5">
        <v>3240</v>
      </c>
      <c r="I710" s="6">
        <v>686.91071425798896</v>
      </c>
      <c r="J710" s="5">
        <v>5200</v>
      </c>
      <c r="K710" s="6">
        <f t="shared" si="27"/>
        <v>4.7167702188193346</v>
      </c>
    </row>
    <row r="711" spans="1:11" hidden="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H711" s="5">
        <v>1600</v>
      </c>
      <c r="I711" s="6">
        <v>845.428571394752</v>
      </c>
      <c r="J711" s="5">
        <v>6400</v>
      </c>
      <c r="K711" s="6">
        <f t="shared" si="27"/>
        <v>1.8925312606367066</v>
      </c>
    </row>
    <row r="712" spans="1:11" hidden="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H712" s="5">
        <v>6900</v>
      </c>
      <c r="I712" s="6">
        <v>3910.11</v>
      </c>
      <c r="J712" s="5">
        <v>29600</v>
      </c>
      <c r="K712" s="6">
        <f t="shared" si="27"/>
        <v>1.7646562372925569</v>
      </c>
    </row>
    <row r="713" spans="1:11" hidden="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H713" s="5">
        <v>8950</v>
      </c>
      <c r="I713" s="6">
        <v>4015.7857141250793</v>
      </c>
      <c r="J713" s="5">
        <v>30400</v>
      </c>
      <c r="K713" s="6">
        <f t="shared" ref="K713:K775" si="30">+H713/I713</f>
        <v>2.2287045766708546</v>
      </c>
    </row>
    <row r="714" spans="1:11" hidden="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H714" s="5">
        <v>0</v>
      </c>
      <c r="I714" s="6">
        <v>105.68</v>
      </c>
      <c r="J714" s="5">
        <v>0</v>
      </c>
      <c r="K714" s="6">
        <f t="shared" si="30"/>
        <v>0</v>
      </c>
    </row>
    <row r="715" spans="1:11" hidden="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H715" s="5">
        <v>6060</v>
      </c>
      <c r="I715" s="6">
        <v>2747.5751230427709</v>
      </c>
      <c r="J715" s="5">
        <v>20800</v>
      </c>
      <c r="K715" s="6">
        <f t="shared" si="30"/>
        <v>2.2055811865441997</v>
      </c>
    </row>
    <row r="716" spans="1:11" hidden="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H716" s="5">
        <v>1150</v>
      </c>
      <c r="I716" s="6">
        <v>1056.75862064738</v>
      </c>
      <c r="J716" s="5">
        <v>9600</v>
      </c>
      <c r="K716" s="6">
        <f t="shared" si="30"/>
        <v>1.0882333747090698</v>
      </c>
    </row>
    <row r="717" spans="1:11" hidden="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H717" s="5">
        <v>16230</v>
      </c>
      <c r="I717" s="6">
        <v>3592.9793102011122</v>
      </c>
      <c r="J717" s="5">
        <v>27820</v>
      </c>
      <c r="K717" s="6">
        <f t="shared" si="30"/>
        <v>4.5171426269892851</v>
      </c>
    </row>
    <row r="718" spans="1:11" hidden="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H718" s="5">
        <v>5790</v>
      </c>
      <c r="I718" s="6">
        <v>1585.2222221588099</v>
      </c>
      <c r="J718" s="5">
        <v>11490</v>
      </c>
      <c r="K718" s="6">
        <f t="shared" si="30"/>
        <v>3.6524847551751956</v>
      </c>
    </row>
    <row r="719" spans="1:11" hidden="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H719" s="5">
        <v>1875</v>
      </c>
      <c r="I719" s="6">
        <v>1796.5851851133182</v>
      </c>
      <c r="J719" s="5">
        <v>13600</v>
      </c>
      <c r="K719" s="6">
        <f t="shared" si="30"/>
        <v>1.0436465888377766</v>
      </c>
    </row>
    <row r="720" spans="1:11" hidden="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H720" s="5">
        <v>5640</v>
      </c>
      <c r="I720" s="6">
        <v>2219.311111022334</v>
      </c>
      <c r="J720" s="5">
        <v>16800</v>
      </c>
      <c r="K720" s="6">
        <f t="shared" si="30"/>
        <v>2.5413291412765977</v>
      </c>
    </row>
    <row r="721" spans="1:11" hidden="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H721" s="5">
        <v>6125</v>
      </c>
      <c r="I721" s="6">
        <v>2959.0814813631118</v>
      </c>
      <c r="J721" s="5">
        <v>22400</v>
      </c>
      <c r="K721" s="6">
        <f t="shared" si="30"/>
        <v>2.0698990678615905</v>
      </c>
    </row>
    <row r="722" spans="1:11" hidden="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H722" s="5">
        <v>840</v>
      </c>
      <c r="I722" s="6">
        <v>1912.3542857142861</v>
      </c>
      <c r="J722" s="5">
        <v>16320</v>
      </c>
      <c r="K722" s="6">
        <f t="shared" si="30"/>
        <v>0.43924915287663363</v>
      </c>
    </row>
    <row r="723" spans="1:11" hidden="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H723" s="5">
        <v>3125</v>
      </c>
      <c r="I723" s="6">
        <v>2812.2857142428579</v>
      </c>
      <c r="J723" s="5">
        <v>20000</v>
      </c>
      <c r="K723" s="6">
        <f t="shared" si="30"/>
        <v>1.1111957736631795</v>
      </c>
    </row>
    <row r="724" spans="1:11" hidden="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H724" s="5">
        <v>2525</v>
      </c>
      <c r="I724" s="6">
        <v>1768.8376470588223</v>
      </c>
      <c r="J724" s="5">
        <v>12800</v>
      </c>
      <c r="K724" s="6">
        <f t="shared" si="30"/>
        <v>1.4274911008359106</v>
      </c>
    </row>
    <row r="725" spans="1:11" hidden="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H725" s="5">
        <v>7520</v>
      </c>
      <c r="I725" s="6">
        <v>2263.7999998868127</v>
      </c>
      <c r="J725" s="5">
        <v>17920</v>
      </c>
      <c r="K725" s="6">
        <f t="shared" si="30"/>
        <v>3.321848219973492</v>
      </c>
    </row>
    <row r="726" spans="1:11" hidden="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H726" s="5">
        <v>1290</v>
      </c>
      <c r="I726" s="6">
        <v>994.97117647058747</v>
      </c>
      <c r="J726" s="5">
        <v>7200</v>
      </c>
      <c r="K726" s="6">
        <f t="shared" si="30"/>
        <v>1.2965199701321539</v>
      </c>
    </row>
    <row r="727" spans="1:11" hidden="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H727" s="5">
        <v>1560</v>
      </c>
      <c r="I727" s="6">
        <v>994.97117647058747</v>
      </c>
      <c r="J727" s="5">
        <v>7920</v>
      </c>
      <c r="K727" s="6">
        <f t="shared" si="30"/>
        <v>1.5678846150435348</v>
      </c>
    </row>
    <row r="728" spans="1:11" hidden="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H728" s="5">
        <v>4675</v>
      </c>
      <c r="I728" s="6">
        <v>2263.7999998868127</v>
      </c>
      <c r="J728" s="5">
        <v>17920</v>
      </c>
      <c r="K728" s="6">
        <f t="shared" si="30"/>
        <v>2.0651117590925634</v>
      </c>
    </row>
    <row r="729" spans="1:11" hidden="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H729" s="5">
        <v>16740</v>
      </c>
      <c r="I729" s="6">
        <v>6727.0499997982479</v>
      </c>
      <c r="J729" s="5">
        <v>49210</v>
      </c>
      <c r="K729" s="6">
        <f t="shared" si="30"/>
        <v>2.4884607666810936</v>
      </c>
    </row>
    <row r="730" spans="1:11" hidden="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H730" s="5">
        <v>2070</v>
      </c>
      <c r="I730" s="6">
        <v>994.95</v>
      </c>
      <c r="J730" s="5">
        <v>7200</v>
      </c>
      <c r="K730" s="6">
        <f t="shared" si="30"/>
        <v>2.0805065581184983</v>
      </c>
    </row>
    <row r="731" spans="1:11" hidden="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H731" s="5">
        <v>2060</v>
      </c>
      <c r="I731" s="6">
        <v>831.6</v>
      </c>
      <c r="J731" s="5">
        <v>6300</v>
      </c>
      <c r="K731" s="6">
        <f t="shared" si="30"/>
        <v>2.4771524771524769</v>
      </c>
    </row>
    <row r="732" spans="1:11" hidden="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H732" s="5">
        <v>3625</v>
      </c>
      <c r="I732" s="6">
        <v>1267.2</v>
      </c>
      <c r="J732" s="5">
        <v>9600</v>
      </c>
      <c r="K732" s="6">
        <f t="shared" si="30"/>
        <v>2.8606376262626263</v>
      </c>
    </row>
    <row r="733" spans="1:11" hidden="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H733" s="5">
        <v>1110</v>
      </c>
      <c r="I733" s="6">
        <v>316.8</v>
      </c>
      <c r="J733" s="5">
        <v>2400</v>
      </c>
      <c r="K733" s="6">
        <f t="shared" si="30"/>
        <v>3.5037878787878785</v>
      </c>
    </row>
    <row r="734" spans="1:11" hidden="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H734" s="5">
        <v>11430</v>
      </c>
      <c r="I734" s="6">
        <v>3603.6</v>
      </c>
      <c r="J734" s="5">
        <v>27296</v>
      </c>
      <c r="K734" s="6">
        <f t="shared" si="30"/>
        <v>3.1718281718281718</v>
      </c>
    </row>
    <row r="735" spans="1:11" hidden="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H735" s="5">
        <v>9550</v>
      </c>
      <c r="I735" s="6">
        <v>3682.8</v>
      </c>
      <c r="J735" s="5">
        <v>27900</v>
      </c>
      <c r="K735" s="6">
        <f t="shared" si="30"/>
        <v>2.5931356576517866</v>
      </c>
    </row>
    <row r="736" spans="1:11" hidden="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H736" s="5">
        <v>5550</v>
      </c>
      <c r="I736" s="6">
        <v>2376</v>
      </c>
      <c r="J736" s="5">
        <v>18000</v>
      </c>
      <c r="K736" s="6">
        <f t="shared" si="30"/>
        <v>2.3358585858585861</v>
      </c>
    </row>
    <row r="737" spans="1:11" hidden="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H737" s="5">
        <v>2190</v>
      </c>
      <c r="I737" s="6">
        <v>950.4</v>
      </c>
      <c r="J737" s="5">
        <v>7200</v>
      </c>
      <c r="K737" s="6">
        <f t="shared" si="30"/>
        <v>2.3042929292929295</v>
      </c>
    </row>
    <row r="738" spans="1:11" hidden="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H738" s="5">
        <v>4500</v>
      </c>
      <c r="I738" s="6">
        <v>1346.4</v>
      </c>
      <c r="J738" s="5">
        <v>10200</v>
      </c>
      <c r="K738" s="6">
        <f t="shared" si="30"/>
        <v>3.3422459893048124</v>
      </c>
    </row>
    <row r="739" spans="1:11" hidden="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H739" s="5">
        <v>7680</v>
      </c>
      <c r="I739" s="6">
        <v>2851.2</v>
      </c>
      <c r="J739" s="5">
        <v>21600</v>
      </c>
      <c r="K739" s="6">
        <f t="shared" si="30"/>
        <v>2.6936026936026938</v>
      </c>
    </row>
    <row r="740" spans="1:11" hidden="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H740" s="5">
        <v>2880</v>
      </c>
      <c r="I740" s="6">
        <v>2138.4</v>
      </c>
      <c r="J740" s="5">
        <v>16200</v>
      </c>
      <c r="K740" s="6">
        <f t="shared" si="30"/>
        <v>1.3468013468013467</v>
      </c>
    </row>
    <row r="741" spans="1:11" hidden="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H741" s="5">
        <v>1825</v>
      </c>
      <c r="I741" s="6">
        <v>963.6</v>
      </c>
      <c r="J741" s="5">
        <v>7570</v>
      </c>
      <c r="K741" s="6">
        <f t="shared" si="30"/>
        <v>1.8939393939393938</v>
      </c>
    </row>
    <row r="742" spans="1:11" hidden="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H742" s="5">
        <v>6350</v>
      </c>
      <c r="I742" s="6">
        <v>3168</v>
      </c>
      <c r="J742" s="5">
        <v>24000</v>
      </c>
      <c r="K742" s="6">
        <f t="shared" si="30"/>
        <v>2.004419191919192</v>
      </c>
    </row>
    <row r="743" spans="1:11" hidden="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H743" s="5">
        <v>3540</v>
      </c>
      <c r="I743" s="6">
        <v>1188</v>
      </c>
      <c r="J743" s="5">
        <v>9000</v>
      </c>
      <c r="K743" s="6">
        <f t="shared" si="30"/>
        <v>2.9797979797979797</v>
      </c>
    </row>
    <row r="744" spans="1:11" hidden="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H744" s="5">
        <v>5225</v>
      </c>
      <c r="I744" s="6">
        <v>2732.4</v>
      </c>
      <c r="J744" s="5">
        <v>20700</v>
      </c>
      <c r="K744" s="6">
        <f t="shared" si="30"/>
        <v>1.9122383252818034</v>
      </c>
    </row>
    <row r="745" spans="1:11" hidden="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H745" s="5">
        <v>540</v>
      </c>
      <c r="I745" s="6">
        <v>673.2</v>
      </c>
      <c r="J745" s="5">
        <v>5100</v>
      </c>
      <c r="K745" s="6">
        <f t="shared" si="30"/>
        <v>0.80213903743315507</v>
      </c>
    </row>
    <row r="746" spans="1:11" hidden="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H746" s="5">
        <v>3920</v>
      </c>
      <c r="I746" s="6">
        <v>1100.4749999999999</v>
      </c>
      <c r="J746" s="5">
        <v>8000</v>
      </c>
      <c r="K746" s="6">
        <f t="shared" si="30"/>
        <v>3.5620981848747135</v>
      </c>
    </row>
    <row r="747" spans="1:11" hidden="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H747" s="5">
        <v>3250</v>
      </c>
      <c r="I747" s="6">
        <v>1287</v>
      </c>
      <c r="J747" s="5">
        <v>9400</v>
      </c>
      <c r="K747" s="6">
        <f t="shared" si="30"/>
        <v>2.5252525252525251</v>
      </c>
    </row>
    <row r="748" spans="1:11" hidden="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H748" s="5">
        <v>4650</v>
      </c>
      <c r="I748" s="6">
        <v>2641.14</v>
      </c>
      <c r="J748" s="5">
        <v>19200</v>
      </c>
      <c r="K748" s="6">
        <f t="shared" si="30"/>
        <v>1.760603375814989</v>
      </c>
    </row>
    <row r="749" spans="1:11" hidden="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H749" s="5">
        <v>6775</v>
      </c>
      <c r="I749" s="6">
        <v>2641.14</v>
      </c>
      <c r="J749" s="5">
        <v>19200</v>
      </c>
      <c r="K749" s="6">
        <f t="shared" si="30"/>
        <v>2.5651801873433442</v>
      </c>
    </row>
    <row r="750" spans="1:11" hidden="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H750" s="5">
        <v>2430</v>
      </c>
      <c r="I750" s="6">
        <v>1430.6174906250001</v>
      </c>
      <c r="J750" s="5">
        <v>10400</v>
      </c>
      <c r="K750" s="6">
        <f t="shared" si="30"/>
        <v>1.6985672382199068</v>
      </c>
    </row>
    <row r="751" spans="1:11" hidden="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H751" s="5">
        <v>2310</v>
      </c>
      <c r="I751" s="6">
        <v>1430.6175000000001</v>
      </c>
      <c r="J751" s="5">
        <v>10400</v>
      </c>
      <c r="K751" s="6">
        <f t="shared" si="30"/>
        <v>1.6146873640228783</v>
      </c>
    </row>
    <row r="752" spans="1:11" hidden="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H752" s="5">
        <v>6390</v>
      </c>
      <c r="I752" s="6">
        <v>2861.2350000000001</v>
      </c>
      <c r="J752" s="5">
        <v>20800</v>
      </c>
      <c r="K752" s="6">
        <f t="shared" si="30"/>
        <v>2.2333013541355391</v>
      </c>
    </row>
    <row r="753" spans="1:11" hidden="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H753" s="5">
        <v>5875</v>
      </c>
      <c r="I753" s="6">
        <v>3071.9505625000002</v>
      </c>
      <c r="J753" s="5">
        <v>22400</v>
      </c>
      <c r="K753" s="6">
        <f t="shared" si="30"/>
        <v>1.9124656730213898</v>
      </c>
    </row>
    <row r="754" spans="1:11" hidden="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H754" s="5">
        <v>3740</v>
      </c>
      <c r="I754" s="6">
        <v>1097.125</v>
      </c>
      <c r="J754" s="5">
        <v>8000</v>
      </c>
      <c r="K754" s="6">
        <f t="shared" si="30"/>
        <v>3.4089096502221716</v>
      </c>
    </row>
    <row r="755" spans="1:11" hidden="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H755" s="5">
        <v>6180</v>
      </c>
      <c r="I755" s="6">
        <v>2852.5250000000001</v>
      </c>
      <c r="J755" s="5">
        <v>20800</v>
      </c>
      <c r="K755" s="6">
        <f t="shared" si="30"/>
        <v>2.1665016082242925</v>
      </c>
    </row>
    <row r="756" spans="1:11" hidden="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H756" s="5">
        <v>5490</v>
      </c>
      <c r="I756" s="6">
        <v>2633.1</v>
      </c>
      <c r="J756" s="5">
        <v>19200</v>
      </c>
      <c r="K756" s="6">
        <f t="shared" si="30"/>
        <v>2.0849948729634273</v>
      </c>
    </row>
    <row r="757" spans="1:11" hidden="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H757" s="5">
        <v>5400</v>
      </c>
      <c r="I757" s="6">
        <v>2633.1</v>
      </c>
      <c r="J757" s="5">
        <v>19200</v>
      </c>
      <c r="K757" s="6">
        <f t="shared" si="30"/>
        <v>2.0508146291443548</v>
      </c>
    </row>
    <row r="758" spans="1:11" hidden="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H758" s="5">
        <v>3900</v>
      </c>
      <c r="I758" s="6">
        <v>2852.5250000000001</v>
      </c>
      <c r="J758" s="5">
        <v>20800</v>
      </c>
      <c r="K758" s="6">
        <f t="shared" si="30"/>
        <v>1.367209752762903</v>
      </c>
    </row>
    <row r="759" spans="1:11" hidden="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H759" s="5">
        <v>8940</v>
      </c>
      <c r="I759" s="6">
        <v>2852.5250000000001</v>
      </c>
      <c r="J759" s="5">
        <v>20800</v>
      </c>
      <c r="K759" s="6">
        <f t="shared" si="30"/>
        <v>3.1340654332565006</v>
      </c>
    </row>
    <row r="760" spans="1:11" hidden="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H760" s="5">
        <v>5325</v>
      </c>
      <c r="I760" s="6">
        <v>3071.95</v>
      </c>
      <c r="J760" s="5">
        <v>22400</v>
      </c>
      <c r="K760" s="6">
        <f t="shared" si="30"/>
        <v>1.733426650824395</v>
      </c>
    </row>
    <row r="761" spans="1:11" hidden="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H761" s="5">
        <v>2575</v>
      </c>
      <c r="I761" s="6">
        <v>1645.6875</v>
      </c>
      <c r="J761" s="5">
        <v>12000</v>
      </c>
      <c r="K761" s="6">
        <f t="shared" si="30"/>
        <v>1.5646956059397668</v>
      </c>
    </row>
    <row r="762" spans="1:11" hidden="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H762" s="5">
        <v>8560</v>
      </c>
      <c r="I762" s="6">
        <v>4121.4642855494085</v>
      </c>
      <c r="J762" s="5">
        <v>31200</v>
      </c>
      <c r="K762" s="6">
        <f t="shared" si="30"/>
        <v>2.0769317424423384</v>
      </c>
    </row>
    <row r="763" spans="1:11" hidden="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H763" s="5">
        <v>885</v>
      </c>
      <c r="I763" s="6">
        <v>1056.7857142434418</v>
      </c>
      <c r="J763" s="5">
        <v>8000</v>
      </c>
      <c r="K763" s="6">
        <f t="shared" si="30"/>
        <v>0.83744508283174124</v>
      </c>
    </row>
    <row r="764" spans="1:11" hidden="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H764" s="5">
        <v>5010</v>
      </c>
      <c r="I764" s="6">
        <v>2641.9642856076484</v>
      </c>
      <c r="J764" s="5">
        <v>19996</v>
      </c>
      <c r="K764" s="6">
        <f t="shared" si="30"/>
        <v>1.8963163231586631</v>
      </c>
    </row>
    <row r="765" spans="1:11" hidden="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H765" s="5">
        <v>960</v>
      </c>
      <c r="I765" s="6">
        <v>528.39285712153003</v>
      </c>
      <c r="J765" s="5">
        <v>4000</v>
      </c>
      <c r="K765" s="6">
        <f t="shared" si="30"/>
        <v>1.8168300102118917</v>
      </c>
    </row>
    <row r="766" spans="1:11" hidden="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H766" s="5">
        <v>2700</v>
      </c>
      <c r="I766" s="6">
        <v>1902.2142856375078</v>
      </c>
      <c r="J766" s="5">
        <v>14400</v>
      </c>
      <c r="K766" s="6">
        <f t="shared" si="30"/>
        <v>1.4193984454780406</v>
      </c>
    </row>
    <row r="767" spans="1:11" hidden="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H767" s="5">
        <v>560</v>
      </c>
      <c r="I767" s="6">
        <v>686.89445810058101</v>
      </c>
      <c r="J767" s="5">
        <v>5200</v>
      </c>
      <c r="K767" s="6">
        <f t="shared" si="30"/>
        <v>0.81526352905587129</v>
      </c>
    </row>
    <row r="768" spans="1:11" hidden="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H768" s="5">
        <v>9400</v>
      </c>
      <c r="I768" s="6">
        <v>4487.9999999102474</v>
      </c>
      <c r="J768" s="5">
        <v>31740</v>
      </c>
      <c r="K768" s="6">
        <f t="shared" si="30"/>
        <v>2.0944741533395685</v>
      </c>
    </row>
    <row r="769" spans="1:11" hidden="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H769" s="5">
        <v>1775</v>
      </c>
      <c r="I769" s="6">
        <v>1702.8</v>
      </c>
      <c r="J769" s="5">
        <v>12900</v>
      </c>
      <c r="K769" s="6">
        <f t="shared" si="30"/>
        <v>1.0424007517030773</v>
      </c>
    </row>
    <row r="770" spans="1:11" hidden="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H770" s="5">
        <v>5040</v>
      </c>
      <c r="I770" s="6">
        <v>3009.6</v>
      </c>
      <c r="J770" s="5">
        <v>22800</v>
      </c>
      <c r="K770" s="6">
        <f t="shared" si="30"/>
        <v>1.6746411483253589</v>
      </c>
    </row>
    <row r="771" spans="1:11" hidden="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H771" s="5">
        <v>3510</v>
      </c>
      <c r="I771" s="6">
        <v>1386</v>
      </c>
      <c r="J771" s="5">
        <v>10500</v>
      </c>
      <c r="K771" s="6">
        <f t="shared" si="30"/>
        <v>2.5324675324675323</v>
      </c>
    </row>
    <row r="772" spans="1:11" hidden="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H772" s="5">
        <v>2160</v>
      </c>
      <c r="I772" s="6">
        <v>1386</v>
      </c>
      <c r="J772" s="5">
        <v>10500</v>
      </c>
      <c r="K772" s="6">
        <f t="shared" si="30"/>
        <v>1.5584415584415585</v>
      </c>
    </row>
    <row r="773" spans="1:11" hidden="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H773" s="5">
        <v>1150</v>
      </c>
      <c r="I773" s="6">
        <v>1029.5999999999999</v>
      </c>
      <c r="J773" s="5">
        <v>7800</v>
      </c>
      <c r="K773" s="6">
        <f t="shared" si="30"/>
        <v>1.1169386169386171</v>
      </c>
    </row>
    <row r="774" spans="1:11" hidden="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H774" s="5">
        <v>3050</v>
      </c>
      <c r="I774" s="6">
        <v>2653.2</v>
      </c>
      <c r="J774" s="5">
        <v>20100</v>
      </c>
      <c r="K774" s="6">
        <f t="shared" si="30"/>
        <v>1.149555254032866</v>
      </c>
    </row>
    <row r="775" spans="1:11" hidden="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H775" s="5">
        <v>4200</v>
      </c>
      <c r="I775" s="6">
        <v>1768.8</v>
      </c>
      <c r="J775" s="5">
        <v>13400</v>
      </c>
      <c r="K775" s="6">
        <f t="shared" si="30"/>
        <v>2.3744911804613298</v>
      </c>
    </row>
    <row r="776" spans="1:11" hidden="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H776" s="5">
        <v>1350</v>
      </c>
      <c r="I776" s="6">
        <v>1029.5999999999999</v>
      </c>
      <c r="J776" s="5">
        <v>7800</v>
      </c>
      <c r="K776" s="6">
        <f t="shared" ref="K776:K840" si="32">+H776/I776</f>
        <v>1.3111888111888113</v>
      </c>
    </row>
    <row r="777" spans="1:11" hidden="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H777" s="5">
        <v>2150</v>
      </c>
      <c r="I777" s="6">
        <v>1346.4</v>
      </c>
      <c r="J777" s="5">
        <v>10200</v>
      </c>
      <c r="K777" s="6">
        <f t="shared" si="32"/>
        <v>1.5968508615567438</v>
      </c>
    </row>
    <row r="778" spans="1:11" hidden="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H778" s="5">
        <v>840</v>
      </c>
      <c r="I778" s="6">
        <v>440.18999062500001</v>
      </c>
      <c r="J778" s="5">
        <v>3200</v>
      </c>
      <c r="K778" s="6">
        <f t="shared" si="32"/>
        <v>1.9082669253958573</v>
      </c>
    </row>
    <row r="779" spans="1:11" hidden="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H779" s="5">
        <v>1425</v>
      </c>
      <c r="I779" s="6">
        <v>880.38</v>
      </c>
      <c r="J779" s="5">
        <v>6400</v>
      </c>
      <c r="K779" s="6">
        <f t="shared" si="32"/>
        <v>1.6186192326041027</v>
      </c>
    </row>
    <row r="780" spans="1:11" hidden="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H780" s="5">
        <v>775</v>
      </c>
      <c r="I780" s="6">
        <v>330.14249999999998</v>
      </c>
      <c r="J780" s="5">
        <v>2400</v>
      </c>
      <c r="K780" s="6">
        <f t="shared" si="32"/>
        <v>2.3474711677533189</v>
      </c>
    </row>
    <row r="781" spans="1:11" hidden="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H781" s="5">
        <v>5250</v>
      </c>
      <c r="I781" s="6">
        <v>1650.7125000000001</v>
      </c>
      <c r="J781" s="5">
        <v>12000</v>
      </c>
      <c r="K781" s="6">
        <f t="shared" si="32"/>
        <v>3.180444807923851</v>
      </c>
    </row>
    <row r="782" spans="1:11" hidden="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H782" s="5">
        <v>2320</v>
      </c>
      <c r="I782" s="6">
        <v>1287.0000000000018</v>
      </c>
      <c r="J782" s="5">
        <v>9400</v>
      </c>
      <c r="K782" s="6">
        <f t="shared" si="32"/>
        <v>1.8026418026418001</v>
      </c>
    </row>
    <row r="783" spans="1:11" hidden="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H783" s="5">
        <v>4750</v>
      </c>
      <c r="I783" s="6">
        <v>2641.14</v>
      </c>
      <c r="J783" s="5">
        <v>19200</v>
      </c>
      <c r="K783" s="6">
        <f t="shared" si="32"/>
        <v>1.7984658140045586</v>
      </c>
    </row>
    <row r="784" spans="1:11" hidden="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H784" s="5">
        <v>2460</v>
      </c>
      <c r="I784" s="6">
        <v>880.38</v>
      </c>
      <c r="J784" s="5">
        <v>6400</v>
      </c>
      <c r="K784" s="6">
        <f t="shared" si="32"/>
        <v>2.7942479383902405</v>
      </c>
    </row>
    <row r="785" spans="1:11" hidden="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H785" s="5">
        <v>1640</v>
      </c>
      <c r="I785" s="6">
        <v>880.38</v>
      </c>
      <c r="J785" s="5">
        <v>6400</v>
      </c>
      <c r="K785" s="6">
        <f t="shared" si="32"/>
        <v>1.862831958926827</v>
      </c>
    </row>
    <row r="786" spans="1:11" hidden="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H786" s="5">
        <v>440</v>
      </c>
      <c r="I786" s="6">
        <v>1755.4</v>
      </c>
      <c r="J786" s="5">
        <v>12800</v>
      </c>
      <c r="K786" s="6">
        <f t="shared" si="32"/>
        <v>0.25065512133986556</v>
      </c>
    </row>
    <row r="787" spans="1:11" hidden="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H787" s="5">
        <v>4360</v>
      </c>
      <c r="I787" s="6">
        <v>2413.6749943750001</v>
      </c>
      <c r="J787" s="5">
        <v>17600</v>
      </c>
      <c r="K787" s="6">
        <f t="shared" si="32"/>
        <v>1.8063741017994777</v>
      </c>
    </row>
    <row r="788" spans="1:11" hidden="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H788" s="5">
        <v>2700</v>
      </c>
      <c r="I788" s="6">
        <v>1645.6875</v>
      </c>
      <c r="J788" s="5">
        <v>12000</v>
      </c>
      <c r="K788" s="6">
        <f t="shared" si="32"/>
        <v>1.6406517033154837</v>
      </c>
    </row>
    <row r="789" spans="1:11" hidden="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H789" s="5">
        <v>1540</v>
      </c>
      <c r="I789" s="6">
        <v>726.32013058333712</v>
      </c>
      <c r="J789" s="5">
        <v>5712</v>
      </c>
      <c r="K789" s="6">
        <f t="shared" si="32"/>
        <v>2.120277182408759</v>
      </c>
    </row>
    <row r="790" spans="1:11" hidden="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H790" s="5">
        <v>2490</v>
      </c>
      <c r="I790" s="6">
        <v>924.39958333667107</v>
      </c>
      <c r="J790" s="5">
        <v>6720</v>
      </c>
      <c r="K790" s="6">
        <f t="shared" si="32"/>
        <v>2.6936403313945774</v>
      </c>
    </row>
    <row r="791" spans="1:11" hidden="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H791" s="5">
        <v>1560</v>
      </c>
      <c r="I791" s="6">
        <v>1122.485208333339</v>
      </c>
      <c r="J791" s="5">
        <v>8160</v>
      </c>
      <c r="K791" s="6">
        <f t="shared" si="32"/>
        <v>1.3897733247784005</v>
      </c>
    </row>
    <row r="792" spans="1:11" hidden="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H792" s="5">
        <v>460</v>
      </c>
      <c r="I792" s="6">
        <v>396.17125000000198</v>
      </c>
      <c r="J792" s="5">
        <v>2880</v>
      </c>
      <c r="K792" s="6">
        <f t="shared" si="32"/>
        <v>1.1611140384366552</v>
      </c>
    </row>
    <row r="793" spans="1:11" hidden="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H793" s="5">
        <v>2100</v>
      </c>
      <c r="I793" s="6">
        <v>1535.9749999999999</v>
      </c>
      <c r="J793" s="5">
        <v>11200</v>
      </c>
      <c r="K793" s="6">
        <f t="shared" si="32"/>
        <v>1.367209752762903</v>
      </c>
    </row>
    <row r="794" spans="1:11" hidden="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H794" s="5">
        <v>2280</v>
      </c>
      <c r="I794" s="6">
        <v>1535.9749999999999</v>
      </c>
      <c r="J794" s="5">
        <v>11200</v>
      </c>
      <c r="K794" s="6">
        <f t="shared" si="32"/>
        <v>1.4843991601425806</v>
      </c>
    </row>
    <row r="795" spans="1:11" hidden="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H795" s="5">
        <v>930</v>
      </c>
      <c r="I795" s="6">
        <v>594.25687500000299</v>
      </c>
      <c r="J795" s="5">
        <v>4320</v>
      </c>
      <c r="K795" s="6">
        <f t="shared" si="32"/>
        <v>1.5649797909363612</v>
      </c>
    </row>
    <row r="796" spans="1:11" hidden="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H796" s="5">
        <v>4240</v>
      </c>
      <c r="I796" s="6">
        <v>2575.1131250013459</v>
      </c>
      <c r="J796" s="5">
        <v>18720</v>
      </c>
      <c r="K796" s="6">
        <f t="shared" si="32"/>
        <v>1.6465296063441035</v>
      </c>
    </row>
    <row r="797" spans="1:11" hidden="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H797" s="5">
        <v>930</v>
      </c>
      <c r="I797" s="6">
        <v>528.37931032368999</v>
      </c>
      <c r="J797" s="5">
        <v>4000</v>
      </c>
      <c r="K797" s="6">
        <f t="shared" ref="K797:K803" si="33">IFERROR(H797/I797,"")</f>
        <v>1.7600991973555389</v>
      </c>
    </row>
    <row r="798" spans="1:11" hidden="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H798" s="5">
        <v>3600</v>
      </c>
      <c r="I798" s="6">
        <v>2272.0310343918732</v>
      </c>
      <c r="J798" s="5">
        <v>17200</v>
      </c>
      <c r="K798" s="6">
        <f t="shared" si="33"/>
        <v>1.5844853989697232</v>
      </c>
    </row>
    <row r="799" spans="1:11" hidden="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H799" s="5">
        <v>1575</v>
      </c>
      <c r="I799" s="6">
        <v>1162.4344827121224</v>
      </c>
      <c r="J799" s="5">
        <v>8800</v>
      </c>
      <c r="K799" s="6">
        <f t="shared" si="33"/>
        <v>1.3549150712780857</v>
      </c>
    </row>
    <row r="800" spans="1:11" hidden="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H800" s="5">
        <v>2030</v>
      </c>
      <c r="I800" s="6">
        <v>1162.4344827121181</v>
      </c>
      <c r="J800" s="5">
        <v>8800</v>
      </c>
      <c r="K800" s="6">
        <f t="shared" si="33"/>
        <v>1.7463349807584281</v>
      </c>
    </row>
    <row r="801" spans="1:11" hidden="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H801" s="5">
        <v>2130</v>
      </c>
      <c r="I801" s="6">
        <v>1056.7586206473827</v>
      </c>
      <c r="J801" s="5">
        <v>8000</v>
      </c>
      <c r="K801" s="6">
        <f t="shared" si="33"/>
        <v>2.0155974679394024</v>
      </c>
    </row>
    <row r="802" spans="1:11" hidden="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H802" s="5">
        <v>1290</v>
      </c>
      <c r="I802" s="6">
        <v>1109.596551679753</v>
      </c>
      <c r="J802" s="5">
        <v>8400</v>
      </c>
      <c r="K802" s="6">
        <f t="shared" si="33"/>
        <v>1.1625847232916728</v>
      </c>
    </row>
    <row r="803" spans="1:11" hidden="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H803" s="5">
        <v>3700</v>
      </c>
      <c r="I803" s="6">
        <v>1902.1655171652881</v>
      </c>
      <c r="J803" s="5">
        <v>14400</v>
      </c>
      <c r="K803" s="6">
        <f t="shared" si="33"/>
        <v>1.9451514427166907</v>
      </c>
    </row>
    <row r="804" spans="1:11" hidden="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H804" s="5">
        <v>1750</v>
      </c>
      <c r="I804" s="6">
        <v>951.10714281909407</v>
      </c>
      <c r="J804" s="5">
        <v>7200</v>
      </c>
      <c r="K804" s="6">
        <f t="shared" si="32"/>
        <v>1.8399609478412464</v>
      </c>
    </row>
    <row r="805" spans="1:11" hidden="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H805" s="5">
        <v>5970</v>
      </c>
      <c r="I805" s="6">
        <v>3804.4285712763772</v>
      </c>
      <c r="J805" s="5">
        <v>28800</v>
      </c>
      <c r="K805" s="6">
        <f t="shared" si="32"/>
        <v>1.5692238369446054</v>
      </c>
    </row>
    <row r="806" spans="1:11" hidden="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H806" s="5">
        <v>3000</v>
      </c>
      <c r="I806" s="6">
        <v>2641.8965516184649</v>
      </c>
      <c r="J806" s="5">
        <v>20000</v>
      </c>
      <c r="K806" s="6">
        <f t="shared" si="32"/>
        <v>1.1355478692616316</v>
      </c>
    </row>
    <row r="807" spans="1:11" hidden="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H807" s="5">
        <v>7170</v>
      </c>
      <c r="I807" s="6">
        <v>3592.9793102010913</v>
      </c>
      <c r="J807" s="5">
        <v>26044</v>
      </c>
      <c r="K807" s="6">
        <f t="shared" si="32"/>
        <v>1.9955583878936143</v>
      </c>
    </row>
    <row r="808" spans="1:11" hidden="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H808" s="5">
        <v>2150</v>
      </c>
      <c r="I808" s="6">
        <v>1268.1103447768633</v>
      </c>
      <c r="J808" s="5">
        <v>9600</v>
      </c>
      <c r="K808" s="6">
        <f t="shared" si="32"/>
        <v>1.6954360548003526</v>
      </c>
    </row>
    <row r="809" spans="1:11" hidden="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H809" s="5">
        <v>525</v>
      </c>
      <c r="I809" s="6">
        <v>528.37931032368999</v>
      </c>
      <c r="J809" s="5">
        <v>4000</v>
      </c>
      <c r="K809" s="6">
        <f t="shared" si="32"/>
        <v>0.99360438560393327</v>
      </c>
    </row>
    <row r="810" spans="1:11" hidden="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H810" s="5">
        <v>1650</v>
      </c>
      <c r="I810" s="6">
        <v>1162.4344827121247</v>
      </c>
      <c r="J810" s="5">
        <v>8800</v>
      </c>
      <c r="K810" s="6">
        <f t="shared" si="32"/>
        <v>1.4194348365770393</v>
      </c>
    </row>
    <row r="811" spans="1:11" hidden="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H811" s="5">
        <v>1050</v>
      </c>
      <c r="I811" s="6">
        <v>528.3915024419166</v>
      </c>
      <c r="J811" s="5">
        <v>4000</v>
      </c>
      <c r="K811" s="6">
        <f t="shared" si="32"/>
        <v>1.9871629183049195</v>
      </c>
    </row>
    <row r="812" spans="1:11" hidden="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H812" s="5">
        <v>8610</v>
      </c>
      <c r="I812" s="6">
        <v>3910.1071427007282</v>
      </c>
      <c r="J812" s="5">
        <v>29260</v>
      </c>
      <c r="K812" s="6">
        <f t="shared" si="32"/>
        <v>2.2019856964975735</v>
      </c>
    </row>
    <row r="813" spans="1:11" hidden="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H813" s="5">
        <v>2960</v>
      </c>
      <c r="I813" s="6">
        <v>1902.2142856381945</v>
      </c>
      <c r="J813" s="5">
        <v>14400</v>
      </c>
      <c r="K813" s="6">
        <f t="shared" si="32"/>
        <v>1.5560812587457347</v>
      </c>
    </row>
    <row r="814" spans="1:11" hidden="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H814" s="5">
        <v>1950</v>
      </c>
      <c r="I814" s="6">
        <v>1162.4642856677858</v>
      </c>
      <c r="J814" s="5">
        <v>8800</v>
      </c>
      <c r="K814" s="6">
        <f t="shared" si="32"/>
        <v>1.6774708901098057</v>
      </c>
    </row>
    <row r="815" spans="1:11" hidden="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H815" s="5">
        <v>390</v>
      </c>
      <c r="I815" s="6">
        <v>317.03571427303262</v>
      </c>
      <c r="J815" s="5">
        <v>2400</v>
      </c>
      <c r="K815" s="6">
        <f t="shared" si="32"/>
        <v>1.230145319413857</v>
      </c>
    </row>
    <row r="816" spans="1:11" hidden="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H816" s="5">
        <v>1250</v>
      </c>
      <c r="I816" s="6">
        <v>951.10714281875391</v>
      </c>
      <c r="J816" s="5">
        <v>7200</v>
      </c>
      <c r="K816" s="6">
        <f t="shared" si="32"/>
        <v>1.3142578198870747</v>
      </c>
    </row>
    <row r="817" spans="1:11" hidden="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H817" s="5">
        <v>690</v>
      </c>
      <c r="I817" s="6">
        <v>898.26785710660101</v>
      </c>
      <c r="J817" s="5">
        <v>6800</v>
      </c>
      <c r="K817" s="6">
        <f t="shared" si="32"/>
        <v>0.76814504108223358</v>
      </c>
    </row>
    <row r="818" spans="1:11" hidden="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H818" s="5">
        <v>825</v>
      </c>
      <c r="I818" s="6">
        <v>1162.4642856673661</v>
      </c>
      <c r="J818" s="5">
        <v>8800</v>
      </c>
      <c r="K818" s="6">
        <f t="shared" si="32"/>
        <v>0.7096992227390202</v>
      </c>
    </row>
    <row r="819" spans="1:11" hidden="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H819" s="5">
        <v>0</v>
      </c>
      <c r="I819" s="6">
        <v>105.68</v>
      </c>
      <c r="J819" s="5">
        <v>0</v>
      </c>
      <c r="K819" s="6">
        <f t="shared" si="32"/>
        <v>0</v>
      </c>
    </row>
    <row r="820" spans="1:11" hidden="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H820" s="5">
        <v>2520</v>
      </c>
      <c r="I820" s="6">
        <v>686.91071425798896</v>
      </c>
      <c r="J820" s="5">
        <v>5200</v>
      </c>
      <c r="K820" s="6">
        <f t="shared" si="32"/>
        <v>3.6685990590817048</v>
      </c>
    </row>
    <row r="821" spans="1:11" hidden="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H821" s="5">
        <v>925</v>
      </c>
      <c r="I821" s="6">
        <v>845.428571394752</v>
      </c>
      <c r="J821" s="5">
        <v>6400</v>
      </c>
      <c r="K821" s="6">
        <f t="shared" si="32"/>
        <v>1.0941196350555962</v>
      </c>
    </row>
    <row r="822" spans="1:11" hidden="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H822" s="5">
        <v>3950</v>
      </c>
      <c r="I822" s="6">
        <v>3910.1071427007355</v>
      </c>
      <c r="J822" s="5">
        <v>29600</v>
      </c>
      <c r="K822" s="6">
        <f t="shared" si="32"/>
        <v>1.0102024972317536</v>
      </c>
    </row>
    <row r="823" spans="1:11" hidden="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H823" s="5">
        <v>4175</v>
      </c>
      <c r="I823" s="6">
        <v>4015.7857141250793</v>
      </c>
      <c r="J823" s="5">
        <v>30400</v>
      </c>
      <c r="K823" s="6">
        <f t="shared" si="32"/>
        <v>1.0396471069945048</v>
      </c>
    </row>
    <row r="824" spans="1:11" hidden="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H824" s="5">
        <v>0</v>
      </c>
      <c r="I824" s="6">
        <v>105.68</v>
      </c>
      <c r="J824" s="5">
        <v>0</v>
      </c>
      <c r="K824" s="6">
        <f t="shared" si="32"/>
        <v>0</v>
      </c>
    </row>
    <row r="825" spans="1:11" hidden="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H825" s="5">
        <v>4740</v>
      </c>
      <c r="I825" s="6">
        <v>2747.5751230427709</v>
      </c>
      <c r="J825" s="5">
        <v>20800</v>
      </c>
      <c r="K825" s="6">
        <f t="shared" si="32"/>
        <v>1.7251575617523938</v>
      </c>
    </row>
    <row r="826" spans="1:11" hidden="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H826" s="5">
        <v>2150</v>
      </c>
      <c r="I826" s="6">
        <v>1056.75862064738</v>
      </c>
      <c r="J826" s="5">
        <v>9600</v>
      </c>
      <c r="K826" s="6">
        <f t="shared" si="32"/>
        <v>2.0345232657604346</v>
      </c>
    </row>
    <row r="827" spans="1:11" hidden="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H827" s="5">
        <v>12900</v>
      </c>
      <c r="I827" s="6">
        <v>3592.9793102011122</v>
      </c>
      <c r="J827" s="5">
        <v>27820</v>
      </c>
      <c r="K827" s="6">
        <f t="shared" si="32"/>
        <v>3.5903351748713352</v>
      </c>
    </row>
    <row r="828" spans="1:11" hidden="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H828" s="5">
        <v>2610</v>
      </c>
      <c r="I828" s="6">
        <v>1585.2222221588099</v>
      </c>
      <c r="J828" s="5">
        <v>11490</v>
      </c>
      <c r="K828" s="6">
        <f t="shared" si="32"/>
        <v>1.6464568585504766</v>
      </c>
    </row>
    <row r="829" spans="1:11" hidden="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H829" s="5">
        <v>1175</v>
      </c>
      <c r="I829" s="6">
        <v>1796.5851851133182</v>
      </c>
      <c r="J829" s="5">
        <v>13600</v>
      </c>
      <c r="K829" s="6">
        <f t="shared" si="32"/>
        <v>0.65401852900500668</v>
      </c>
    </row>
    <row r="830" spans="1:11" hidden="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H830" s="5">
        <v>3570</v>
      </c>
      <c r="I830" s="6">
        <v>2219.311111022334</v>
      </c>
      <c r="J830" s="5">
        <v>16800</v>
      </c>
      <c r="K830" s="6">
        <f t="shared" si="32"/>
        <v>1.6086072755952932</v>
      </c>
    </row>
    <row r="831" spans="1:11" hidden="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H831" s="5">
        <v>2550</v>
      </c>
      <c r="I831" s="6">
        <v>2959.0814813631118</v>
      </c>
      <c r="J831" s="5">
        <v>22400</v>
      </c>
      <c r="K831" s="6">
        <f t="shared" si="32"/>
        <v>0.86175389764033572</v>
      </c>
    </row>
    <row r="832" spans="1:11" hidden="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H832" s="5">
        <v>960</v>
      </c>
      <c r="I832" s="6">
        <v>1912.3542857142861</v>
      </c>
      <c r="J832" s="5">
        <v>16320</v>
      </c>
      <c r="K832" s="6">
        <f t="shared" si="32"/>
        <v>0.50199903185900985</v>
      </c>
    </row>
    <row r="833" spans="1:11" hidden="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H833" s="5">
        <v>2625</v>
      </c>
      <c r="I833" s="6">
        <v>2812.2857142428579</v>
      </c>
      <c r="J833" s="5">
        <v>20000</v>
      </c>
      <c r="K833" s="6">
        <f t="shared" si="32"/>
        <v>0.93340444987707083</v>
      </c>
    </row>
    <row r="834" spans="1:11" hidden="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H834" s="5">
        <v>1300</v>
      </c>
      <c r="I834" s="6">
        <v>1768.8376470588223</v>
      </c>
      <c r="J834" s="5">
        <v>12800</v>
      </c>
      <c r="K834" s="6">
        <f t="shared" si="32"/>
        <v>0.73494591330165693</v>
      </c>
    </row>
    <row r="835" spans="1:11" hidden="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H835" s="5">
        <v>4400</v>
      </c>
      <c r="I835" s="6">
        <v>2263.7999998868127</v>
      </c>
      <c r="J835" s="5">
        <v>17920</v>
      </c>
      <c r="K835" s="6">
        <f t="shared" si="32"/>
        <v>1.9436345967930007</v>
      </c>
    </row>
    <row r="836" spans="1:11" hidden="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H836" s="5">
        <v>1050</v>
      </c>
      <c r="I836" s="6">
        <v>994.97117647058747</v>
      </c>
      <c r="J836" s="5">
        <v>7200</v>
      </c>
      <c r="K836" s="6">
        <f t="shared" si="32"/>
        <v>1.0553069524331484</v>
      </c>
    </row>
    <row r="837" spans="1:11" hidden="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H837" s="5">
        <v>1020</v>
      </c>
      <c r="I837" s="6">
        <v>994.97117647058747</v>
      </c>
      <c r="J837" s="5">
        <v>7920</v>
      </c>
      <c r="K837" s="6">
        <f t="shared" si="32"/>
        <v>1.0251553252207728</v>
      </c>
    </row>
    <row r="838" spans="1:11" hidden="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H838" s="5">
        <v>3175</v>
      </c>
      <c r="I838" s="6">
        <v>2263.7999998868127</v>
      </c>
      <c r="J838" s="5">
        <v>17920</v>
      </c>
      <c r="K838" s="6">
        <f t="shared" si="32"/>
        <v>1.4025090556404038</v>
      </c>
    </row>
    <row r="839" spans="1:11" hidden="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H839" s="5">
        <v>7680</v>
      </c>
      <c r="I839" s="6">
        <v>6727.0499997982479</v>
      </c>
      <c r="J839" s="5">
        <v>49210</v>
      </c>
      <c r="K839" s="6">
        <f t="shared" si="32"/>
        <v>1.1416594198393548</v>
      </c>
    </row>
    <row r="840" spans="1:11" hidden="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H840" s="5">
        <v>1050</v>
      </c>
      <c r="I840" s="6">
        <v>994.95</v>
      </c>
      <c r="J840" s="5">
        <v>7200</v>
      </c>
      <c r="K840" s="6">
        <f t="shared" si="32"/>
        <v>1.0553294135383686</v>
      </c>
    </row>
    <row r="841" spans="1:11" hidden="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H841" s="5">
        <v>1200</v>
      </c>
      <c r="I841" s="6">
        <v>831.6</v>
      </c>
      <c r="J841" s="5">
        <v>6300</v>
      </c>
      <c r="K841" s="6">
        <f t="shared" ref="K841:K904" si="35">+H841/I841</f>
        <v>1.4430014430014431</v>
      </c>
    </row>
    <row r="842" spans="1:11" hidden="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H842" s="5">
        <v>1625</v>
      </c>
      <c r="I842" s="6">
        <v>1267.2</v>
      </c>
      <c r="J842" s="5">
        <v>9600</v>
      </c>
      <c r="K842" s="6">
        <f t="shared" si="35"/>
        <v>1.282354797979798</v>
      </c>
    </row>
    <row r="843" spans="1:11" hidden="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H843" s="5">
        <v>420</v>
      </c>
      <c r="I843" s="6">
        <v>316.8</v>
      </c>
      <c r="J843" s="5">
        <v>2400</v>
      </c>
      <c r="K843" s="6">
        <f t="shared" si="35"/>
        <v>1.3257575757575757</v>
      </c>
    </row>
    <row r="844" spans="1:11" hidden="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H844" s="5">
        <v>8490</v>
      </c>
      <c r="I844" s="6">
        <v>3603.6</v>
      </c>
      <c r="J844" s="5">
        <v>27296</v>
      </c>
      <c r="K844" s="6">
        <f t="shared" si="35"/>
        <v>2.3559773559773562</v>
      </c>
    </row>
    <row r="845" spans="1:11" hidden="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H845" s="5">
        <v>5925</v>
      </c>
      <c r="I845" s="6">
        <v>3682.8</v>
      </c>
      <c r="J845" s="5">
        <v>27900</v>
      </c>
      <c r="K845" s="6">
        <f t="shared" si="35"/>
        <v>1.6088302378624959</v>
      </c>
    </row>
    <row r="846" spans="1:11" hidden="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H846" s="5">
        <v>2575</v>
      </c>
      <c r="I846" s="6">
        <v>2376</v>
      </c>
      <c r="J846" s="5">
        <v>18000</v>
      </c>
      <c r="K846" s="6">
        <f t="shared" si="35"/>
        <v>1.0837542087542087</v>
      </c>
    </row>
    <row r="847" spans="1:11" hidden="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H847" s="5">
        <v>1080</v>
      </c>
      <c r="I847" s="6">
        <v>950.4</v>
      </c>
      <c r="J847" s="5">
        <v>7200</v>
      </c>
      <c r="K847" s="6">
        <f t="shared" si="35"/>
        <v>1.1363636363636365</v>
      </c>
    </row>
    <row r="848" spans="1:11" hidden="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H848" s="5">
        <v>1925</v>
      </c>
      <c r="I848" s="6">
        <v>1346.4</v>
      </c>
      <c r="J848" s="5">
        <v>10200</v>
      </c>
      <c r="K848" s="6">
        <f t="shared" si="35"/>
        <v>1.4297385620915031</v>
      </c>
    </row>
    <row r="849" spans="1:11" hidden="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H849" s="5">
        <v>4620</v>
      </c>
      <c r="I849" s="6">
        <v>2851.2</v>
      </c>
      <c r="J849" s="5">
        <v>21600</v>
      </c>
      <c r="K849" s="6">
        <f t="shared" si="35"/>
        <v>1.6203703703703705</v>
      </c>
    </row>
    <row r="850" spans="1:11" hidden="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H850" s="5">
        <v>1740</v>
      </c>
      <c r="I850" s="6">
        <v>2138.4</v>
      </c>
      <c r="J850" s="5">
        <v>16200</v>
      </c>
      <c r="K850" s="6">
        <f t="shared" si="35"/>
        <v>0.81369248035914699</v>
      </c>
    </row>
    <row r="851" spans="1:11" hidden="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H851" s="5">
        <v>1150</v>
      </c>
      <c r="I851" s="6">
        <v>963.6</v>
      </c>
      <c r="J851" s="5">
        <v>7570</v>
      </c>
      <c r="K851" s="6">
        <f t="shared" si="35"/>
        <v>1.1934412619344126</v>
      </c>
    </row>
    <row r="852" spans="1:11" hidden="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H852" s="5">
        <v>5375</v>
      </c>
      <c r="I852" s="6">
        <v>3168</v>
      </c>
      <c r="J852" s="5">
        <v>24000</v>
      </c>
      <c r="K852" s="6">
        <f t="shared" si="35"/>
        <v>1.6966540404040404</v>
      </c>
    </row>
    <row r="853" spans="1:11" hidden="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H853" s="5">
        <v>1620</v>
      </c>
      <c r="I853" s="6">
        <v>1188</v>
      </c>
      <c r="J853" s="5">
        <v>9000</v>
      </c>
      <c r="K853" s="6">
        <f t="shared" si="35"/>
        <v>1.3636363636363635</v>
      </c>
    </row>
    <row r="854" spans="1:11" hidden="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H854" s="5">
        <v>3400</v>
      </c>
      <c r="I854" s="6">
        <v>2732.4</v>
      </c>
      <c r="J854" s="5">
        <v>20700</v>
      </c>
      <c r="K854" s="6">
        <f t="shared" si="35"/>
        <v>1.244327331283853</v>
      </c>
    </row>
    <row r="855" spans="1:11" hidden="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H855" s="5">
        <v>330</v>
      </c>
      <c r="I855" s="6">
        <v>673.2</v>
      </c>
      <c r="J855" s="5">
        <v>5100</v>
      </c>
      <c r="K855" s="6">
        <f t="shared" si="35"/>
        <v>0.49019607843137253</v>
      </c>
    </row>
    <row r="856" spans="1:11" hidden="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H856" s="5">
        <v>2420</v>
      </c>
      <c r="I856" s="6">
        <v>1100.4749999999999</v>
      </c>
      <c r="J856" s="5">
        <v>8000</v>
      </c>
      <c r="K856" s="6">
        <f t="shared" si="35"/>
        <v>2.199050410050206</v>
      </c>
    </row>
    <row r="857" spans="1:11" hidden="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H857" s="5">
        <v>2325</v>
      </c>
      <c r="I857" s="6">
        <v>1287</v>
      </c>
      <c r="J857" s="5">
        <v>9400</v>
      </c>
      <c r="K857" s="6">
        <f t="shared" si="35"/>
        <v>1.8065268065268065</v>
      </c>
    </row>
    <row r="858" spans="1:11" hidden="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H858" s="5">
        <v>3630</v>
      </c>
      <c r="I858" s="6">
        <v>2641.14</v>
      </c>
      <c r="J858" s="5">
        <v>19200</v>
      </c>
      <c r="K858" s="6">
        <f t="shared" si="35"/>
        <v>1.3744065062813786</v>
      </c>
    </row>
    <row r="859" spans="1:11" hidden="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H859" s="5">
        <v>3425</v>
      </c>
      <c r="I859" s="6">
        <v>2641.14</v>
      </c>
      <c r="J859" s="5">
        <v>19200</v>
      </c>
      <c r="K859" s="6">
        <f t="shared" si="35"/>
        <v>1.2967885079927608</v>
      </c>
    </row>
    <row r="860" spans="1:11" hidden="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H860" s="5">
        <v>2100</v>
      </c>
      <c r="I860" s="6">
        <v>1430.6174906250001</v>
      </c>
      <c r="J860" s="5">
        <v>10400</v>
      </c>
      <c r="K860" s="6">
        <f t="shared" si="35"/>
        <v>1.4678976132764627</v>
      </c>
    </row>
    <row r="861" spans="1:11" hidden="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H861" s="5">
        <v>1650</v>
      </c>
      <c r="I861" s="6">
        <v>1430.6175000000001</v>
      </c>
      <c r="J861" s="5">
        <v>10400</v>
      </c>
      <c r="K861" s="6">
        <f t="shared" si="35"/>
        <v>1.1533481171591986</v>
      </c>
    </row>
    <row r="862" spans="1:11" hidden="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H862" s="5">
        <v>3240</v>
      </c>
      <c r="I862" s="6">
        <v>2861.2350000000001</v>
      </c>
      <c r="J862" s="5">
        <v>20800</v>
      </c>
      <c r="K862" s="6">
        <f t="shared" si="35"/>
        <v>1.1323781513926678</v>
      </c>
    </row>
    <row r="863" spans="1:11" hidden="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H863" s="5">
        <v>3350</v>
      </c>
      <c r="I863" s="6">
        <v>3071.9505625000002</v>
      </c>
      <c r="J863" s="5">
        <v>22400</v>
      </c>
      <c r="K863" s="6">
        <f t="shared" si="35"/>
        <v>1.0905123412121969</v>
      </c>
    </row>
    <row r="864" spans="1:11" hidden="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H864" s="5">
        <v>2180</v>
      </c>
      <c r="I864" s="6">
        <v>1097.125</v>
      </c>
      <c r="J864" s="5">
        <v>8000</v>
      </c>
      <c r="K864" s="6">
        <f t="shared" si="35"/>
        <v>1.9870115073487524</v>
      </c>
    </row>
    <row r="865" spans="1:11" hidden="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H865" s="5">
        <v>4260</v>
      </c>
      <c r="I865" s="6">
        <v>2852.5250000000001</v>
      </c>
      <c r="J865" s="5">
        <v>20800</v>
      </c>
      <c r="K865" s="6">
        <f t="shared" si="35"/>
        <v>1.4934137299410171</v>
      </c>
    </row>
    <row r="866" spans="1:11" hidden="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H866" s="5">
        <v>3390</v>
      </c>
      <c r="I866" s="6">
        <v>2633.1</v>
      </c>
      <c r="J866" s="5">
        <v>19200</v>
      </c>
      <c r="K866" s="6">
        <f t="shared" si="35"/>
        <v>1.2874558505184004</v>
      </c>
    </row>
    <row r="867" spans="1:11" hidden="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H867" s="5">
        <v>3720</v>
      </c>
      <c r="I867" s="6">
        <v>2633.1</v>
      </c>
      <c r="J867" s="5">
        <v>19200</v>
      </c>
      <c r="K867" s="6">
        <f t="shared" si="35"/>
        <v>1.4127834111883333</v>
      </c>
    </row>
    <row r="868" spans="1:11" hidden="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H868" s="5">
        <v>2850</v>
      </c>
      <c r="I868" s="6">
        <v>2852.5250000000001</v>
      </c>
      <c r="J868" s="5">
        <v>20800</v>
      </c>
      <c r="K868" s="6">
        <f t="shared" si="35"/>
        <v>0.99911481932673685</v>
      </c>
    </row>
    <row r="869" spans="1:11" hidden="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H869" s="5">
        <v>4950</v>
      </c>
      <c r="I869" s="6">
        <v>2852.5250000000001</v>
      </c>
      <c r="J869" s="5">
        <v>20800</v>
      </c>
      <c r="K869" s="6">
        <f t="shared" si="35"/>
        <v>1.7353046861990691</v>
      </c>
    </row>
    <row r="870" spans="1:11" hidden="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H870" s="5">
        <v>3300</v>
      </c>
      <c r="I870" s="6">
        <v>3071.95</v>
      </c>
      <c r="J870" s="5">
        <v>22400</v>
      </c>
      <c r="K870" s="6">
        <f t="shared" si="35"/>
        <v>1.0742362343137095</v>
      </c>
    </row>
    <row r="871" spans="1:11" hidden="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H871" s="5">
        <v>1825</v>
      </c>
      <c r="I871" s="6">
        <v>1645.6875</v>
      </c>
      <c r="J871" s="5">
        <v>12000</v>
      </c>
      <c r="K871" s="6">
        <f t="shared" si="35"/>
        <v>1.1089590216854659</v>
      </c>
    </row>
    <row r="872" spans="1:11" hidden="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H872" s="5">
        <v>6880</v>
      </c>
      <c r="I872" s="6">
        <v>4121.4642855494085</v>
      </c>
      <c r="J872" s="5">
        <v>31200</v>
      </c>
      <c r="K872" s="6">
        <f t="shared" si="35"/>
        <v>1.6693096247667392</v>
      </c>
    </row>
    <row r="873" spans="1:11" hidden="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H873" s="5">
        <v>1170</v>
      </c>
      <c r="I873" s="6">
        <v>1056.7857142434418</v>
      </c>
      <c r="J873" s="5">
        <v>8000</v>
      </c>
      <c r="K873" s="6">
        <f t="shared" si="35"/>
        <v>1.1071307874724716</v>
      </c>
    </row>
    <row r="874" spans="1:11" hidden="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H874" s="5">
        <v>6180</v>
      </c>
      <c r="I874" s="6">
        <v>2641.9642856076484</v>
      </c>
      <c r="J874" s="5">
        <v>19996</v>
      </c>
      <c r="K874" s="6">
        <f t="shared" si="35"/>
        <v>2.3391686381478118</v>
      </c>
    </row>
    <row r="875" spans="1:11" hidden="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H875" s="5">
        <v>780</v>
      </c>
      <c r="I875" s="6">
        <v>528.39285712153003</v>
      </c>
      <c r="J875" s="5">
        <v>4000</v>
      </c>
      <c r="K875" s="6">
        <f t="shared" si="35"/>
        <v>1.4761743832971619</v>
      </c>
    </row>
    <row r="876" spans="1:11" hidden="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H876" s="5">
        <v>2490</v>
      </c>
      <c r="I876" s="6">
        <v>1902.2142856375078</v>
      </c>
      <c r="J876" s="5">
        <v>14400</v>
      </c>
      <c r="K876" s="6">
        <f t="shared" si="35"/>
        <v>1.3090007886075263</v>
      </c>
    </row>
    <row r="877" spans="1:11" hidden="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H877" s="5">
        <v>540</v>
      </c>
      <c r="I877" s="6">
        <v>686.89445810058101</v>
      </c>
      <c r="J877" s="5">
        <v>5200</v>
      </c>
      <c r="K877" s="6">
        <f t="shared" si="35"/>
        <v>0.78614697444673309</v>
      </c>
    </row>
    <row r="878" spans="1:11" hidden="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H878" s="5">
        <v>9040</v>
      </c>
      <c r="I878" s="6">
        <v>4487.9999999102474</v>
      </c>
      <c r="J878" s="5">
        <v>31740</v>
      </c>
      <c r="K878" s="6">
        <f t="shared" si="35"/>
        <v>2.0142602495946491</v>
      </c>
    </row>
    <row r="879" spans="1:11" hidden="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H879" s="5">
        <v>1850</v>
      </c>
      <c r="I879" s="6">
        <v>1702.8</v>
      </c>
      <c r="J879" s="5">
        <v>12900</v>
      </c>
      <c r="K879" s="6">
        <f t="shared" si="35"/>
        <v>1.0864458538877144</v>
      </c>
    </row>
    <row r="880" spans="1:11" hidden="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H880" s="5">
        <v>4820</v>
      </c>
      <c r="I880" s="6">
        <v>3009.6</v>
      </c>
      <c r="J880" s="5">
        <v>22800</v>
      </c>
      <c r="K880" s="6">
        <f t="shared" si="35"/>
        <v>1.6015417331206805</v>
      </c>
    </row>
    <row r="881" spans="1:11" hidden="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H881" s="5">
        <v>3000</v>
      </c>
      <c r="I881" s="6">
        <v>1386</v>
      </c>
      <c r="J881" s="5">
        <v>10500</v>
      </c>
      <c r="K881" s="6">
        <f t="shared" si="35"/>
        <v>2.1645021645021645</v>
      </c>
    </row>
    <row r="882" spans="1:11" hidden="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H882" s="5">
        <v>2280</v>
      </c>
      <c r="I882" s="6">
        <v>1386</v>
      </c>
      <c r="J882" s="5">
        <v>10500</v>
      </c>
      <c r="K882" s="6">
        <f t="shared" si="35"/>
        <v>1.6450216450216451</v>
      </c>
    </row>
    <row r="883" spans="1:11" hidden="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H883" s="5">
        <v>1075</v>
      </c>
      <c r="I883" s="6">
        <v>1029.5999999999999</v>
      </c>
      <c r="J883" s="5">
        <v>7800</v>
      </c>
      <c r="K883" s="6">
        <f t="shared" si="35"/>
        <v>1.0440947940947942</v>
      </c>
    </row>
    <row r="884" spans="1:11" hidden="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H884" s="5">
        <v>1900</v>
      </c>
      <c r="I884" s="6">
        <v>2653.2</v>
      </c>
      <c r="J884" s="5">
        <v>20100</v>
      </c>
      <c r="K884" s="6">
        <f t="shared" si="35"/>
        <v>0.71611638775817887</v>
      </c>
    </row>
    <row r="885" spans="1:11" hidden="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H885" s="5">
        <v>3570</v>
      </c>
      <c r="I885" s="6">
        <v>1768.8</v>
      </c>
      <c r="J885" s="5">
        <v>13400</v>
      </c>
      <c r="K885" s="6">
        <f t="shared" si="35"/>
        <v>2.0183175033921303</v>
      </c>
    </row>
    <row r="886" spans="1:11" hidden="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H886" s="5">
        <v>1335</v>
      </c>
      <c r="I886" s="6">
        <v>1029.5999999999999</v>
      </c>
      <c r="J886" s="5">
        <v>7800</v>
      </c>
      <c r="K886" s="6">
        <f t="shared" si="35"/>
        <v>1.2966200466200468</v>
      </c>
    </row>
    <row r="887" spans="1:11" hidden="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H887" s="5">
        <v>1750</v>
      </c>
      <c r="I887" s="6">
        <v>1346.4</v>
      </c>
      <c r="J887" s="5">
        <v>10200</v>
      </c>
      <c r="K887" s="6">
        <f t="shared" si="35"/>
        <v>1.2997623291740938</v>
      </c>
    </row>
    <row r="888" spans="1:11" hidden="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H888" s="5">
        <v>780</v>
      </c>
      <c r="I888" s="6">
        <v>440.18999062500001</v>
      </c>
      <c r="J888" s="5">
        <v>3200</v>
      </c>
      <c r="K888" s="6">
        <f t="shared" si="35"/>
        <v>1.7719621450104388</v>
      </c>
    </row>
    <row r="889" spans="1:11" hidden="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H889" s="5">
        <v>1400</v>
      </c>
      <c r="I889" s="6">
        <v>880.38</v>
      </c>
      <c r="J889" s="5">
        <v>6400</v>
      </c>
      <c r="K889" s="6">
        <f t="shared" si="35"/>
        <v>1.5902224039619255</v>
      </c>
    </row>
    <row r="890" spans="1:11" hidden="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H890" s="5">
        <v>375</v>
      </c>
      <c r="I890" s="6">
        <v>330.14249999999998</v>
      </c>
      <c r="J890" s="5">
        <v>2400</v>
      </c>
      <c r="K890" s="6">
        <f t="shared" si="35"/>
        <v>1.1358731456870896</v>
      </c>
    </row>
    <row r="891" spans="1:11" hidden="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H891" s="5">
        <v>3250</v>
      </c>
      <c r="I891" s="6">
        <v>1650.7125000000001</v>
      </c>
      <c r="J891" s="5">
        <v>12000</v>
      </c>
      <c r="K891" s="6">
        <f t="shared" si="35"/>
        <v>1.968846785857622</v>
      </c>
    </row>
    <row r="892" spans="1:11" hidden="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H892" s="5">
        <v>2240</v>
      </c>
      <c r="I892" s="6">
        <v>1287.0000000000018</v>
      </c>
      <c r="J892" s="5">
        <v>9400</v>
      </c>
      <c r="K892" s="6">
        <f t="shared" si="35"/>
        <v>1.7404817404817381</v>
      </c>
    </row>
    <row r="893" spans="1:11" hidden="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H893" s="5">
        <v>4575</v>
      </c>
      <c r="I893" s="6">
        <v>2641.14</v>
      </c>
      <c r="J893" s="5">
        <v>19200</v>
      </c>
      <c r="K893" s="6">
        <f t="shared" si="35"/>
        <v>1.7322065471728119</v>
      </c>
    </row>
    <row r="894" spans="1:11" hidden="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H894" s="5">
        <v>2370</v>
      </c>
      <c r="I894" s="6">
        <v>880.38</v>
      </c>
      <c r="J894" s="5">
        <v>6400</v>
      </c>
      <c r="K894" s="6">
        <f t="shared" si="35"/>
        <v>2.6920193552784024</v>
      </c>
    </row>
    <row r="895" spans="1:11" hidden="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H895" s="5">
        <v>1440</v>
      </c>
      <c r="I895" s="6">
        <v>880.38</v>
      </c>
      <c r="J895" s="5">
        <v>6400</v>
      </c>
      <c r="K895" s="6">
        <f t="shared" si="35"/>
        <v>1.635657329789409</v>
      </c>
    </row>
    <row r="896" spans="1:11" hidden="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H896" s="5">
        <v>490</v>
      </c>
      <c r="I896" s="6">
        <v>1755.4</v>
      </c>
      <c r="J896" s="5">
        <v>12800</v>
      </c>
      <c r="K896" s="6">
        <f t="shared" si="35"/>
        <v>0.27913865785575936</v>
      </c>
    </row>
    <row r="897" spans="1:11" hidden="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H897" s="5">
        <v>4220</v>
      </c>
      <c r="I897" s="6">
        <v>2413.6749943750001</v>
      </c>
      <c r="J897" s="5">
        <v>17600</v>
      </c>
      <c r="K897" s="6">
        <f t="shared" si="35"/>
        <v>1.7483712636683018</v>
      </c>
    </row>
    <row r="898" spans="1:11" hidden="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H898" s="5">
        <v>1800</v>
      </c>
      <c r="I898" s="6">
        <v>1645.6875</v>
      </c>
      <c r="J898" s="5">
        <v>12000</v>
      </c>
      <c r="K898" s="6">
        <f t="shared" si="35"/>
        <v>1.0937678022103223</v>
      </c>
    </row>
    <row r="899" spans="1:11" hidden="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H899" s="5">
        <v>1640</v>
      </c>
      <c r="I899" s="6">
        <v>726.32013058333712</v>
      </c>
      <c r="J899" s="5">
        <v>5712</v>
      </c>
      <c r="K899" s="6">
        <f t="shared" si="35"/>
        <v>2.2579575189288086</v>
      </c>
    </row>
    <row r="900" spans="1:11" hidden="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H900" s="5">
        <v>2310</v>
      </c>
      <c r="I900" s="6">
        <v>924.39958333667107</v>
      </c>
      <c r="J900" s="5">
        <v>6720</v>
      </c>
      <c r="K900" s="6">
        <f t="shared" si="35"/>
        <v>2.4989193435829211</v>
      </c>
    </row>
    <row r="901" spans="1:11" hidden="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H901" s="5">
        <v>1520</v>
      </c>
      <c r="I901" s="6">
        <v>1122.485208333339</v>
      </c>
      <c r="J901" s="5">
        <v>8160</v>
      </c>
      <c r="K901" s="6">
        <f t="shared" si="35"/>
        <v>1.3541381113225441</v>
      </c>
    </row>
    <row r="902" spans="1:11" hidden="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H902" s="5">
        <v>420</v>
      </c>
      <c r="I902" s="6">
        <v>396.17125000000198</v>
      </c>
      <c r="J902" s="5">
        <v>2880</v>
      </c>
      <c r="K902" s="6">
        <f t="shared" si="35"/>
        <v>1.0601476003117285</v>
      </c>
    </row>
    <row r="903" spans="1:11" hidden="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H903" s="5">
        <v>3120</v>
      </c>
      <c r="I903" s="6">
        <v>1535.9749999999999</v>
      </c>
      <c r="J903" s="5">
        <v>11200</v>
      </c>
      <c r="K903" s="6">
        <f t="shared" si="35"/>
        <v>2.0312830612477417</v>
      </c>
    </row>
    <row r="904" spans="1:11" hidden="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H904" s="5">
        <v>1780</v>
      </c>
      <c r="I904" s="6">
        <v>1535.9749999999999</v>
      </c>
      <c r="J904" s="5">
        <v>11200</v>
      </c>
      <c r="K904" s="6">
        <f t="shared" si="35"/>
        <v>1.1588730285323654</v>
      </c>
    </row>
    <row r="905" spans="1:11" hidden="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H905" s="5">
        <v>840</v>
      </c>
      <c r="I905" s="6">
        <v>594.25687500000299</v>
      </c>
      <c r="J905" s="5">
        <v>4320</v>
      </c>
      <c r="K905" s="6">
        <f t="shared" ref="K905:K969" si="37">+H905/I905</f>
        <v>1.4135301337489714</v>
      </c>
    </row>
    <row r="906" spans="1:11" hidden="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H906" s="5">
        <v>5260</v>
      </c>
      <c r="I906" s="6">
        <v>2575.1131250013459</v>
      </c>
      <c r="J906" s="5">
        <v>18720</v>
      </c>
      <c r="K906" s="6">
        <f t="shared" si="37"/>
        <v>2.0426287097570714</v>
      </c>
    </row>
    <row r="907" spans="1:11" hidden="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H907" s="5">
        <v>870</v>
      </c>
      <c r="I907" s="6">
        <v>528.37931032368999</v>
      </c>
      <c r="J907" s="5">
        <v>4000</v>
      </c>
      <c r="K907" s="6">
        <f t="shared" ref="K907:K913" si="38">IFERROR(H907/I907,"")</f>
        <v>1.6465444104293752</v>
      </c>
    </row>
    <row r="908" spans="1:11" hidden="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H908" s="5">
        <v>3825</v>
      </c>
      <c r="I908" s="6">
        <v>2272.0310343918732</v>
      </c>
      <c r="J908" s="5">
        <v>17200</v>
      </c>
      <c r="K908" s="6">
        <f t="shared" si="38"/>
        <v>1.6835157364053308</v>
      </c>
    </row>
    <row r="909" spans="1:11" hidden="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H909" s="5">
        <v>1075</v>
      </c>
      <c r="I909" s="6">
        <v>1162.4344827121224</v>
      </c>
      <c r="J909" s="5">
        <v>8800</v>
      </c>
      <c r="K909" s="6">
        <f t="shared" si="38"/>
        <v>0.92478330261837594</v>
      </c>
    </row>
    <row r="910" spans="1:11" hidden="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H910" s="5">
        <v>1610</v>
      </c>
      <c r="I910" s="6">
        <v>1162.4344827121181</v>
      </c>
      <c r="J910" s="5">
        <v>8800</v>
      </c>
      <c r="K910" s="6">
        <f t="shared" si="38"/>
        <v>1.3850242950842706</v>
      </c>
    </row>
    <row r="911" spans="1:11" hidden="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H911" s="5">
        <v>2130</v>
      </c>
      <c r="I911" s="6">
        <v>1056.7586206473827</v>
      </c>
      <c r="J911" s="5">
        <v>8000</v>
      </c>
      <c r="K911" s="6">
        <f t="shared" si="38"/>
        <v>2.0155974679394024</v>
      </c>
    </row>
    <row r="912" spans="1:11" hidden="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H912" s="5">
        <v>1350</v>
      </c>
      <c r="I912" s="6">
        <v>1109.596551679753</v>
      </c>
      <c r="J912" s="5">
        <v>8400</v>
      </c>
      <c r="K912" s="6">
        <f t="shared" si="38"/>
        <v>1.2166584313517506</v>
      </c>
    </row>
    <row r="913" spans="1:11" hidden="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H913" s="5">
        <v>3450</v>
      </c>
      <c r="I913" s="6">
        <v>1902.1655171652881</v>
      </c>
      <c r="J913" s="5">
        <v>14400</v>
      </c>
      <c r="K913" s="6">
        <f t="shared" si="38"/>
        <v>1.8137222911817792</v>
      </c>
    </row>
    <row r="914" spans="1:11" hidden="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H914" s="5">
        <v>975</v>
      </c>
      <c r="I914" s="6">
        <v>951.10714281909407</v>
      </c>
      <c r="J914" s="5">
        <v>7200</v>
      </c>
      <c r="K914" s="6">
        <f t="shared" si="37"/>
        <v>1.0251210995115516</v>
      </c>
    </row>
    <row r="915" spans="1:11" hidden="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H915" s="5">
        <v>3510</v>
      </c>
      <c r="I915" s="6">
        <v>3804.4285712763772</v>
      </c>
      <c r="J915" s="5">
        <v>28800</v>
      </c>
      <c r="K915" s="6">
        <f t="shared" si="37"/>
        <v>0.92260898956039616</v>
      </c>
    </row>
    <row r="916" spans="1:11" hidden="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H916" s="5">
        <v>3270</v>
      </c>
      <c r="I916" s="6">
        <v>2641.8965516184649</v>
      </c>
      <c r="J916" s="5">
        <v>20000</v>
      </c>
      <c r="K916" s="6">
        <f t="shared" si="37"/>
        <v>1.2377471774951785</v>
      </c>
    </row>
    <row r="917" spans="1:11" hidden="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H917" s="5">
        <v>5730</v>
      </c>
      <c r="I917" s="6">
        <v>3592.9793102010913</v>
      </c>
      <c r="J917" s="5">
        <v>26044</v>
      </c>
      <c r="K917" s="6">
        <f t="shared" si="37"/>
        <v>1.5947767869777421</v>
      </c>
    </row>
    <row r="918" spans="1:11" hidden="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H918" s="5">
        <v>2025</v>
      </c>
      <c r="I918" s="6">
        <v>1268.1103447768633</v>
      </c>
      <c r="J918" s="5">
        <v>9600</v>
      </c>
      <c r="K918" s="6">
        <f t="shared" si="37"/>
        <v>1.5968641911491694</v>
      </c>
    </row>
    <row r="919" spans="1:11" hidden="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H919" s="5">
        <v>375</v>
      </c>
      <c r="I919" s="6">
        <v>528.37931032368999</v>
      </c>
      <c r="J919" s="5">
        <v>4000</v>
      </c>
      <c r="K919" s="6">
        <f t="shared" si="37"/>
        <v>0.70971741828852375</v>
      </c>
    </row>
    <row r="920" spans="1:11" hidden="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H920" s="5">
        <v>1350</v>
      </c>
      <c r="I920" s="6">
        <v>1162.4344827121247</v>
      </c>
      <c r="J920" s="5">
        <v>8800</v>
      </c>
      <c r="K920" s="6">
        <f t="shared" si="37"/>
        <v>1.161355775381214</v>
      </c>
    </row>
    <row r="921" spans="1:11" hidden="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H921" s="5">
        <v>720</v>
      </c>
      <c r="I921" s="6">
        <v>528.3915024419166</v>
      </c>
      <c r="J921" s="5">
        <v>4000</v>
      </c>
      <c r="K921" s="6">
        <f t="shared" si="37"/>
        <v>1.3626260011233733</v>
      </c>
    </row>
    <row r="922" spans="1:11" hidden="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H922" s="5">
        <v>8820</v>
      </c>
      <c r="I922" s="6">
        <v>3910.1071427007282</v>
      </c>
      <c r="J922" s="5">
        <v>29260</v>
      </c>
      <c r="K922" s="6">
        <f t="shared" si="37"/>
        <v>2.2556926647048314</v>
      </c>
    </row>
    <row r="923" spans="1:11" hidden="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H923" s="5">
        <v>3060</v>
      </c>
      <c r="I923" s="6">
        <v>1902.2142856381945</v>
      </c>
      <c r="J923" s="5">
        <v>14400</v>
      </c>
      <c r="K923" s="6">
        <f t="shared" si="37"/>
        <v>1.6086515715411986</v>
      </c>
    </row>
    <row r="924" spans="1:11" hidden="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H924" s="5">
        <v>2010</v>
      </c>
      <c r="I924" s="6">
        <v>1162.4642856677858</v>
      </c>
      <c r="J924" s="5">
        <v>8800</v>
      </c>
      <c r="K924" s="6">
        <f t="shared" si="37"/>
        <v>1.7290853790362612</v>
      </c>
    </row>
    <row r="925" spans="1:11" hidden="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H925" s="5">
        <v>300</v>
      </c>
      <c r="I925" s="6">
        <v>317.03571427303262</v>
      </c>
      <c r="J925" s="5">
        <v>2400</v>
      </c>
      <c r="K925" s="6">
        <f t="shared" si="37"/>
        <v>0.94626563031835154</v>
      </c>
    </row>
    <row r="926" spans="1:11" hidden="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H926" s="5">
        <v>1100</v>
      </c>
      <c r="I926" s="6">
        <v>951.10714281875391</v>
      </c>
      <c r="J926" s="5">
        <v>7200</v>
      </c>
      <c r="K926" s="6">
        <f t="shared" si="37"/>
        <v>1.1565468815006257</v>
      </c>
    </row>
    <row r="927" spans="1:11" hidden="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H927" s="5">
        <v>840</v>
      </c>
      <c r="I927" s="6">
        <v>898.26785710660101</v>
      </c>
      <c r="J927" s="5">
        <v>6800</v>
      </c>
      <c r="K927" s="6">
        <f t="shared" si="37"/>
        <v>0.93513309349141482</v>
      </c>
    </row>
    <row r="928" spans="1:11" hidden="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H928" s="5">
        <v>1150</v>
      </c>
      <c r="I928" s="6">
        <v>1162.4642856673661</v>
      </c>
      <c r="J928" s="5">
        <v>8800</v>
      </c>
      <c r="K928" s="6">
        <f t="shared" si="37"/>
        <v>0.98927770442408869</v>
      </c>
    </row>
    <row r="929" spans="1:11" hidden="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H929" s="5">
        <v>0</v>
      </c>
      <c r="I929" s="6">
        <v>105.68</v>
      </c>
      <c r="J929" s="5">
        <v>0</v>
      </c>
      <c r="K929" s="6">
        <f t="shared" si="37"/>
        <v>0</v>
      </c>
    </row>
    <row r="930" spans="1:11" hidden="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H930" s="5">
        <v>2190</v>
      </c>
      <c r="I930" s="6">
        <v>686.91071425798896</v>
      </c>
      <c r="J930" s="5">
        <v>5200</v>
      </c>
      <c r="K930" s="6">
        <f t="shared" si="37"/>
        <v>3.1881872775352909</v>
      </c>
    </row>
    <row r="931" spans="1:11" hidden="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H931" s="5">
        <v>775</v>
      </c>
      <c r="I931" s="6">
        <v>845.428571394752</v>
      </c>
      <c r="J931" s="5">
        <v>6400</v>
      </c>
      <c r="K931" s="6">
        <f t="shared" si="37"/>
        <v>0.91669482937090485</v>
      </c>
    </row>
    <row r="932" spans="1:11" hidden="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H932" s="5">
        <v>4275</v>
      </c>
      <c r="I932" s="6">
        <v>3910.1071427007355</v>
      </c>
      <c r="J932" s="5">
        <v>29600</v>
      </c>
      <c r="K932" s="6">
        <f t="shared" si="37"/>
        <v>1.0933204242191765</v>
      </c>
    </row>
    <row r="933" spans="1:11" hidden="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H933" s="5">
        <v>3425</v>
      </c>
      <c r="I933" s="6">
        <v>4015.7857141250793</v>
      </c>
      <c r="J933" s="5">
        <v>30400</v>
      </c>
      <c r="K933" s="6">
        <f t="shared" si="37"/>
        <v>0.85288415364219849</v>
      </c>
    </row>
    <row r="934" spans="1:11" hidden="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H934" s="5">
        <v>0</v>
      </c>
      <c r="I934" s="6">
        <v>105.68</v>
      </c>
      <c r="J934" s="5">
        <v>0</v>
      </c>
      <c r="K934" s="6">
        <f t="shared" si="37"/>
        <v>0</v>
      </c>
    </row>
    <row r="935" spans="1:11" hidden="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H935" s="5">
        <v>6450</v>
      </c>
      <c r="I935" s="6">
        <v>2747.5751230427709</v>
      </c>
      <c r="J935" s="5">
        <v>20800</v>
      </c>
      <c r="K935" s="6">
        <f t="shared" si="37"/>
        <v>2.3475245302326879</v>
      </c>
    </row>
    <row r="936" spans="1:11" hidden="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H936" s="5">
        <v>1950</v>
      </c>
      <c r="I936" s="6">
        <v>1056.75862064738</v>
      </c>
      <c r="J936" s="5">
        <v>9600</v>
      </c>
      <c r="K936" s="6">
        <f t="shared" si="37"/>
        <v>1.8452652875501618</v>
      </c>
    </row>
    <row r="937" spans="1:11" hidden="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H937" s="5">
        <v>11100</v>
      </c>
      <c r="I937" s="6">
        <v>3592.9793102011122</v>
      </c>
      <c r="J937" s="5">
        <v>27820</v>
      </c>
      <c r="K937" s="6">
        <f t="shared" si="37"/>
        <v>3.0893581737264979</v>
      </c>
    </row>
    <row r="938" spans="1:11" hidden="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H938" s="5">
        <v>2310</v>
      </c>
      <c r="I938" s="6">
        <v>1585.2222221588099</v>
      </c>
      <c r="J938" s="5">
        <v>11490</v>
      </c>
      <c r="K938" s="6">
        <f t="shared" si="37"/>
        <v>1.4572089437745599</v>
      </c>
    </row>
    <row r="939" spans="1:11" hidden="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H939" s="5">
        <v>1400</v>
      </c>
      <c r="I939" s="6">
        <v>1796.5851851133182</v>
      </c>
      <c r="J939" s="5">
        <v>13600</v>
      </c>
      <c r="K939" s="6">
        <f t="shared" si="37"/>
        <v>0.77925611966553987</v>
      </c>
    </row>
    <row r="940" spans="1:11" hidden="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H940" s="5">
        <v>3720</v>
      </c>
      <c r="I940" s="6">
        <v>2219.311111022334</v>
      </c>
      <c r="J940" s="5">
        <v>16800</v>
      </c>
      <c r="K940" s="6">
        <f t="shared" si="37"/>
        <v>1.6761958165866921</v>
      </c>
    </row>
    <row r="941" spans="1:11" hidden="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H941" s="5">
        <v>2425</v>
      </c>
      <c r="I941" s="6">
        <v>2959.0814813631118</v>
      </c>
      <c r="J941" s="5">
        <v>22400</v>
      </c>
      <c r="K941" s="6">
        <f t="shared" si="37"/>
        <v>0.81951105952071135</v>
      </c>
    </row>
    <row r="942" spans="1:11" hidden="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H942" s="5">
        <v>320</v>
      </c>
      <c r="I942" s="6">
        <v>1912.3542857142861</v>
      </c>
      <c r="J942" s="5">
        <v>16320</v>
      </c>
      <c r="K942" s="6">
        <f t="shared" si="37"/>
        <v>0.16733301061966996</v>
      </c>
    </row>
    <row r="943" spans="1:11" hidden="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H943" s="5">
        <v>5475</v>
      </c>
      <c r="I943" s="6">
        <v>2812.2857142428579</v>
      </c>
      <c r="J943" s="5">
        <v>20000</v>
      </c>
      <c r="K943" s="6">
        <f t="shared" si="37"/>
        <v>1.9468149954578906</v>
      </c>
    </row>
    <row r="944" spans="1:11" hidden="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H944" s="5">
        <v>900</v>
      </c>
      <c r="I944" s="6">
        <v>1768.8376470588223</v>
      </c>
      <c r="J944" s="5">
        <v>12800</v>
      </c>
      <c r="K944" s="6">
        <f t="shared" si="37"/>
        <v>0.50880870920883936</v>
      </c>
    </row>
    <row r="945" spans="1:11" hidden="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H945" s="5">
        <v>4460</v>
      </c>
      <c r="I945" s="6">
        <v>2263.7999998868127</v>
      </c>
      <c r="J945" s="5">
        <v>17920</v>
      </c>
      <c r="K945" s="6">
        <f t="shared" si="37"/>
        <v>1.970138704931087</v>
      </c>
    </row>
    <row r="946" spans="1:11" hidden="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H946" s="5">
        <v>1260</v>
      </c>
      <c r="I946" s="6">
        <v>994.97117647058747</v>
      </c>
      <c r="J946" s="5">
        <v>7200</v>
      </c>
      <c r="K946" s="6">
        <f t="shared" si="37"/>
        <v>1.2663683429197781</v>
      </c>
    </row>
    <row r="947" spans="1:11" hidden="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H947" s="5">
        <v>1560</v>
      </c>
      <c r="I947" s="6">
        <v>994.97117647058747</v>
      </c>
      <c r="J947" s="5">
        <v>7920</v>
      </c>
      <c r="K947" s="6">
        <f t="shared" si="37"/>
        <v>1.5678846150435348</v>
      </c>
    </row>
    <row r="948" spans="1:11" hidden="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H948" s="5">
        <v>2800</v>
      </c>
      <c r="I948" s="6">
        <v>2263.7999998868127</v>
      </c>
      <c r="J948" s="5">
        <v>17920</v>
      </c>
      <c r="K948" s="6">
        <f t="shared" si="37"/>
        <v>1.236858379777364</v>
      </c>
    </row>
    <row r="949" spans="1:11" hidden="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H949" s="5">
        <v>6270</v>
      </c>
      <c r="I949" s="6">
        <v>6727.0499997982479</v>
      </c>
      <c r="J949" s="5">
        <v>49210</v>
      </c>
      <c r="K949" s="6">
        <f t="shared" si="37"/>
        <v>0.93205788572822335</v>
      </c>
    </row>
    <row r="950" spans="1:11" hidden="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H950" s="5">
        <v>1860</v>
      </c>
      <c r="I950" s="6">
        <v>994.95</v>
      </c>
      <c r="J950" s="5">
        <v>7200</v>
      </c>
      <c r="K950" s="6">
        <f t="shared" si="37"/>
        <v>1.8694406754108246</v>
      </c>
    </row>
    <row r="951" spans="1:11" hidden="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H951" s="5">
        <v>940</v>
      </c>
      <c r="I951" s="6">
        <v>831.6</v>
      </c>
      <c r="J951" s="5">
        <v>6300</v>
      </c>
      <c r="K951" s="6">
        <f t="shared" si="37"/>
        <v>1.1303511303511302</v>
      </c>
    </row>
    <row r="952" spans="1:11" hidden="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H952" s="5">
        <v>1300</v>
      </c>
      <c r="I952" s="6">
        <v>1267.2</v>
      </c>
      <c r="J952" s="5">
        <v>9600</v>
      </c>
      <c r="K952" s="6">
        <f t="shared" si="37"/>
        <v>1.0258838383838385</v>
      </c>
    </row>
    <row r="953" spans="1:11" hidden="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H953" s="5">
        <v>420</v>
      </c>
      <c r="I953" s="6">
        <v>316.8</v>
      </c>
      <c r="J953" s="5">
        <v>2400</v>
      </c>
      <c r="K953" s="6">
        <f t="shared" si="37"/>
        <v>1.3257575757575757</v>
      </c>
    </row>
    <row r="954" spans="1:11" hidden="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H954" s="5">
        <v>7020</v>
      </c>
      <c r="I954" s="6">
        <v>3603.6</v>
      </c>
      <c r="J954" s="5">
        <v>27296</v>
      </c>
      <c r="K954" s="6">
        <f t="shared" si="37"/>
        <v>1.948051948051948</v>
      </c>
    </row>
    <row r="955" spans="1:11" hidden="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H955" s="5">
        <v>4425</v>
      </c>
      <c r="I955" s="6">
        <v>3682.8</v>
      </c>
      <c r="J955" s="5">
        <v>27900</v>
      </c>
      <c r="K955" s="6">
        <f t="shared" si="37"/>
        <v>1.2015314434669273</v>
      </c>
    </row>
    <row r="956" spans="1:11" hidden="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H956" s="5">
        <v>1875</v>
      </c>
      <c r="I956" s="6">
        <v>2376</v>
      </c>
      <c r="J956" s="5">
        <v>18000</v>
      </c>
      <c r="K956" s="6">
        <f t="shared" si="37"/>
        <v>0.78914141414141414</v>
      </c>
    </row>
    <row r="957" spans="1:11" hidden="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H957" s="5">
        <v>1050</v>
      </c>
      <c r="I957" s="6">
        <v>950.4</v>
      </c>
      <c r="J957" s="5">
        <v>7200</v>
      </c>
      <c r="K957" s="6">
        <f t="shared" si="37"/>
        <v>1.1047979797979799</v>
      </c>
    </row>
    <row r="958" spans="1:11" hidden="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H958" s="5">
        <v>1875</v>
      </c>
      <c r="I958" s="6">
        <v>1346.4</v>
      </c>
      <c r="J958" s="5">
        <v>10200</v>
      </c>
      <c r="K958" s="6">
        <f t="shared" si="37"/>
        <v>1.392602495543672</v>
      </c>
    </row>
    <row r="959" spans="1:11" hidden="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H959" s="5">
        <v>3660</v>
      </c>
      <c r="I959" s="6">
        <v>2851.2</v>
      </c>
      <c r="J959" s="5">
        <v>21600</v>
      </c>
      <c r="K959" s="6">
        <f t="shared" si="37"/>
        <v>1.2836700336700337</v>
      </c>
    </row>
    <row r="960" spans="1:11" hidden="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H960" s="5">
        <v>1770</v>
      </c>
      <c r="I960" s="6">
        <v>2138.4</v>
      </c>
      <c r="J960" s="5">
        <v>16200</v>
      </c>
      <c r="K960" s="6">
        <f t="shared" si="37"/>
        <v>0.82772166105499434</v>
      </c>
    </row>
    <row r="961" spans="1:11" hidden="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H961" s="5">
        <v>1200</v>
      </c>
      <c r="I961" s="6">
        <v>963.6</v>
      </c>
      <c r="J961" s="5">
        <v>7570</v>
      </c>
      <c r="K961" s="6">
        <f t="shared" si="37"/>
        <v>1.2453300124533</v>
      </c>
    </row>
    <row r="962" spans="1:11" hidden="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H962" s="5">
        <v>4100</v>
      </c>
      <c r="I962" s="6">
        <v>3168</v>
      </c>
      <c r="J962" s="5">
        <v>24000</v>
      </c>
      <c r="K962" s="6">
        <f t="shared" si="37"/>
        <v>1.2941919191919191</v>
      </c>
    </row>
    <row r="963" spans="1:11" hidden="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H963" s="5">
        <v>1920</v>
      </c>
      <c r="I963" s="6">
        <v>1188</v>
      </c>
      <c r="J963" s="5">
        <v>9000</v>
      </c>
      <c r="K963" s="6">
        <f t="shared" si="37"/>
        <v>1.6161616161616161</v>
      </c>
    </row>
    <row r="964" spans="1:11" hidden="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H964" s="5">
        <v>4025</v>
      </c>
      <c r="I964" s="6">
        <v>2732.4</v>
      </c>
      <c r="J964" s="5">
        <v>20700</v>
      </c>
      <c r="K964" s="6">
        <f t="shared" si="37"/>
        <v>1.473063973063973</v>
      </c>
    </row>
    <row r="965" spans="1:11" hidden="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H965" s="5">
        <v>180</v>
      </c>
      <c r="I965" s="6">
        <v>673.2</v>
      </c>
      <c r="J965" s="5">
        <v>5100</v>
      </c>
      <c r="K965" s="6">
        <f t="shared" si="37"/>
        <v>0.26737967914438499</v>
      </c>
    </row>
    <row r="966" spans="1:11" hidden="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H966" s="5">
        <v>1460</v>
      </c>
      <c r="I966" s="6">
        <v>1100.4749999999999</v>
      </c>
      <c r="J966" s="5">
        <v>8000</v>
      </c>
      <c r="K966" s="6">
        <f t="shared" si="37"/>
        <v>1.3266998341625209</v>
      </c>
    </row>
    <row r="967" spans="1:11" hidden="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H967" s="5">
        <v>1900</v>
      </c>
      <c r="I967" s="6">
        <v>1287</v>
      </c>
      <c r="J967" s="5">
        <v>9400</v>
      </c>
      <c r="K967" s="6">
        <f t="shared" si="37"/>
        <v>1.4763014763014763</v>
      </c>
    </row>
    <row r="968" spans="1:11" hidden="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H968" s="5">
        <v>5910</v>
      </c>
      <c r="I968" s="6">
        <v>2641.14</v>
      </c>
      <c r="J968" s="5">
        <v>19200</v>
      </c>
      <c r="K968" s="6">
        <f t="shared" si="37"/>
        <v>2.2376700970035666</v>
      </c>
    </row>
    <row r="969" spans="1:11" hidden="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H969" s="5">
        <v>3100</v>
      </c>
      <c r="I969" s="6">
        <v>2641.14</v>
      </c>
      <c r="J969" s="5">
        <v>19200</v>
      </c>
      <c r="K969" s="6">
        <f t="shared" si="37"/>
        <v>1.1737355838766594</v>
      </c>
    </row>
    <row r="970" spans="1:11" hidden="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H970" s="5">
        <v>3900</v>
      </c>
      <c r="I970" s="6">
        <v>1430.6174906250001</v>
      </c>
      <c r="J970" s="5">
        <v>10400</v>
      </c>
      <c r="K970" s="6">
        <f t="shared" ref="K970:K1033" si="40">+H970/I970</f>
        <v>2.7260955675134309</v>
      </c>
    </row>
    <row r="971" spans="1:11" hidden="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H971" s="5">
        <v>1980</v>
      </c>
      <c r="I971" s="6">
        <v>1430.6175000000001</v>
      </c>
      <c r="J971" s="5">
        <v>10400</v>
      </c>
      <c r="K971" s="6">
        <f t="shared" si="40"/>
        <v>1.3840177405910383</v>
      </c>
    </row>
    <row r="972" spans="1:11" hidden="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H972" s="5">
        <v>3870</v>
      </c>
      <c r="I972" s="6">
        <v>2861.2350000000001</v>
      </c>
      <c r="J972" s="5">
        <v>20800</v>
      </c>
      <c r="K972" s="6">
        <f t="shared" si="40"/>
        <v>1.3525627919412422</v>
      </c>
    </row>
    <row r="973" spans="1:11" hidden="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H973" s="5">
        <v>3550</v>
      </c>
      <c r="I973" s="6">
        <v>3071.9505625000002</v>
      </c>
      <c r="J973" s="5">
        <v>22400</v>
      </c>
      <c r="K973" s="6">
        <f t="shared" si="40"/>
        <v>1.1556175556129249</v>
      </c>
    </row>
    <row r="974" spans="1:11" hidden="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H974" s="5">
        <v>3220</v>
      </c>
      <c r="I974" s="6">
        <v>1097.125</v>
      </c>
      <c r="J974" s="5">
        <v>8000</v>
      </c>
      <c r="K974" s="6">
        <f t="shared" si="40"/>
        <v>2.9349436025976985</v>
      </c>
    </row>
    <row r="975" spans="1:11" hidden="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H975" s="5">
        <v>4820</v>
      </c>
      <c r="I975" s="6">
        <v>2852.5250000000001</v>
      </c>
      <c r="J975" s="5">
        <v>20800</v>
      </c>
      <c r="K975" s="6">
        <f t="shared" si="40"/>
        <v>1.689731027773639</v>
      </c>
    </row>
    <row r="976" spans="1:11" hidden="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H976" s="5">
        <v>3360</v>
      </c>
      <c r="I976" s="6">
        <v>2633.1</v>
      </c>
      <c r="J976" s="5">
        <v>19200</v>
      </c>
      <c r="K976" s="6">
        <f t="shared" si="40"/>
        <v>1.2760624359120429</v>
      </c>
    </row>
    <row r="977" spans="1:11" hidden="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H977" s="5">
        <v>3750</v>
      </c>
      <c r="I977" s="6">
        <v>2633.1</v>
      </c>
      <c r="J977" s="5">
        <v>19200</v>
      </c>
      <c r="K977" s="6">
        <f t="shared" si="40"/>
        <v>1.4241768257946907</v>
      </c>
    </row>
    <row r="978" spans="1:11" hidden="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H978" s="5">
        <v>5130</v>
      </c>
      <c r="I978" s="6">
        <v>2852.5250000000001</v>
      </c>
      <c r="J978" s="5">
        <v>20800</v>
      </c>
      <c r="K978" s="6">
        <f t="shared" si="40"/>
        <v>1.7984066747881262</v>
      </c>
    </row>
    <row r="979" spans="1:11" hidden="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H979" s="5">
        <v>4620</v>
      </c>
      <c r="I979" s="6">
        <v>2852.5250000000001</v>
      </c>
      <c r="J979" s="5">
        <v>20800</v>
      </c>
      <c r="K979" s="6">
        <f t="shared" si="40"/>
        <v>1.6196177071191313</v>
      </c>
    </row>
    <row r="980" spans="1:11" hidden="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H980" s="5">
        <v>3100</v>
      </c>
      <c r="I980" s="6">
        <v>3071.95</v>
      </c>
      <c r="J980" s="5">
        <v>22400</v>
      </c>
      <c r="K980" s="6">
        <f t="shared" si="40"/>
        <v>1.0091310079916667</v>
      </c>
    </row>
    <row r="981" spans="1:11" hidden="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H981" s="5">
        <v>1775</v>
      </c>
      <c r="I981" s="6">
        <v>1645.6875</v>
      </c>
      <c r="J981" s="5">
        <v>12000</v>
      </c>
      <c r="K981" s="6">
        <f t="shared" si="40"/>
        <v>1.078576582735179</v>
      </c>
    </row>
    <row r="982" spans="1:11" hidden="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H982" s="5">
        <v>7740</v>
      </c>
      <c r="I982" s="6">
        <v>4121.4642855494085</v>
      </c>
      <c r="J982" s="5">
        <v>31200</v>
      </c>
      <c r="K982" s="6">
        <f t="shared" si="40"/>
        <v>1.8779733278625816</v>
      </c>
    </row>
    <row r="983" spans="1:11" hidden="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H983" s="5">
        <v>1065</v>
      </c>
      <c r="I983" s="6">
        <v>1056.7857142434418</v>
      </c>
      <c r="J983" s="5">
        <v>8000</v>
      </c>
      <c r="K983" s="6">
        <f t="shared" si="40"/>
        <v>1.0077728962890447</v>
      </c>
    </row>
    <row r="984" spans="1:11" hidden="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H984" s="5">
        <v>4650</v>
      </c>
      <c r="I984" s="6">
        <v>2641.9642856076484</v>
      </c>
      <c r="J984" s="5">
        <v>19996</v>
      </c>
      <c r="K984" s="6">
        <f t="shared" si="40"/>
        <v>1.7600540723927711</v>
      </c>
    </row>
    <row r="985" spans="1:11" hidden="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H985" s="5">
        <v>740</v>
      </c>
      <c r="I985" s="6">
        <v>528.39285712153003</v>
      </c>
      <c r="J985" s="5">
        <v>4000</v>
      </c>
      <c r="K985" s="6">
        <f t="shared" si="40"/>
        <v>1.4004731328716664</v>
      </c>
    </row>
    <row r="986" spans="1:11" hidden="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H986" s="5">
        <v>2340</v>
      </c>
      <c r="I986" s="6">
        <v>1902.2142856375078</v>
      </c>
      <c r="J986" s="5">
        <v>14400</v>
      </c>
      <c r="K986" s="6">
        <f t="shared" si="40"/>
        <v>1.2301453194143017</v>
      </c>
    </row>
    <row r="987" spans="1:11" hidden="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H987" s="5">
        <v>380</v>
      </c>
      <c r="I987" s="6">
        <v>634.05999999999995</v>
      </c>
      <c r="J987" s="5">
        <v>4800</v>
      </c>
      <c r="K987" s="6">
        <f t="shared" si="40"/>
        <v>0.59931236791470843</v>
      </c>
    </row>
    <row r="988" spans="1:11" hidden="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H988" s="5">
        <v>7100</v>
      </c>
      <c r="I988" s="6">
        <v>4487.9999999102474</v>
      </c>
      <c r="J988" s="5">
        <v>31740</v>
      </c>
      <c r="K988" s="6">
        <f t="shared" si="40"/>
        <v>1.5819964349692488</v>
      </c>
    </row>
    <row r="989" spans="1:11" hidden="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H989" s="5">
        <v>1400</v>
      </c>
      <c r="I989" s="6">
        <v>1702.8</v>
      </c>
      <c r="J989" s="5">
        <v>12900</v>
      </c>
      <c r="K989" s="6">
        <f t="shared" si="40"/>
        <v>0.82217524077989201</v>
      </c>
    </row>
    <row r="990" spans="1:11" hidden="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H990" s="5">
        <v>4620</v>
      </c>
      <c r="I990" s="6">
        <v>3009.6</v>
      </c>
      <c r="J990" s="5">
        <v>22800</v>
      </c>
      <c r="K990" s="6">
        <f t="shared" si="40"/>
        <v>1.5350877192982457</v>
      </c>
    </row>
    <row r="991" spans="1:11" hidden="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H991" s="5">
        <v>2460</v>
      </c>
      <c r="I991" s="6">
        <v>1386</v>
      </c>
      <c r="J991" s="5">
        <v>10500</v>
      </c>
      <c r="K991" s="6">
        <f t="shared" si="40"/>
        <v>1.774891774891775</v>
      </c>
    </row>
    <row r="992" spans="1:11" hidden="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H992" s="5">
        <v>1440</v>
      </c>
      <c r="I992" s="6">
        <v>1386</v>
      </c>
      <c r="J992" s="5">
        <v>10500</v>
      </c>
      <c r="K992" s="6">
        <f t="shared" si="40"/>
        <v>1.0389610389610389</v>
      </c>
    </row>
    <row r="993" spans="1:11" hidden="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H993" s="5">
        <v>975</v>
      </c>
      <c r="I993" s="6">
        <v>1029.5999999999999</v>
      </c>
      <c r="J993" s="5">
        <v>7800</v>
      </c>
      <c r="K993" s="6">
        <f t="shared" si="40"/>
        <v>0.94696969696969702</v>
      </c>
    </row>
    <row r="994" spans="1:11" hidden="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H994" s="5">
        <v>1825</v>
      </c>
      <c r="I994" s="6">
        <v>2653.2</v>
      </c>
      <c r="J994" s="5">
        <v>20100</v>
      </c>
      <c r="K994" s="6">
        <f t="shared" si="40"/>
        <v>0.68784863560982967</v>
      </c>
    </row>
    <row r="995" spans="1:11" hidden="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H995" s="5">
        <v>3300</v>
      </c>
      <c r="I995" s="6">
        <v>1768.8</v>
      </c>
      <c r="J995" s="5">
        <v>13400</v>
      </c>
      <c r="K995" s="6">
        <f t="shared" si="40"/>
        <v>1.8656716417910448</v>
      </c>
    </row>
    <row r="996" spans="1:11" hidden="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H996" s="5">
        <v>975</v>
      </c>
      <c r="I996" s="6">
        <v>1029.5999999999999</v>
      </c>
      <c r="J996" s="5">
        <v>7800</v>
      </c>
      <c r="K996" s="6">
        <f t="shared" si="40"/>
        <v>0.94696969696969702</v>
      </c>
    </row>
    <row r="997" spans="1:11" hidden="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H997" s="5">
        <v>1600</v>
      </c>
      <c r="I997" s="6">
        <v>1346.4</v>
      </c>
      <c r="J997" s="5">
        <v>10200</v>
      </c>
      <c r="K997" s="6">
        <f t="shared" si="40"/>
        <v>1.1883541295305999</v>
      </c>
    </row>
    <row r="998" spans="1:11" hidden="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H998" s="5">
        <v>450</v>
      </c>
      <c r="I998" s="6">
        <v>440.18999062500001</v>
      </c>
      <c r="J998" s="5">
        <v>3200</v>
      </c>
      <c r="K998" s="6">
        <f t="shared" si="40"/>
        <v>1.0222858528906378</v>
      </c>
    </row>
    <row r="999" spans="1:11" hidden="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H999" s="5">
        <v>1300</v>
      </c>
      <c r="I999" s="6">
        <v>880.38</v>
      </c>
      <c r="J999" s="5">
        <v>6400</v>
      </c>
      <c r="K999" s="6">
        <f t="shared" si="40"/>
        <v>1.4766350893932165</v>
      </c>
    </row>
    <row r="1000" spans="1:11" hidden="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H1000" s="5">
        <v>625</v>
      </c>
      <c r="I1000" s="6">
        <v>330.14249999999998</v>
      </c>
      <c r="J1000" s="5">
        <v>2400</v>
      </c>
      <c r="K1000" s="6">
        <f t="shared" si="40"/>
        <v>1.8931219094784828</v>
      </c>
    </row>
    <row r="1001" spans="1:11" hidden="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H1001" s="5">
        <v>3050</v>
      </c>
      <c r="I1001" s="6">
        <v>1650.7125000000001</v>
      </c>
      <c r="J1001" s="5">
        <v>12000</v>
      </c>
      <c r="K1001" s="6">
        <f t="shared" si="40"/>
        <v>1.847686983650999</v>
      </c>
    </row>
    <row r="1002" spans="1:11" hidden="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H1002" s="5">
        <v>2020</v>
      </c>
      <c r="I1002" s="6">
        <v>1287.0000000000018</v>
      </c>
      <c r="J1002" s="5">
        <v>9400</v>
      </c>
      <c r="K1002" s="6">
        <f t="shared" si="40"/>
        <v>1.5695415695415673</v>
      </c>
    </row>
    <row r="1003" spans="1:11" hidden="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H1003" s="5">
        <v>4575</v>
      </c>
      <c r="I1003" s="6">
        <v>2641.14</v>
      </c>
      <c r="J1003" s="5">
        <v>19200</v>
      </c>
      <c r="K1003" s="6">
        <f t="shared" si="40"/>
        <v>1.7322065471728119</v>
      </c>
    </row>
    <row r="1004" spans="1:11" hidden="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H1004" s="5">
        <v>1890</v>
      </c>
      <c r="I1004" s="6">
        <v>880.38</v>
      </c>
      <c r="J1004" s="5">
        <v>6400</v>
      </c>
      <c r="K1004" s="6">
        <f t="shared" si="40"/>
        <v>2.1468002453485995</v>
      </c>
    </row>
    <row r="1005" spans="1:11" hidden="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H1005" s="5">
        <v>1460</v>
      </c>
      <c r="I1005" s="6">
        <v>880.38</v>
      </c>
      <c r="J1005" s="5">
        <v>6400</v>
      </c>
      <c r="K1005" s="6">
        <f t="shared" si="40"/>
        <v>1.6583747927031509</v>
      </c>
    </row>
    <row r="1006" spans="1:11" hidden="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H1006" s="5">
        <v>410</v>
      </c>
      <c r="I1006" s="6">
        <v>1755.4</v>
      </c>
      <c r="J1006" s="5">
        <v>12800</v>
      </c>
      <c r="K1006" s="6">
        <f t="shared" si="40"/>
        <v>0.23356499943032927</v>
      </c>
    </row>
    <row r="1007" spans="1:11" hidden="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H1007" s="5">
        <v>2740</v>
      </c>
      <c r="I1007" s="6">
        <v>2413.6749943750001</v>
      </c>
      <c r="J1007" s="5">
        <v>17600</v>
      </c>
      <c r="K1007" s="6">
        <f t="shared" si="40"/>
        <v>1.1351984034244424</v>
      </c>
    </row>
    <row r="1008" spans="1:11" hidden="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H1008" s="5">
        <v>1620</v>
      </c>
      <c r="I1008" s="6">
        <v>1645.6875</v>
      </c>
      <c r="J1008" s="5">
        <v>12000</v>
      </c>
      <c r="K1008" s="6">
        <f t="shared" si="40"/>
        <v>0.98439102198929018</v>
      </c>
    </row>
    <row r="1009" spans="1:11" hidden="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H1009" s="5">
        <v>780</v>
      </c>
      <c r="I1009" s="6">
        <v>726.32013058333712</v>
      </c>
      <c r="J1009" s="5">
        <v>5712</v>
      </c>
      <c r="K1009" s="6">
        <f t="shared" si="40"/>
        <v>1.0739066248563844</v>
      </c>
    </row>
    <row r="1010" spans="1:11" hidden="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H1010" s="5">
        <v>1710</v>
      </c>
      <c r="I1010" s="6">
        <v>924.39958333667107</v>
      </c>
      <c r="J1010" s="5">
        <v>6720</v>
      </c>
      <c r="K1010" s="6">
        <f t="shared" si="40"/>
        <v>1.849849384210734</v>
      </c>
    </row>
    <row r="1011" spans="1:11" hidden="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H1011" s="5">
        <v>1580</v>
      </c>
      <c r="I1011" s="6">
        <v>1122.485208333339</v>
      </c>
      <c r="J1011" s="5">
        <v>8160</v>
      </c>
      <c r="K1011" s="6">
        <f t="shared" si="40"/>
        <v>1.4075909315063286</v>
      </c>
    </row>
    <row r="1012" spans="1:11" hidden="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H1012" s="5">
        <v>460</v>
      </c>
      <c r="I1012" s="6">
        <v>396.17125000000198</v>
      </c>
      <c r="J1012" s="5">
        <v>2880</v>
      </c>
      <c r="K1012" s="6">
        <f t="shared" si="40"/>
        <v>1.1611140384366552</v>
      </c>
    </row>
    <row r="1013" spans="1:11" hidden="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H1013" s="5">
        <v>1980</v>
      </c>
      <c r="I1013" s="6">
        <v>1535.9749999999999</v>
      </c>
      <c r="J1013" s="5">
        <v>11200</v>
      </c>
      <c r="K1013" s="6">
        <f t="shared" si="40"/>
        <v>1.2890834811764516</v>
      </c>
    </row>
    <row r="1014" spans="1:11" hidden="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H1014" s="5">
        <v>1320</v>
      </c>
      <c r="I1014" s="6">
        <v>1535.9749999999999</v>
      </c>
      <c r="J1014" s="5">
        <v>11200</v>
      </c>
      <c r="K1014" s="6">
        <f t="shared" si="40"/>
        <v>0.8593889874509677</v>
      </c>
    </row>
    <row r="1015" spans="1:11" hidden="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H1015" s="5">
        <v>600</v>
      </c>
      <c r="I1015" s="6">
        <v>594.25687500000299</v>
      </c>
      <c r="J1015" s="5">
        <v>4320</v>
      </c>
      <c r="K1015" s="6">
        <f t="shared" si="40"/>
        <v>1.0096643812492654</v>
      </c>
    </row>
    <row r="1016" spans="1:11" hidden="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H1016" s="5">
        <v>4080</v>
      </c>
      <c r="I1016" s="6">
        <v>2575.1131250013459</v>
      </c>
      <c r="J1016" s="5">
        <v>18720</v>
      </c>
      <c r="K1016" s="6">
        <f t="shared" si="40"/>
        <v>1.5843964136518731</v>
      </c>
    </row>
    <row r="1017" spans="1:11" hidden="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H1017" s="5">
        <v>780</v>
      </c>
      <c r="I1017" s="6">
        <v>528.37931032368999</v>
      </c>
      <c r="J1017" s="5">
        <v>4000</v>
      </c>
      <c r="K1017" s="6">
        <f t="shared" ref="K1017:K1023" si="41">IFERROR(H1017/I1017,"")</f>
        <v>1.4762122300401295</v>
      </c>
    </row>
    <row r="1018" spans="1:11" hidden="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H1018" s="5">
        <v>3875</v>
      </c>
      <c r="I1018" s="6">
        <v>2272.0310343918732</v>
      </c>
      <c r="J1018" s="5">
        <v>17200</v>
      </c>
      <c r="K1018" s="6">
        <f t="shared" si="41"/>
        <v>1.7055224780576881</v>
      </c>
    </row>
    <row r="1019" spans="1:11" hidden="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H1019" s="5">
        <v>1275</v>
      </c>
      <c r="I1019" s="6">
        <v>1162.4344827121224</v>
      </c>
      <c r="J1019" s="5">
        <v>8800</v>
      </c>
      <c r="K1019" s="6">
        <f t="shared" si="41"/>
        <v>1.0968360100822598</v>
      </c>
    </row>
    <row r="1020" spans="1:11" hidden="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H1020" s="5">
        <v>1085</v>
      </c>
      <c r="I1020" s="6">
        <v>1162.4344827121181</v>
      </c>
      <c r="J1020" s="5">
        <v>8800</v>
      </c>
      <c r="K1020" s="6">
        <f t="shared" si="41"/>
        <v>0.93338593799157366</v>
      </c>
    </row>
    <row r="1021" spans="1:11" hidden="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H1021" s="5">
        <v>1230</v>
      </c>
      <c r="I1021" s="6">
        <v>1056.7586206473827</v>
      </c>
      <c r="J1021" s="5">
        <v>8000</v>
      </c>
      <c r="K1021" s="6">
        <f t="shared" si="41"/>
        <v>1.163936565993176</v>
      </c>
    </row>
    <row r="1022" spans="1:11" hidden="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H1022" s="5">
        <v>1320</v>
      </c>
      <c r="I1022" s="6">
        <v>1109.596551679753</v>
      </c>
      <c r="J1022" s="5">
        <v>8400</v>
      </c>
      <c r="K1022" s="6">
        <f t="shared" si="41"/>
        <v>1.1896215773217118</v>
      </c>
    </row>
    <row r="1023" spans="1:11" hidden="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H1023" s="5">
        <v>1850</v>
      </c>
      <c r="I1023" s="6">
        <v>1902.1655171652881</v>
      </c>
      <c r="J1023" s="5">
        <v>14400</v>
      </c>
      <c r="K1023" s="6">
        <f t="shared" si="41"/>
        <v>0.97257572135834536</v>
      </c>
    </row>
    <row r="1024" spans="1:11" hidden="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H1024" s="5">
        <v>450</v>
      </c>
      <c r="I1024" s="6">
        <v>951.10714281909407</v>
      </c>
      <c r="J1024" s="5">
        <v>7200</v>
      </c>
      <c r="K1024" s="6">
        <f t="shared" si="40"/>
        <v>0.47313281515917766</v>
      </c>
    </row>
    <row r="1025" spans="1:11" hidden="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H1025" s="5">
        <v>3810</v>
      </c>
      <c r="I1025" s="6">
        <v>3804.4285712763772</v>
      </c>
      <c r="J1025" s="5">
        <v>28800</v>
      </c>
      <c r="K1025" s="6">
        <f t="shared" si="40"/>
        <v>1.0014644587535924</v>
      </c>
    </row>
    <row r="1026" spans="1:11" hidden="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H1026" s="5">
        <v>4320</v>
      </c>
      <c r="I1026" s="6">
        <v>2641.8965516184649</v>
      </c>
      <c r="J1026" s="5">
        <v>20000</v>
      </c>
      <c r="K1026" s="6">
        <f t="shared" si="40"/>
        <v>1.6351889317367496</v>
      </c>
    </row>
    <row r="1027" spans="1:11" hidden="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H1027" s="5">
        <v>7620</v>
      </c>
      <c r="I1027" s="6">
        <v>3592.9793102010913</v>
      </c>
      <c r="J1027" s="5">
        <v>26044</v>
      </c>
      <c r="K1027" s="6">
        <f t="shared" si="40"/>
        <v>2.1208026381798244</v>
      </c>
    </row>
    <row r="1028" spans="1:11" hidden="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H1028" s="5">
        <v>2175</v>
      </c>
      <c r="I1028" s="6">
        <v>1268.1103447768633</v>
      </c>
      <c r="J1028" s="5">
        <v>9600</v>
      </c>
      <c r="K1028" s="6">
        <f t="shared" si="40"/>
        <v>1.7151504275305893</v>
      </c>
    </row>
    <row r="1029" spans="1:11" hidden="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H1029" s="5">
        <v>650</v>
      </c>
      <c r="I1029" s="6">
        <v>528.37931032368999</v>
      </c>
      <c r="J1029" s="5">
        <v>4000</v>
      </c>
      <c r="K1029" s="6">
        <f t="shared" si="40"/>
        <v>1.2301768583667745</v>
      </c>
    </row>
    <row r="1030" spans="1:11" hidden="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H1030" s="5">
        <v>1380</v>
      </c>
      <c r="I1030" s="6">
        <v>1162.4344827121247</v>
      </c>
      <c r="J1030" s="5">
        <v>8800</v>
      </c>
      <c r="K1030" s="6">
        <f t="shared" si="40"/>
        <v>1.1871636815007967</v>
      </c>
    </row>
    <row r="1031" spans="1:11" hidden="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H1031" s="5">
        <v>1620</v>
      </c>
      <c r="I1031" s="6">
        <v>528.3915024419166</v>
      </c>
      <c r="J1031" s="5">
        <v>4000</v>
      </c>
      <c r="K1031" s="6">
        <f t="shared" si="40"/>
        <v>3.0659085025275901</v>
      </c>
    </row>
    <row r="1032" spans="1:11" hidden="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H1032" s="5">
        <v>7770</v>
      </c>
      <c r="I1032" s="6">
        <v>3910.1071427007282</v>
      </c>
      <c r="J1032" s="5">
        <v>29260</v>
      </c>
      <c r="K1032" s="6">
        <f t="shared" si="40"/>
        <v>1.9871578236685419</v>
      </c>
    </row>
    <row r="1033" spans="1:11" hidden="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H1033" s="5">
        <v>3520</v>
      </c>
      <c r="I1033" s="6">
        <v>1902.2142856381945</v>
      </c>
      <c r="J1033" s="5">
        <v>14400</v>
      </c>
      <c r="K1033" s="6">
        <f t="shared" si="40"/>
        <v>1.8504750104003329</v>
      </c>
    </row>
    <row r="1034" spans="1:11" hidden="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H1034" s="5">
        <v>1950</v>
      </c>
      <c r="I1034" s="6">
        <v>1162.4642856677858</v>
      </c>
      <c r="J1034" s="5">
        <v>8800</v>
      </c>
      <c r="K1034" s="6">
        <f t="shared" ref="K1034:K1098" si="43">+H1034/I1034</f>
        <v>1.6774708901098057</v>
      </c>
    </row>
    <row r="1035" spans="1:11" hidden="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H1035" s="5">
        <v>270</v>
      </c>
      <c r="I1035" s="6">
        <v>317.03571427303262</v>
      </c>
      <c r="J1035" s="5">
        <v>2400</v>
      </c>
      <c r="K1035" s="6">
        <f t="shared" si="43"/>
        <v>0.85163906728651639</v>
      </c>
    </row>
    <row r="1036" spans="1:11" hidden="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H1036" s="5">
        <v>1525</v>
      </c>
      <c r="I1036" s="6">
        <v>951.10714281875391</v>
      </c>
      <c r="J1036" s="5">
        <v>7200</v>
      </c>
      <c r="K1036" s="6">
        <f t="shared" si="43"/>
        <v>1.6033945402622309</v>
      </c>
    </row>
    <row r="1037" spans="1:11" hidden="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H1037" s="5">
        <v>540</v>
      </c>
      <c r="I1037" s="6">
        <v>898.26785710660101</v>
      </c>
      <c r="J1037" s="5">
        <v>6800</v>
      </c>
      <c r="K1037" s="6">
        <f t="shared" si="43"/>
        <v>0.60115698867305245</v>
      </c>
    </row>
    <row r="1038" spans="1:11" hidden="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H1038" s="5">
        <v>1125</v>
      </c>
      <c r="I1038" s="6">
        <v>1162.4642856673661</v>
      </c>
      <c r="J1038" s="5">
        <v>8800</v>
      </c>
      <c r="K1038" s="6">
        <f t="shared" si="43"/>
        <v>0.96777166737139109</v>
      </c>
    </row>
    <row r="1039" spans="1:11" hidden="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H1039" s="5">
        <v>1860</v>
      </c>
      <c r="I1039" s="6">
        <v>686.91071425798896</v>
      </c>
      <c r="J1039" s="5">
        <v>5200</v>
      </c>
      <c r="K1039" s="6">
        <f t="shared" si="43"/>
        <v>2.7077754959888773</v>
      </c>
    </row>
    <row r="1040" spans="1:11" hidden="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H1040" s="5">
        <v>925</v>
      </c>
      <c r="I1040" s="6">
        <v>845.428571394752</v>
      </c>
      <c r="J1040" s="5">
        <v>6400</v>
      </c>
      <c r="K1040" s="6">
        <f t="shared" si="43"/>
        <v>1.0941196350555962</v>
      </c>
    </row>
    <row r="1041" spans="1:11" hidden="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H1041" s="5">
        <v>3975</v>
      </c>
      <c r="I1041" s="6">
        <v>3910.1071427007355</v>
      </c>
      <c r="J1041" s="5">
        <v>29600</v>
      </c>
      <c r="K1041" s="6">
        <f t="shared" si="43"/>
        <v>1.0165961839230939</v>
      </c>
    </row>
    <row r="1042" spans="1:11" hidden="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H1042" s="5">
        <v>4075</v>
      </c>
      <c r="I1042" s="6">
        <v>4015.7857141250793</v>
      </c>
      <c r="J1042" s="5">
        <v>30400</v>
      </c>
      <c r="K1042" s="6">
        <f t="shared" si="43"/>
        <v>1.0147453798808639</v>
      </c>
    </row>
    <row r="1043" spans="1:11" hidden="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H1043" s="5">
        <v>5010</v>
      </c>
      <c r="I1043" s="6">
        <v>2747.5751230427709</v>
      </c>
      <c r="J1043" s="5">
        <v>20800</v>
      </c>
      <c r="K1043" s="6">
        <f t="shared" si="43"/>
        <v>1.8234260304598087</v>
      </c>
    </row>
    <row r="1044" spans="1:11" hidden="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H1044" s="5">
        <v>2025</v>
      </c>
      <c r="I1044" s="6">
        <v>1056.75862064738</v>
      </c>
      <c r="J1044" s="5">
        <v>9600</v>
      </c>
      <c r="K1044" s="6">
        <f t="shared" si="43"/>
        <v>1.9162370293790143</v>
      </c>
    </row>
    <row r="1045" spans="1:11" hidden="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H1045" s="5">
        <v>0</v>
      </c>
      <c r="I1045" s="6">
        <v>317.02999999999997</v>
      </c>
      <c r="J1045" s="5">
        <v>2640</v>
      </c>
      <c r="K1045" s="6">
        <f t="shared" si="43"/>
        <v>0</v>
      </c>
    </row>
    <row r="1046" spans="1:11" hidden="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H1046" s="5">
        <v>0</v>
      </c>
      <c r="I1046" s="6">
        <v>52.84</v>
      </c>
      <c r="J1046" s="5">
        <v>440</v>
      </c>
      <c r="K1046" s="6">
        <f t="shared" si="43"/>
        <v>0</v>
      </c>
    </row>
    <row r="1047" spans="1:11" hidden="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H1047" s="5">
        <v>8730</v>
      </c>
      <c r="I1047" s="6">
        <v>3592.9793102011122</v>
      </c>
      <c r="J1047" s="5">
        <v>27820</v>
      </c>
      <c r="K1047" s="6">
        <f t="shared" si="43"/>
        <v>2.4297384555524619</v>
      </c>
    </row>
    <row r="1048" spans="1:11" hidden="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H1048" s="5">
        <v>1530</v>
      </c>
      <c r="I1048" s="6">
        <v>1585.2222221588099</v>
      </c>
      <c r="J1048" s="5">
        <v>11490</v>
      </c>
      <c r="K1048" s="6">
        <f t="shared" si="43"/>
        <v>0.96516436535717598</v>
      </c>
    </row>
    <row r="1049" spans="1:11" hidden="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H1049" s="5">
        <v>825</v>
      </c>
      <c r="I1049" s="6">
        <v>1796.5851851133182</v>
      </c>
      <c r="J1049" s="5">
        <v>13600</v>
      </c>
      <c r="K1049" s="6">
        <f t="shared" si="43"/>
        <v>0.45920449908862171</v>
      </c>
    </row>
    <row r="1050" spans="1:11" hidden="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H1050" s="5">
        <v>2580</v>
      </c>
      <c r="I1050" s="6">
        <v>2219.311111022334</v>
      </c>
      <c r="J1050" s="5">
        <v>16800</v>
      </c>
      <c r="K1050" s="6">
        <f t="shared" si="43"/>
        <v>1.1625229050520607</v>
      </c>
    </row>
    <row r="1051" spans="1:11" hidden="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H1051" s="5">
        <v>2725</v>
      </c>
      <c r="I1051" s="6">
        <v>2959.0814813631118</v>
      </c>
      <c r="J1051" s="5">
        <v>22400</v>
      </c>
      <c r="K1051" s="6">
        <f t="shared" si="43"/>
        <v>0.92089387100780973</v>
      </c>
    </row>
    <row r="1052" spans="1:11" hidden="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H1052" s="5">
        <v>640</v>
      </c>
      <c r="I1052" s="6">
        <v>1912.3542857142861</v>
      </c>
      <c r="J1052" s="5">
        <v>16320</v>
      </c>
      <c r="K1052" s="6">
        <f t="shared" si="43"/>
        <v>0.33466602123933992</v>
      </c>
    </row>
    <row r="1053" spans="1:11" hidden="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H1053" s="5">
        <v>5050</v>
      </c>
      <c r="I1053" s="6">
        <v>2812.2857142428579</v>
      </c>
      <c r="J1053" s="5">
        <v>20000</v>
      </c>
      <c r="K1053" s="6">
        <f t="shared" si="43"/>
        <v>1.7956923702396981</v>
      </c>
    </row>
    <row r="1054" spans="1:11" hidden="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H1054" s="5">
        <v>725</v>
      </c>
      <c r="I1054" s="6">
        <v>1768.8376470588223</v>
      </c>
      <c r="J1054" s="5">
        <v>12800</v>
      </c>
      <c r="K1054" s="6">
        <f t="shared" si="43"/>
        <v>0.40987368241823174</v>
      </c>
    </row>
    <row r="1055" spans="1:11" hidden="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H1055" s="5">
        <v>2840</v>
      </c>
      <c r="I1055" s="6">
        <v>2263.7999998868127</v>
      </c>
      <c r="J1055" s="5">
        <v>17920</v>
      </c>
      <c r="K1055" s="6">
        <f t="shared" si="43"/>
        <v>1.254527785202755</v>
      </c>
    </row>
    <row r="1056" spans="1:11" hidden="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H1056" s="5">
        <v>1470</v>
      </c>
      <c r="I1056" s="6">
        <v>994.97117647058747</v>
      </c>
      <c r="J1056" s="5">
        <v>7200</v>
      </c>
      <c r="K1056" s="6">
        <f t="shared" si="43"/>
        <v>1.4774297334064079</v>
      </c>
    </row>
    <row r="1057" spans="1:11" hidden="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H1057" s="5">
        <v>1290</v>
      </c>
      <c r="I1057" s="6">
        <v>994.97117647058747</v>
      </c>
      <c r="J1057" s="5">
        <v>7920</v>
      </c>
      <c r="K1057" s="6">
        <f t="shared" si="43"/>
        <v>1.2965199701321539</v>
      </c>
    </row>
    <row r="1058" spans="1:11" hidden="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H1058" s="5">
        <v>1350</v>
      </c>
      <c r="I1058" s="6">
        <v>2263.7999998868127</v>
      </c>
      <c r="J1058" s="5">
        <v>17920</v>
      </c>
      <c r="K1058" s="6">
        <f t="shared" si="43"/>
        <v>0.59634243310694335</v>
      </c>
    </row>
    <row r="1059" spans="1:11" hidden="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H1059" s="5">
        <v>6900</v>
      </c>
      <c r="I1059" s="6">
        <v>6727.0499997982479</v>
      </c>
      <c r="J1059" s="5">
        <v>49210</v>
      </c>
      <c r="K1059" s="6">
        <f t="shared" si="43"/>
        <v>1.0257096350119204</v>
      </c>
    </row>
    <row r="1060" spans="1:11" hidden="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H1060" s="5">
        <v>1080</v>
      </c>
      <c r="I1060" s="6">
        <v>994.95</v>
      </c>
      <c r="J1060" s="5">
        <v>7200</v>
      </c>
      <c r="K1060" s="6">
        <f t="shared" si="43"/>
        <v>1.0854816824966078</v>
      </c>
    </row>
    <row r="1061" spans="1:11" hidden="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H1061" s="5">
        <v>760</v>
      </c>
      <c r="I1061" s="6">
        <v>831.6</v>
      </c>
      <c r="J1061" s="5">
        <v>6300</v>
      </c>
      <c r="K1061" s="6">
        <f t="shared" si="43"/>
        <v>0.91390091390091388</v>
      </c>
    </row>
    <row r="1062" spans="1:11" hidden="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H1062" s="5">
        <v>1300</v>
      </c>
      <c r="I1062" s="6">
        <v>1267.2</v>
      </c>
      <c r="J1062" s="5">
        <v>9600</v>
      </c>
      <c r="K1062" s="6">
        <f t="shared" si="43"/>
        <v>1.0258838383838385</v>
      </c>
    </row>
    <row r="1063" spans="1:11" hidden="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H1063" s="5">
        <v>510</v>
      </c>
      <c r="I1063" s="6">
        <v>316.8</v>
      </c>
      <c r="J1063" s="5">
        <v>2400</v>
      </c>
      <c r="K1063" s="6">
        <f t="shared" si="43"/>
        <v>1.6098484848484849</v>
      </c>
    </row>
    <row r="1064" spans="1:11" hidden="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H1064" s="5">
        <v>5970</v>
      </c>
      <c r="I1064" s="6">
        <v>3603.6</v>
      </c>
      <c r="J1064" s="5">
        <v>27296</v>
      </c>
      <c r="K1064" s="6">
        <f t="shared" si="43"/>
        <v>1.6566766566766566</v>
      </c>
    </row>
    <row r="1065" spans="1:11" hidden="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H1065" s="5">
        <v>3550</v>
      </c>
      <c r="I1065" s="6">
        <v>3682.8</v>
      </c>
      <c r="J1065" s="5">
        <v>27900</v>
      </c>
      <c r="K1065" s="6">
        <f t="shared" si="43"/>
        <v>0.96394048006951227</v>
      </c>
    </row>
    <row r="1066" spans="1:11" hidden="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H1066" s="5">
        <v>2075</v>
      </c>
      <c r="I1066" s="6">
        <v>2376</v>
      </c>
      <c r="J1066" s="5">
        <v>18000</v>
      </c>
      <c r="K1066" s="6">
        <f t="shared" si="43"/>
        <v>0.87331649831649827</v>
      </c>
    </row>
    <row r="1067" spans="1:11" hidden="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H1067" s="5">
        <v>870</v>
      </c>
      <c r="I1067" s="6">
        <v>950.4</v>
      </c>
      <c r="J1067" s="5">
        <v>7200</v>
      </c>
      <c r="K1067" s="6">
        <f t="shared" si="43"/>
        <v>0.91540404040404044</v>
      </c>
    </row>
    <row r="1068" spans="1:11" hidden="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H1068" s="5">
        <v>1600</v>
      </c>
      <c r="I1068" s="6">
        <v>1346.4</v>
      </c>
      <c r="J1068" s="5">
        <v>10200</v>
      </c>
      <c r="K1068" s="6">
        <f t="shared" si="43"/>
        <v>1.1883541295305999</v>
      </c>
    </row>
    <row r="1069" spans="1:11" hidden="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H1069" s="5">
        <v>4170</v>
      </c>
      <c r="I1069" s="6">
        <v>2851.2</v>
      </c>
      <c r="J1069" s="5">
        <v>21600</v>
      </c>
      <c r="K1069" s="6">
        <f t="shared" si="43"/>
        <v>1.4625420875420876</v>
      </c>
    </row>
    <row r="1070" spans="1:11" hidden="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H1070" s="5">
        <v>1410</v>
      </c>
      <c r="I1070" s="6">
        <v>2138.4</v>
      </c>
      <c r="J1070" s="5">
        <v>16200</v>
      </c>
      <c r="K1070" s="6">
        <f t="shared" si="43"/>
        <v>0.65937149270482598</v>
      </c>
    </row>
    <row r="1071" spans="1:11" hidden="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H1071" s="5">
        <v>1075</v>
      </c>
      <c r="I1071" s="6">
        <v>963.6</v>
      </c>
      <c r="J1071" s="5">
        <v>7570</v>
      </c>
      <c r="K1071" s="6">
        <f t="shared" si="43"/>
        <v>1.1156081361560812</v>
      </c>
    </row>
    <row r="1072" spans="1:11" hidden="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H1072" s="5">
        <v>2850</v>
      </c>
      <c r="I1072" s="6">
        <v>3168</v>
      </c>
      <c r="J1072" s="5">
        <v>24000</v>
      </c>
      <c r="K1072" s="6">
        <f t="shared" si="43"/>
        <v>0.89962121212121215</v>
      </c>
    </row>
    <row r="1073" spans="1:11" hidden="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H1073" s="5">
        <v>1530</v>
      </c>
      <c r="I1073" s="6">
        <v>1188</v>
      </c>
      <c r="J1073" s="5">
        <v>9000</v>
      </c>
      <c r="K1073" s="6">
        <f t="shared" si="43"/>
        <v>1.2878787878787878</v>
      </c>
    </row>
    <row r="1074" spans="1:11" hidden="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H1074" s="5">
        <v>2650</v>
      </c>
      <c r="I1074" s="6">
        <v>2732.4</v>
      </c>
      <c r="J1074" s="5">
        <v>20700</v>
      </c>
      <c r="K1074" s="6">
        <f t="shared" si="43"/>
        <v>0.96984336114770897</v>
      </c>
    </row>
    <row r="1075" spans="1:11" hidden="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H1075" s="5">
        <v>120</v>
      </c>
      <c r="I1075" s="6">
        <v>673.2</v>
      </c>
      <c r="J1075" s="5">
        <v>5100</v>
      </c>
      <c r="K1075" s="6">
        <f t="shared" si="43"/>
        <v>0.17825311942959002</v>
      </c>
    </row>
    <row r="1076" spans="1:11" hidden="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H1076" s="5">
        <v>1400</v>
      </c>
      <c r="I1076" s="6">
        <v>1100.4749999999999</v>
      </c>
      <c r="J1076" s="5">
        <v>8000</v>
      </c>
      <c r="K1076" s="6">
        <f t="shared" si="43"/>
        <v>1.2721779231695405</v>
      </c>
    </row>
    <row r="1077" spans="1:11" hidden="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H1077" s="5">
        <v>1800</v>
      </c>
      <c r="I1077" s="6">
        <v>1287</v>
      </c>
      <c r="J1077" s="5">
        <v>9400</v>
      </c>
      <c r="K1077" s="6">
        <f t="shared" si="43"/>
        <v>1.3986013986013985</v>
      </c>
    </row>
    <row r="1078" spans="1:11" hidden="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H1078" s="5">
        <v>4530</v>
      </c>
      <c r="I1078" s="6">
        <v>2641.14</v>
      </c>
      <c r="J1078" s="5">
        <v>19200</v>
      </c>
      <c r="K1078" s="6">
        <f t="shared" si="43"/>
        <v>1.7151684499875055</v>
      </c>
    </row>
    <row r="1079" spans="1:11" hidden="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H1079" s="5">
        <v>1775</v>
      </c>
      <c r="I1079" s="6">
        <v>2641.14</v>
      </c>
      <c r="J1079" s="5">
        <v>19200</v>
      </c>
      <c r="K1079" s="6">
        <f t="shared" si="43"/>
        <v>0.67205827786486139</v>
      </c>
    </row>
    <row r="1080" spans="1:11" hidden="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H1080" s="5">
        <v>3450</v>
      </c>
      <c r="I1080" s="6">
        <v>1430.6174906250001</v>
      </c>
      <c r="J1080" s="5">
        <v>10400</v>
      </c>
      <c r="K1080" s="6">
        <f t="shared" si="43"/>
        <v>2.4115460789541889</v>
      </c>
    </row>
    <row r="1081" spans="1:11" hidden="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H1081" s="5">
        <v>1680</v>
      </c>
      <c r="I1081" s="6">
        <v>1430.6175000000001</v>
      </c>
      <c r="J1081" s="5">
        <v>10400</v>
      </c>
      <c r="K1081" s="6">
        <f t="shared" si="43"/>
        <v>1.1743180829257296</v>
      </c>
    </row>
    <row r="1082" spans="1:11" hidden="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H1082" s="5">
        <v>3510</v>
      </c>
      <c r="I1082" s="6">
        <v>2861.2350000000001</v>
      </c>
      <c r="J1082" s="5">
        <v>20800</v>
      </c>
      <c r="K1082" s="6">
        <f t="shared" si="43"/>
        <v>1.2267429973420567</v>
      </c>
    </row>
    <row r="1083" spans="1:11" hidden="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H1083" s="5">
        <v>3700</v>
      </c>
      <c r="I1083" s="6">
        <v>3071.9505625000002</v>
      </c>
      <c r="J1083" s="5">
        <v>22400</v>
      </c>
      <c r="K1083" s="6">
        <f t="shared" si="43"/>
        <v>1.2044464664134711</v>
      </c>
    </row>
    <row r="1084" spans="1:11" hidden="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H1084" s="5">
        <v>2320</v>
      </c>
      <c r="I1084" s="6">
        <v>1097.125</v>
      </c>
      <c r="J1084" s="5">
        <v>8000</v>
      </c>
      <c r="K1084" s="6">
        <f t="shared" si="43"/>
        <v>2.1146177509399569</v>
      </c>
    </row>
    <row r="1085" spans="1:11" hidden="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H1085" s="5">
        <v>3660</v>
      </c>
      <c r="I1085" s="6">
        <v>2852.5250000000001</v>
      </c>
      <c r="J1085" s="5">
        <v>20800</v>
      </c>
      <c r="K1085" s="6">
        <f t="shared" si="43"/>
        <v>1.2830737679774935</v>
      </c>
    </row>
    <row r="1086" spans="1:11" hidden="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H1086" s="5">
        <v>3570</v>
      </c>
      <c r="I1086" s="6">
        <v>2633.1</v>
      </c>
      <c r="J1086" s="5">
        <v>19200</v>
      </c>
      <c r="K1086" s="6">
        <f t="shared" si="43"/>
        <v>1.3558163381565456</v>
      </c>
    </row>
    <row r="1087" spans="1:11" hidden="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H1087" s="5">
        <v>3840</v>
      </c>
      <c r="I1087" s="6">
        <v>2633.1</v>
      </c>
      <c r="J1087" s="5">
        <v>19200</v>
      </c>
      <c r="K1087" s="6">
        <f t="shared" si="43"/>
        <v>1.4583570696137633</v>
      </c>
    </row>
    <row r="1088" spans="1:11" hidden="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H1088" s="5">
        <v>4980</v>
      </c>
      <c r="I1088" s="6">
        <v>2852.5250000000001</v>
      </c>
      <c r="J1088" s="5">
        <v>20800</v>
      </c>
      <c r="K1088" s="6">
        <f t="shared" si="43"/>
        <v>1.7458216842972454</v>
      </c>
    </row>
    <row r="1089" spans="1:11" hidden="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H1089" s="5">
        <v>3840</v>
      </c>
      <c r="I1089" s="6">
        <v>2852.5250000000001</v>
      </c>
      <c r="J1089" s="5">
        <v>20800</v>
      </c>
      <c r="K1089" s="6">
        <f t="shared" si="43"/>
        <v>1.3461757565665506</v>
      </c>
    </row>
    <row r="1090" spans="1:11" hidden="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H1090" s="5">
        <v>2900</v>
      </c>
      <c r="I1090" s="6">
        <v>3071.95</v>
      </c>
      <c r="J1090" s="5">
        <v>22400</v>
      </c>
      <c r="K1090" s="6">
        <f t="shared" si="43"/>
        <v>0.94402578166962359</v>
      </c>
    </row>
    <row r="1091" spans="1:11" hidden="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H1091" s="5">
        <v>3025</v>
      </c>
      <c r="I1091" s="6">
        <v>1645.6875</v>
      </c>
      <c r="J1091" s="5">
        <v>12000</v>
      </c>
      <c r="K1091" s="6">
        <f t="shared" si="43"/>
        <v>1.8381375564923474</v>
      </c>
    </row>
    <row r="1092" spans="1:11" hidden="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H1092" s="5">
        <v>9600</v>
      </c>
      <c r="I1092" s="6">
        <v>4121.4642855494085</v>
      </c>
      <c r="J1092" s="5">
        <v>31200</v>
      </c>
      <c r="K1092" s="6">
        <f t="shared" si="43"/>
        <v>2.3292692438605664</v>
      </c>
    </row>
    <row r="1093" spans="1:11" hidden="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H1093" s="5">
        <v>960</v>
      </c>
      <c r="I1093" s="6">
        <v>1056.7857142434418</v>
      </c>
      <c r="J1093" s="5">
        <v>8000</v>
      </c>
      <c r="K1093" s="6">
        <f t="shared" si="43"/>
        <v>0.90841500510561768</v>
      </c>
    </row>
    <row r="1094" spans="1:11" hidden="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H1094" s="5">
        <v>5340</v>
      </c>
      <c r="I1094" s="6">
        <v>2641.9642856076484</v>
      </c>
      <c r="J1094" s="5">
        <v>19996</v>
      </c>
      <c r="K1094" s="6">
        <f t="shared" si="43"/>
        <v>2.021223386360731</v>
      </c>
    </row>
    <row r="1095" spans="1:11" hidden="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H1095" s="5">
        <v>860</v>
      </c>
      <c r="I1095" s="6">
        <v>528.39285712153003</v>
      </c>
      <c r="J1095" s="5">
        <v>4000</v>
      </c>
      <c r="K1095" s="6">
        <f t="shared" si="43"/>
        <v>1.6275768841481528</v>
      </c>
    </row>
    <row r="1096" spans="1:11" hidden="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H1096" s="5">
        <v>2130</v>
      </c>
      <c r="I1096" s="6">
        <v>1902.2142856375078</v>
      </c>
      <c r="J1096" s="5">
        <v>14400</v>
      </c>
      <c r="K1096" s="6">
        <f t="shared" si="43"/>
        <v>1.1197476625437874</v>
      </c>
    </row>
    <row r="1097" spans="1:11" hidden="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H1097" s="5">
        <v>320</v>
      </c>
      <c r="I1097" s="6">
        <v>634.05999999999995</v>
      </c>
      <c r="J1097" s="5">
        <v>4800</v>
      </c>
      <c r="K1097" s="6">
        <f t="shared" si="43"/>
        <v>0.50468409929659663</v>
      </c>
    </row>
    <row r="1098" spans="1:11" hidden="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H1098" s="5">
        <v>6500</v>
      </c>
      <c r="I1098" s="6">
        <v>4487.9999999102474</v>
      </c>
      <c r="J1098" s="5">
        <v>31740</v>
      </c>
      <c r="K1098" s="6">
        <f t="shared" si="43"/>
        <v>1.4483065953943826</v>
      </c>
    </row>
    <row r="1099" spans="1:11" hidden="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H1099" s="5">
        <v>1800</v>
      </c>
      <c r="I1099" s="6">
        <v>1702.8</v>
      </c>
      <c r="J1099" s="5">
        <v>12900</v>
      </c>
      <c r="K1099" s="6">
        <f t="shared" ref="K1099:K1161" si="45">+H1099/I1099</f>
        <v>1.0570824524312896</v>
      </c>
    </row>
    <row r="1100" spans="1:11" hidden="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H1100" s="5">
        <v>4920</v>
      </c>
      <c r="I1100" s="6">
        <v>3009.6</v>
      </c>
      <c r="J1100" s="5">
        <v>22800</v>
      </c>
      <c r="K1100" s="6">
        <f t="shared" si="45"/>
        <v>1.634768740031898</v>
      </c>
    </row>
    <row r="1101" spans="1:11" hidden="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H1101" s="5">
        <v>2550</v>
      </c>
      <c r="I1101" s="6">
        <v>1386</v>
      </c>
      <c r="J1101" s="5">
        <v>10500</v>
      </c>
      <c r="K1101" s="6">
        <f t="shared" si="45"/>
        <v>1.8398268398268398</v>
      </c>
    </row>
    <row r="1102" spans="1:11" hidden="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H1102" s="5">
        <v>1800</v>
      </c>
      <c r="I1102" s="6">
        <v>1386</v>
      </c>
      <c r="J1102" s="5">
        <v>10500</v>
      </c>
      <c r="K1102" s="6">
        <f t="shared" si="45"/>
        <v>1.2987012987012987</v>
      </c>
    </row>
    <row r="1103" spans="1:11" hidden="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H1103" s="5">
        <v>1175</v>
      </c>
      <c r="I1103" s="6">
        <v>1029.5999999999999</v>
      </c>
      <c r="J1103" s="5">
        <v>7800</v>
      </c>
      <c r="K1103" s="6">
        <f t="shared" si="45"/>
        <v>1.1412198912198914</v>
      </c>
    </row>
    <row r="1104" spans="1:11" hidden="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H1104" s="5">
        <v>2000</v>
      </c>
      <c r="I1104" s="6">
        <v>2653.2</v>
      </c>
      <c r="J1104" s="5">
        <v>20100</v>
      </c>
      <c r="K1104" s="6">
        <f t="shared" si="45"/>
        <v>0.7538067239559777</v>
      </c>
    </row>
    <row r="1105" spans="1:11" hidden="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H1105" s="5">
        <v>3480</v>
      </c>
      <c r="I1105" s="6">
        <v>1768.8</v>
      </c>
      <c r="J1105" s="5">
        <v>13400</v>
      </c>
      <c r="K1105" s="6">
        <f t="shared" si="45"/>
        <v>1.9674355495251019</v>
      </c>
    </row>
    <row r="1106" spans="1:11" hidden="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H1106" s="5">
        <v>810</v>
      </c>
      <c r="I1106" s="6">
        <v>1029.5999999999999</v>
      </c>
      <c r="J1106" s="5">
        <v>7800</v>
      </c>
      <c r="K1106" s="6">
        <f t="shared" si="45"/>
        <v>0.78671328671328677</v>
      </c>
    </row>
    <row r="1107" spans="1:11" hidden="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H1107" s="5">
        <v>1725</v>
      </c>
      <c r="I1107" s="6">
        <v>1346.4</v>
      </c>
      <c r="J1107" s="5">
        <v>10200</v>
      </c>
      <c r="K1107" s="6">
        <f t="shared" si="45"/>
        <v>1.2811942959001781</v>
      </c>
    </row>
    <row r="1108" spans="1:11" hidden="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H1108" s="5">
        <v>450</v>
      </c>
      <c r="I1108" s="6">
        <v>440.18999062500001</v>
      </c>
      <c r="J1108" s="5">
        <v>3200</v>
      </c>
      <c r="K1108" s="6">
        <f t="shared" si="45"/>
        <v>1.0222858528906378</v>
      </c>
    </row>
    <row r="1109" spans="1:11" hidden="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H1109" s="5">
        <v>1275</v>
      </c>
      <c r="I1109" s="6">
        <v>880.38</v>
      </c>
      <c r="J1109" s="5">
        <v>6400</v>
      </c>
      <c r="K1109" s="6">
        <f t="shared" si="45"/>
        <v>1.4482382607510393</v>
      </c>
    </row>
    <row r="1110" spans="1:11" hidden="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H1110" s="5">
        <v>450</v>
      </c>
      <c r="I1110" s="6">
        <v>330.14249999999998</v>
      </c>
      <c r="J1110" s="5">
        <v>2400</v>
      </c>
      <c r="K1110" s="6">
        <f t="shared" si="45"/>
        <v>1.3630477748245076</v>
      </c>
    </row>
    <row r="1111" spans="1:11" hidden="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H1111" s="5">
        <v>2675</v>
      </c>
      <c r="I1111" s="6">
        <v>1650.7125000000001</v>
      </c>
      <c r="J1111" s="5">
        <v>12000</v>
      </c>
      <c r="K1111" s="6">
        <f t="shared" si="45"/>
        <v>1.6205123545135811</v>
      </c>
    </row>
    <row r="1112" spans="1:11" hidden="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H1112" s="5">
        <v>1680</v>
      </c>
      <c r="I1112" s="6">
        <v>1287.0000000000018</v>
      </c>
      <c r="J1112" s="5">
        <v>9400</v>
      </c>
      <c r="K1112" s="6">
        <f t="shared" si="45"/>
        <v>1.3053613053613036</v>
      </c>
    </row>
    <row r="1113" spans="1:11" hidden="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H1113" s="5">
        <v>3650</v>
      </c>
      <c r="I1113" s="6">
        <v>2641.14</v>
      </c>
      <c r="J1113" s="5">
        <v>19200</v>
      </c>
      <c r="K1113" s="6">
        <f t="shared" si="45"/>
        <v>1.3819789939192926</v>
      </c>
    </row>
    <row r="1114" spans="1:11" hidden="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H1114" s="5">
        <v>2190</v>
      </c>
      <c r="I1114" s="6">
        <v>880.38</v>
      </c>
      <c r="J1114" s="5">
        <v>6400</v>
      </c>
      <c r="K1114" s="6">
        <f t="shared" si="45"/>
        <v>2.4875621890547266</v>
      </c>
    </row>
    <row r="1115" spans="1:11" hidden="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H1115" s="5">
        <v>1100</v>
      </c>
      <c r="I1115" s="6">
        <v>880.38</v>
      </c>
      <c r="J1115" s="5">
        <v>6400</v>
      </c>
      <c r="K1115" s="6">
        <f t="shared" si="45"/>
        <v>1.2494604602557986</v>
      </c>
    </row>
    <row r="1116" spans="1:11" hidden="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H1116" s="5">
        <v>420</v>
      </c>
      <c r="I1116" s="6">
        <v>1755.4</v>
      </c>
      <c r="J1116" s="5">
        <v>12800</v>
      </c>
      <c r="K1116" s="6">
        <f t="shared" si="45"/>
        <v>0.23926170673350802</v>
      </c>
    </row>
    <row r="1117" spans="1:11" hidden="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H1117" s="5">
        <v>2540</v>
      </c>
      <c r="I1117" s="6">
        <v>2413.6749943750001</v>
      </c>
      <c r="J1117" s="5">
        <v>17600</v>
      </c>
      <c r="K1117" s="6">
        <f t="shared" si="45"/>
        <v>1.0523372060941911</v>
      </c>
    </row>
    <row r="1118" spans="1:11" hidden="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H1118" s="5">
        <v>1340</v>
      </c>
      <c r="I1118" s="6">
        <v>1645.6875</v>
      </c>
      <c r="J1118" s="5">
        <v>12000</v>
      </c>
      <c r="K1118" s="6">
        <f t="shared" si="45"/>
        <v>0.81424936386768443</v>
      </c>
    </row>
    <row r="1119" spans="1:11" hidden="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H1119" s="5">
        <v>520</v>
      </c>
      <c r="I1119" s="6">
        <v>726.32013058333712</v>
      </c>
      <c r="J1119" s="5">
        <v>5712</v>
      </c>
      <c r="K1119" s="6">
        <f t="shared" si="45"/>
        <v>0.71593774990425629</v>
      </c>
    </row>
    <row r="1120" spans="1:11" hidden="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H1120" s="5">
        <v>1800</v>
      </c>
      <c r="I1120" s="6">
        <v>924.39958333667107</v>
      </c>
      <c r="J1120" s="5">
        <v>6720</v>
      </c>
      <c r="K1120" s="6">
        <f t="shared" si="45"/>
        <v>1.9472098781165621</v>
      </c>
    </row>
    <row r="1121" spans="1:11" hidden="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H1121" s="5">
        <v>1900</v>
      </c>
      <c r="I1121" s="6">
        <v>1122.485208333339</v>
      </c>
      <c r="J1121" s="5">
        <v>8160</v>
      </c>
      <c r="K1121" s="6">
        <f t="shared" si="45"/>
        <v>1.6926726391531801</v>
      </c>
    </row>
    <row r="1122" spans="1:11" hidden="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H1122" s="5">
        <v>660</v>
      </c>
      <c r="I1122" s="6">
        <v>396.17125000000198</v>
      </c>
      <c r="J1122" s="5">
        <v>2880</v>
      </c>
      <c r="K1122" s="6">
        <f t="shared" si="45"/>
        <v>1.6659462290612879</v>
      </c>
    </row>
    <row r="1123" spans="1:11" hidden="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H1123" s="5">
        <v>3030</v>
      </c>
      <c r="I1123" s="6">
        <v>1535.9749999999999</v>
      </c>
      <c r="J1123" s="5">
        <v>11200</v>
      </c>
      <c r="K1123" s="6">
        <f t="shared" si="45"/>
        <v>1.9726883575579031</v>
      </c>
    </row>
    <row r="1124" spans="1:11" hidden="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H1124" s="5">
        <v>1460</v>
      </c>
      <c r="I1124" s="6">
        <v>1535.9749999999999</v>
      </c>
      <c r="J1124" s="5">
        <v>11200</v>
      </c>
      <c r="K1124" s="6">
        <f t="shared" si="45"/>
        <v>0.95053630430182789</v>
      </c>
    </row>
    <row r="1125" spans="1:11" hidden="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H1125" s="5">
        <v>480</v>
      </c>
      <c r="I1125" s="6">
        <v>594.25687500000299</v>
      </c>
      <c r="J1125" s="5">
        <v>4320</v>
      </c>
      <c r="K1125" s="6">
        <f t="shared" si="45"/>
        <v>0.80773150499941226</v>
      </c>
    </row>
    <row r="1126" spans="1:11" hidden="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H1126" s="5">
        <v>3840</v>
      </c>
      <c r="I1126" s="6">
        <v>2575.1131250013459</v>
      </c>
      <c r="J1126" s="5">
        <v>18720</v>
      </c>
      <c r="K1126" s="6">
        <f t="shared" si="45"/>
        <v>1.4911966246135275</v>
      </c>
    </row>
    <row r="1127" spans="1:11" hidden="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H1127" s="5">
        <v>720</v>
      </c>
      <c r="I1127" s="6">
        <v>528.37931032368999</v>
      </c>
      <c r="J1127" s="5">
        <v>4000</v>
      </c>
      <c r="K1127" s="6">
        <f t="shared" ref="K1127:K1133" si="46">IFERROR(H1127/I1127,"")</f>
        <v>1.3626574431139657</v>
      </c>
    </row>
    <row r="1128" spans="1:11" hidden="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H1128" s="5">
        <v>4475</v>
      </c>
      <c r="I1128" s="6">
        <v>2272.0310343918732</v>
      </c>
      <c r="J1128" s="5">
        <v>17200</v>
      </c>
      <c r="K1128" s="6">
        <f t="shared" si="46"/>
        <v>1.9696033778859754</v>
      </c>
    </row>
    <row r="1129" spans="1:11" hidden="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H1129" s="5">
        <v>1450</v>
      </c>
      <c r="I1129" s="6">
        <v>1162.4344827121224</v>
      </c>
      <c r="J1129" s="5">
        <v>8800</v>
      </c>
      <c r="K1129" s="6">
        <f t="shared" si="46"/>
        <v>1.2473821291131582</v>
      </c>
    </row>
    <row r="1130" spans="1:11" hidden="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H1130" s="5">
        <v>1435</v>
      </c>
      <c r="I1130" s="6">
        <v>1162.4344827121181</v>
      </c>
      <c r="J1130" s="5">
        <v>8800</v>
      </c>
      <c r="K1130" s="6">
        <f t="shared" si="46"/>
        <v>1.2344781760533716</v>
      </c>
    </row>
    <row r="1131" spans="1:11" hidden="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H1131" s="5">
        <v>1080</v>
      </c>
      <c r="I1131" s="6">
        <v>1056.7586206473827</v>
      </c>
      <c r="J1131" s="5">
        <v>8000</v>
      </c>
      <c r="K1131" s="6">
        <f t="shared" si="46"/>
        <v>1.0219930823354717</v>
      </c>
    </row>
    <row r="1132" spans="1:11" hidden="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H1132" s="5">
        <v>1350</v>
      </c>
      <c r="I1132" s="6">
        <v>1109.596551679753</v>
      </c>
      <c r="J1132" s="5">
        <v>8400</v>
      </c>
      <c r="K1132" s="6">
        <f t="shared" si="46"/>
        <v>1.2166584313517506</v>
      </c>
    </row>
    <row r="1133" spans="1:11" hidden="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H1133" s="5">
        <v>2750</v>
      </c>
      <c r="I1133" s="6">
        <v>1902.1655171652881</v>
      </c>
      <c r="J1133" s="5">
        <v>14400</v>
      </c>
      <c r="K1133" s="6">
        <f t="shared" si="46"/>
        <v>1.4457206668840268</v>
      </c>
    </row>
    <row r="1134" spans="1:11" hidden="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H1134" s="5">
        <v>400</v>
      </c>
      <c r="I1134" s="6">
        <v>951.10714281909407</v>
      </c>
      <c r="J1134" s="5">
        <v>7200</v>
      </c>
      <c r="K1134" s="6">
        <f t="shared" si="45"/>
        <v>0.42056250236371345</v>
      </c>
    </row>
    <row r="1135" spans="1:11" hidden="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H1135" s="5">
        <v>4980</v>
      </c>
      <c r="I1135" s="6">
        <v>3804.4285712763772</v>
      </c>
      <c r="J1135" s="5">
        <v>28800</v>
      </c>
      <c r="K1135" s="6">
        <f t="shared" si="45"/>
        <v>1.3090007886070578</v>
      </c>
    </row>
    <row r="1136" spans="1:11" hidden="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H1136" s="5">
        <v>4860</v>
      </c>
      <c r="I1136" s="6">
        <v>2641.8965516184649</v>
      </c>
      <c r="J1136" s="5">
        <v>20000</v>
      </c>
      <c r="K1136" s="6">
        <f t="shared" si="45"/>
        <v>1.8395875482038433</v>
      </c>
    </row>
    <row r="1137" spans="1:11" hidden="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H1137" s="5">
        <v>5940</v>
      </c>
      <c r="I1137" s="6">
        <v>3592.9793102010913</v>
      </c>
      <c r="J1137" s="5">
        <v>26044</v>
      </c>
      <c r="K1137" s="6">
        <f t="shared" si="45"/>
        <v>1.6532241037779734</v>
      </c>
    </row>
    <row r="1138" spans="1:11" hidden="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H1138" s="5">
        <v>2350</v>
      </c>
      <c r="I1138" s="6">
        <v>1268.1103447768633</v>
      </c>
      <c r="J1138" s="5">
        <v>9600</v>
      </c>
      <c r="K1138" s="6">
        <f t="shared" si="45"/>
        <v>1.8531510366422459</v>
      </c>
    </row>
    <row r="1139" spans="1:11" hidden="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H1139" s="5">
        <v>625</v>
      </c>
      <c r="I1139" s="6">
        <v>528.37931032368999</v>
      </c>
      <c r="J1139" s="5">
        <v>4000</v>
      </c>
      <c r="K1139" s="6">
        <f t="shared" si="45"/>
        <v>1.1828623638142064</v>
      </c>
    </row>
    <row r="1140" spans="1:11" hidden="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H1140" s="5">
        <v>2310</v>
      </c>
      <c r="I1140" s="6">
        <v>1162.4344827121247</v>
      </c>
      <c r="J1140" s="5">
        <v>8800</v>
      </c>
      <c r="K1140" s="6">
        <f t="shared" si="45"/>
        <v>1.9872087712078552</v>
      </c>
    </row>
    <row r="1141" spans="1:11" hidden="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H1141" s="5">
        <v>1140</v>
      </c>
      <c r="I1141" s="6">
        <v>528.3915024419166</v>
      </c>
      <c r="J1141" s="5">
        <v>4000</v>
      </c>
      <c r="K1141" s="6">
        <f t="shared" si="45"/>
        <v>2.1574911684453411</v>
      </c>
    </row>
    <row r="1142" spans="1:11" hidden="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H1142" s="5">
        <v>7500</v>
      </c>
      <c r="I1142" s="6">
        <v>3910.1071427007282</v>
      </c>
      <c r="J1142" s="5">
        <v>29260</v>
      </c>
      <c r="K1142" s="6">
        <f t="shared" si="45"/>
        <v>1.9181060074020675</v>
      </c>
    </row>
    <row r="1143" spans="1:11" hidden="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H1143" s="5">
        <v>3380</v>
      </c>
      <c r="I1143" s="6">
        <v>1902.2142856381945</v>
      </c>
      <c r="J1143" s="5">
        <v>14400</v>
      </c>
      <c r="K1143" s="6">
        <f t="shared" si="45"/>
        <v>1.7768765724866835</v>
      </c>
    </row>
    <row r="1144" spans="1:11" hidden="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H1144" s="5">
        <v>2310</v>
      </c>
      <c r="I1144" s="6">
        <v>1162.4642856677858</v>
      </c>
      <c r="J1144" s="5">
        <v>8800</v>
      </c>
      <c r="K1144" s="6">
        <f t="shared" si="45"/>
        <v>1.987157823668539</v>
      </c>
    </row>
    <row r="1145" spans="1:11" hidden="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H1145" s="5">
        <v>300</v>
      </c>
      <c r="I1145" s="6">
        <v>317.03571427303262</v>
      </c>
      <c r="J1145" s="5">
        <v>2400</v>
      </c>
      <c r="K1145" s="6">
        <f t="shared" si="45"/>
        <v>0.94626563031835154</v>
      </c>
    </row>
    <row r="1146" spans="1:11" hidden="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H1146" s="5">
        <v>1575</v>
      </c>
      <c r="I1146" s="6">
        <v>951.10714281875391</v>
      </c>
      <c r="J1146" s="5">
        <v>7200</v>
      </c>
      <c r="K1146" s="6">
        <f t="shared" si="45"/>
        <v>1.655964853057714</v>
      </c>
    </row>
    <row r="1147" spans="1:11" hidden="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H1147" s="5">
        <v>480</v>
      </c>
      <c r="I1147" s="6">
        <v>898.26785710660101</v>
      </c>
      <c r="J1147" s="5">
        <v>6800</v>
      </c>
      <c r="K1147" s="6">
        <f t="shared" si="45"/>
        <v>0.53436176770937993</v>
      </c>
    </row>
    <row r="1148" spans="1:11" hidden="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H1148" s="5">
        <v>1875</v>
      </c>
      <c r="I1148" s="6">
        <v>1162.4642856673661</v>
      </c>
      <c r="J1148" s="5">
        <v>8800</v>
      </c>
      <c r="K1148" s="6">
        <f t="shared" si="45"/>
        <v>1.6129527789523186</v>
      </c>
    </row>
    <row r="1149" spans="1:11" hidden="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H1149" s="5">
        <v>2040</v>
      </c>
      <c r="I1149" s="6">
        <v>686.91071425798896</v>
      </c>
      <c r="J1149" s="5">
        <v>5200</v>
      </c>
      <c r="K1149" s="6">
        <f t="shared" si="45"/>
        <v>2.9698182859232847</v>
      </c>
    </row>
    <row r="1150" spans="1:11" hidden="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H1150" s="5">
        <v>750</v>
      </c>
      <c r="I1150" s="6">
        <v>845.428571394752</v>
      </c>
      <c r="J1150" s="5">
        <v>6400</v>
      </c>
      <c r="K1150" s="6">
        <f t="shared" si="45"/>
        <v>0.88712402842345628</v>
      </c>
    </row>
    <row r="1151" spans="1:11" hidden="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H1151" s="5">
        <v>5075</v>
      </c>
      <c r="I1151" s="6">
        <v>3910.1071427007355</v>
      </c>
      <c r="J1151" s="5">
        <v>29600</v>
      </c>
      <c r="K1151" s="6">
        <f t="shared" si="45"/>
        <v>1.2979183983420632</v>
      </c>
    </row>
    <row r="1152" spans="1:11" hidden="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H1152" s="5">
        <v>5975</v>
      </c>
      <c r="I1152" s="6">
        <v>4015.7857141250793</v>
      </c>
      <c r="J1152" s="5">
        <v>30400</v>
      </c>
      <c r="K1152" s="6">
        <f t="shared" si="45"/>
        <v>1.4878781950400397</v>
      </c>
    </row>
    <row r="1153" spans="1:11" hidden="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H1153" s="5">
        <v>3420</v>
      </c>
      <c r="I1153" s="6">
        <v>2747.5751230427709</v>
      </c>
      <c r="J1153" s="5">
        <v>20800</v>
      </c>
      <c r="K1153" s="6">
        <f t="shared" si="45"/>
        <v>1.2447339369605879</v>
      </c>
    </row>
    <row r="1154" spans="1:11" hidden="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H1154" s="5">
        <v>1525</v>
      </c>
      <c r="I1154" s="6">
        <v>1056.75862064738</v>
      </c>
      <c r="J1154" s="5">
        <v>9600</v>
      </c>
      <c r="K1154" s="6">
        <f t="shared" si="45"/>
        <v>1.4430920838533317</v>
      </c>
    </row>
    <row r="1155" spans="1:11" hidden="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H1155" s="5">
        <v>0</v>
      </c>
      <c r="I1155" s="6">
        <v>317.02999999999997</v>
      </c>
      <c r="J1155" s="5">
        <v>2640</v>
      </c>
      <c r="K1155" s="6">
        <f t="shared" si="45"/>
        <v>0</v>
      </c>
    </row>
    <row r="1156" spans="1:11" hidden="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H1156" s="5">
        <v>0</v>
      </c>
      <c r="I1156" s="6">
        <v>52.84</v>
      </c>
      <c r="J1156" s="5">
        <v>440</v>
      </c>
      <c r="K1156" s="6">
        <f t="shared" si="45"/>
        <v>0</v>
      </c>
    </row>
    <row r="1157" spans="1:11" hidden="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H1157" s="5">
        <v>8550</v>
      </c>
      <c r="I1157" s="6">
        <v>3592.9793102011122</v>
      </c>
      <c r="J1157" s="5">
        <v>27820</v>
      </c>
      <c r="K1157" s="6">
        <f t="shared" si="45"/>
        <v>2.3796407554379782</v>
      </c>
    </row>
    <row r="1158" spans="1:11" hidden="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H1158" s="5">
        <v>1920</v>
      </c>
      <c r="I1158" s="6">
        <v>1585.2222221588099</v>
      </c>
      <c r="J1158" s="5">
        <v>11490</v>
      </c>
      <c r="K1158" s="6">
        <f t="shared" si="45"/>
        <v>1.2111866545658678</v>
      </c>
    </row>
    <row r="1159" spans="1:11" hidden="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H1159" s="5">
        <v>800</v>
      </c>
      <c r="I1159" s="6">
        <v>1796.5851851133182</v>
      </c>
      <c r="J1159" s="5">
        <v>13600</v>
      </c>
      <c r="K1159" s="6">
        <f t="shared" si="45"/>
        <v>0.44528921123745135</v>
      </c>
    </row>
    <row r="1160" spans="1:11" hidden="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H1160" s="5">
        <v>2940</v>
      </c>
      <c r="I1160" s="6">
        <v>2219.311111022334</v>
      </c>
      <c r="J1160" s="5">
        <v>16800</v>
      </c>
      <c r="K1160" s="6">
        <f t="shared" si="45"/>
        <v>1.324735403431418</v>
      </c>
    </row>
    <row r="1161" spans="1:11" hidden="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H1161" s="5">
        <v>3625</v>
      </c>
      <c r="I1161" s="6">
        <v>2959.0814813631118</v>
      </c>
      <c r="J1161" s="5">
        <v>22400</v>
      </c>
      <c r="K1161" s="6">
        <f t="shared" si="45"/>
        <v>1.2250423054691046</v>
      </c>
    </row>
    <row r="1162" spans="1:11" hidden="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H1162" s="5">
        <v>820</v>
      </c>
      <c r="I1162" s="6">
        <v>1912.3542857142861</v>
      </c>
      <c r="J1162" s="5">
        <v>16320</v>
      </c>
      <c r="K1162" s="6">
        <f t="shared" ref="K1162:K1227" si="48">+H1162/I1162</f>
        <v>0.42879083971290427</v>
      </c>
    </row>
    <row r="1163" spans="1:11" hidden="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H1163" s="5">
        <v>8950</v>
      </c>
      <c r="I1163" s="6">
        <v>2812.2857142428579</v>
      </c>
      <c r="J1163" s="5">
        <v>20000</v>
      </c>
      <c r="K1163" s="6">
        <f t="shared" si="48"/>
        <v>3.1824646957713463</v>
      </c>
    </row>
    <row r="1164" spans="1:11" hidden="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H1164" s="5">
        <v>925</v>
      </c>
      <c r="I1164" s="6">
        <v>1768.8376470588223</v>
      </c>
      <c r="J1164" s="5">
        <v>12800</v>
      </c>
      <c r="K1164" s="6">
        <f t="shared" si="48"/>
        <v>0.52294228446464053</v>
      </c>
    </row>
    <row r="1165" spans="1:11" hidden="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H1165" s="5">
        <v>3620</v>
      </c>
      <c r="I1165" s="6">
        <v>2263.7999998868127</v>
      </c>
      <c r="J1165" s="5">
        <v>17920</v>
      </c>
      <c r="K1165" s="6">
        <f t="shared" si="48"/>
        <v>1.5990811909978777</v>
      </c>
    </row>
    <row r="1166" spans="1:11" hidden="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H1166" s="5">
        <v>1140</v>
      </c>
      <c r="I1166" s="6">
        <v>994.97117647058747</v>
      </c>
      <c r="J1166" s="5">
        <v>7200</v>
      </c>
      <c r="K1166" s="6">
        <f t="shared" si="48"/>
        <v>1.1457618340702755</v>
      </c>
    </row>
    <row r="1167" spans="1:11" hidden="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H1167" s="5">
        <v>1440</v>
      </c>
      <c r="I1167" s="6">
        <v>994.97117647058747</v>
      </c>
      <c r="J1167" s="5">
        <v>7920</v>
      </c>
      <c r="K1167" s="6">
        <f t="shared" si="48"/>
        <v>1.4472781061940321</v>
      </c>
    </row>
    <row r="1168" spans="1:11" hidden="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H1168" s="5">
        <v>2025</v>
      </c>
      <c r="I1168" s="6">
        <v>2263.7999998868127</v>
      </c>
      <c r="J1168" s="5">
        <v>17920</v>
      </c>
      <c r="K1168" s="6">
        <f t="shared" si="48"/>
        <v>0.89451364966041502</v>
      </c>
    </row>
    <row r="1169" spans="1:11" hidden="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H1169" s="5">
        <v>6870</v>
      </c>
      <c r="I1169" s="6">
        <v>6727.0499997982479</v>
      </c>
      <c r="J1169" s="5">
        <v>49210</v>
      </c>
      <c r="K1169" s="6">
        <f t="shared" si="48"/>
        <v>1.0212500279031729</v>
      </c>
    </row>
    <row r="1170" spans="1:11" hidden="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H1170" s="5">
        <v>1290</v>
      </c>
      <c r="I1170" s="6">
        <v>994.95</v>
      </c>
      <c r="J1170" s="5">
        <v>7200</v>
      </c>
      <c r="K1170" s="6">
        <f t="shared" si="48"/>
        <v>1.2965475652042815</v>
      </c>
    </row>
    <row r="1171" spans="1:11" hidden="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H1171" s="5">
        <v>880</v>
      </c>
      <c r="I1171" s="6">
        <v>831.6</v>
      </c>
      <c r="J1171" s="5">
        <v>6300</v>
      </c>
      <c r="K1171" s="6">
        <f t="shared" si="48"/>
        <v>1.0582010582010581</v>
      </c>
    </row>
    <row r="1172" spans="1:11" hidden="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H1172" s="5">
        <v>1925</v>
      </c>
      <c r="I1172" s="6">
        <v>1267.2</v>
      </c>
      <c r="J1172" s="5">
        <v>9600</v>
      </c>
      <c r="K1172" s="6">
        <f t="shared" si="48"/>
        <v>1.5190972222222221</v>
      </c>
    </row>
    <row r="1173" spans="1:11" hidden="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H1173" s="5">
        <v>420</v>
      </c>
      <c r="I1173" s="6">
        <v>316.8</v>
      </c>
      <c r="J1173" s="5">
        <v>2400</v>
      </c>
      <c r="K1173" s="6">
        <f t="shared" si="48"/>
        <v>1.3257575757575757</v>
      </c>
    </row>
    <row r="1174" spans="1:11" hidden="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H1174" s="5">
        <v>7950</v>
      </c>
      <c r="I1174" s="6">
        <v>3603.6</v>
      </c>
      <c r="J1174" s="5">
        <v>27296</v>
      </c>
      <c r="K1174" s="6">
        <f t="shared" si="48"/>
        <v>2.2061272061272064</v>
      </c>
    </row>
    <row r="1175" spans="1:11" hidden="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H1175" s="5">
        <v>4700</v>
      </c>
      <c r="I1175" s="6">
        <v>3682.8</v>
      </c>
      <c r="J1175" s="5">
        <v>27900</v>
      </c>
      <c r="K1175" s="6">
        <f t="shared" si="48"/>
        <v>1.2762028891061148</v>
      </c>
    </row>
    <row r="1176" spans="1:11" hidden="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H1176" s="5">
        <v>2825</v>
      </c>
      <c r="I1176" s="6">
        <v>2376</v>
      </c>
      <c r="J1176" s="5">
        <v>18000</v>
      </c>
      <c r="K1176" s="6">
        <f t="shared" si="48"/>
        <v>1.188973063973064</v>
      </c>
    </row>
    <row r="1177" spans="1:11" hidden="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H1177" s="5">
        <v>1050</v>
      </c>
      <c r="I1177" s="6">
        <v>950.4</v>
      </c>
      <c r="J1177" s="5">
        <v>7200</v>
      </c>
      <c r="K1177" s="6">
        <f t="shared" si="48"/>
        <v>1.1047979797979799</v>
      </c>
    </row>
    <row r="1178" spans="1:11" hidden="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H1178" s="5">
        <v>1800</v>
      </c>
      <c r="I1178" s="6">
        <v>1346.4</v>
      </c>
      <c r="J1178" s="5">
        <v>10200</v>
      </c>
      <c r="K1178" s="6">
        <f t="shared" si="48"/>
        <v>1.3368983957219251</v>
      </c>
    </row>
    <row r="1179" spans="1:11" hidden="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H1179" s="5">
        <v>3420</v>
      </c>
      <c r="I1179" s="6">
        <v>2851.2</v>
      </c>
      <c r="J1179" s="5">
        <v>21600</v>
      </c>
      <c r="K1179" s="6">
        <f t="shared" si="48"/>
        <v>1.1994949494949496</v>
      </c>
    </row>
    <row r="1180" spans="1:11" hidden="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H1180" s="5">
        <v>1590</v>
      </c>
      <c r="I1180" s="6">
        <v>2138.4</v>
      </c>
      <c r="J1180" s="5">
        <v>16200</v>
      </c>
      <c r="K1180" s="6">
        <f t="shared" si="48"/>
        <v>0.74354657687991021</v>
      </c>
    </row>
    <row r="1181" spans="1:11" hidden="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H1181" s="5">
        <v>2200</v>
      </c>
      <c r="I1181" s="6">
        <v>963.6</v>
      </c>
      <c r="J1181" s="5">
        <v>7570</v>
      </c>
      <c r="K1181" s="6">
        <f t="shared" si="48"/>
        <v>2.2831050228310503</v>
      </c>
    </row>
    <row r="1182" spans="1:11" hidden="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H1182" s="5">
        <v>5600</v>
      </c>
      <c r="I1182" s="6">
        <v>3168</v>
      </c>
      <c r="J1182" s="5">
        <v>24000</v>
      </c>
      <c r="K1182" s="6">
        <f t="shared" si="48"/>
        <v>1.7676767676767677</v>
      </c>
    </row>
    <row r="1183" spans="1:11" hidden="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H1183" s="5">
        <v>3090</v>
      </c>
      <c r="I1183" s="6">
        <v>1188</v>
      </c>
      <c r="J1183" s="5">
        <v>9000</v>
      </c>
      <c r="K1183" s="6">
        <f t="shared" si="48"/>
        <v>2.6010101010101012</v>
      </c>
    </row>
    <row r="1184" spans="1:11" hidden="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H1184" s="5">
        <v>4650</v>
      </c>
      <c r="I1184" s="6">
        <v>2732.4</v>
      </c>
      <c r="J1184" s="5">
        <v>20700</v>
      </c>
      <c r="K1184" s="6">
        <f t="shared" si="48"/>
        <v>1.701800614844093</v>
      </c>
    </row>
    <row r="1185" spans="1:11" hidden="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H1185" s="5">
        <v>300</v>
      </c>
      <c r="I1185" s="6">
        <v>673.2</v>
      </c>
      <c r="J1185" s="5">
        <v>5100</v>
      </c>
      <c r="K1185" s="6">
        <f t="shared" si="48"/>
        <v>0.44563279857397503</v>
      </c>
    </row>
    <row r="1186" spans="1:11" hidden="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H1186" s="5">
        <v>1560</v>
      </c>
      <c r="I1186" s="6">
        <v>1100.4749999999999</v>
      </c>
      <c r="J1186" s="5">
        <v>8000</v>
      </c>
      <c r="K1186" s="6">
        <f t="shared" si="48"/>
        <v>1.417569685817488</v>
      </c>
    </row>
    <row r="1187" spans="1:11" hidden="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H1187" s="5">
        <v>1850</v>
      </c>
      <c r="I1187" s="6">
        <v>1287</v>
      </c>
      <c r="J1187" s="5">
        <v>9400</v>
      </c>
      <c r="K1187" s="6">
        <f t="shared" si="48"/>
        <v>1.4374514374514376</v>
      </c>
    </row>
    <row r="1188" spans="1:11" hidden="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H1188" s="5">
        <v>4740</v>
      </c>
      <c r="I1188" s="6">
        <v>2641.14</v>
      </c>
      <c r="J1188" s="5">
        <v>19200</v>
      </c>
      <c r="K1188" s="6">
        <f t="shared" si="48"/>
        <v>1.7946795701856018</v>
      </c>
    </row>
    <row r="1189" spans="1:11" hidden="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H1189" s="5">
        <v>1600</v>
      </c>
      <c r="I1189" s="6">
        <v>2641.14</v>
      </c>
      <c r="J1189" s="5">
        <v>19200</v>
      </c>
      <c r="K1189" s="6">
        <f t="shared" si="48"/>
        <v>0.60579901103311451</v>
      </c>
    </row>
    <row r="1190" spans="1:11" hidden="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H1190" s="5">
        <v>2910</v>
      </c>
      <c r="I1190" s="6">
        <v>1430.6174906250001</v>
      </c>
      <c r="J1190" s="5">
        <v>10400</v>
      </c>
      <c r="K1190" s="6">
        <f t="shared" si="48"/>
        <v>2.0340866926830983</v>
      </c>
    </row>
    <row r="1191" spans="1:11" hidden="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H1191" s="5">
        <v>2430</v>
      </c>
      <c r="I1191" s="6">
        <v>1430.6175000000001</v>
      </c>
      <c r="J1191" s="5">
        <v>10400</v>
      </c>
      <c r="K1191" s="6">
        <f t="shared" si="48"/>
        <v>1.6985672270890018</v>
      </c>
    </row>
    <row r="1192" spans="1:11" hidden="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H1192" s="5">
        <v>4200</v>
      </c>
      <c r="I1192" s="6">
        <v>2861.2350000000001</v>
      </c>
      <c r="J1192" s="5">
        <v>20800</v>
      </c>
      <c r="K1192" s="6">
        <f t="shared" si="48"/>
        <v>1.467897603657162</v>
      </c>
    </row>
    <row r="1193" spans="1:11" hidden="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H1193" s="5">
        <v>5150</v>
      </c>
      <c r="I1193" s="6">
        <v>3071.9505625000002</v>
      </c>
      <c r="J1193" s="5">
        <v>22400</v>
      </c>
      <c r="K1193" s="6">
        <f t="shared" si="48"/>
        <v>1.6764592708187502</v>
      </c>
    </row>
    <row r="1194" spans="1:11" hidden="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H1194" s="5">
        <v>2820</v>
      </c>
      <c r="I1194" s="6">
        <v>1097.125</v>
      </c>
      <c r="J1194" s="5">
        <v>8000</v>
      </c>
      <c r="K1194" s="6">
        <f t="shared" si="48"/>
        <v>2.5703543351942577</v>
      </c>
    </row>
    <row r="1195" spans="1:11" hidden="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H1195" s="5">
        <v>4220</v>
      </c>
      <c r="I1195" s="6">
        <v>2852.5250000000001</v>
      </c>
      <c r="J1195" s="5">
        <v>20800</v>
      </c>
      <c r="K1195" s="6">
        <f t="shared" si="48"/>
        <v>1.4793910658101155</v>
      </c>
    </row>
    <row r="1196" spans="1:11" hidden="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H1196" s="5">
        <v>3510</v>
      </c>
      <c r="I1196" s="6">
        <v>2633.1</v>
      </c>
      <c r="J1196" s="5">
        <v>19200</v>
      </c>
      <c r="K1196" s="6">
        <f t="shared" si="48"/>
        <v>1.3330295089438304</v>
      </c>
    </row>
    <row r="1197" spans="1:11" hidden="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H1197" s="5">
        <v>3960</v>
      </c>
      <c r="I1197" s="6">
        <v>2633.1</v>
      </c>
      <c r="J1197" s="5">
        <v>19200</v>
      </c>
      <c r="K1197" s="6">
        <f t="shared" si="48"/>
        <v>1.5039307280391934</v>
      </c>
    </row>
    <row r="1198" spans="1:11" hidden="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H1198" s="5">
        <v>4440</v>
      </c>
      <c r="I1198" s="6">
        <v>2852.5250000000001</v>
      </c>
      <c r="J1198" s="5">
        <v>20800</v>
      </c>
      <c r="K1198" s="6">
        <f t="shared" si="48"/>
        <v>1.5565157185300742</v>
      </c>
    </row>
    <row r="1199" spans="1:11" hidden="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H1199" s="5">
        <v>3690</v>
      </c>
      <c r="I1199" s="6">
        <v>2852.5250000000001</v>
      </c>
      <c r="J1199" s="5">
        <v>20800</v>
      </c>
      <c r="K1199" s="6">
        <f t="shared" si="48"/>
        <v>1.2935907660756698</v>
      </c>
    </row>
    <row r="1200" spans="1:11" hidden="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H1200" s="5">
        <v>3550</v>
      </c>
      <c r="I1200" s="6">
        <v>3071.95</v>
      </c>
      <c r="J1200" s="5">
        <v>22400</v>
      </c>
      <c r="K1200" s="6">
        <f t="shared" si="48"/>
        <v>1.1556177672162633</v>
      </c>
    </row>
    <row r="1201" spans="1:11" hidden="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H1201" s="5">
        <v>3475</v>
      </c>
      <c r="I1201" s="6">
        <v>1645.6875</v>
      </c>
      <c r="J1201" s="5">
        <v>12000</v>
      </c>
      <c r="K1201" s="6">
        <f t="shared" si="48"/>
        <v>2.1115795070449281</v>
      </c>
    </row>
    <row r="1202" spans="1:11" hidden="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H1202" s="5">
        <v>11340</v>
      </c>
      <c r="I1202" s="6">
        <v>4121.4642855494085</v>
      </c>
      <c r="J1202" s="5">
        <v>31200</v>
      </c>
      <c r="K1202" s="6">
        <f t="shared" si="48"/>
        <v>2.7514492943102939</v>
      </c>
    </row>
    <row r="1203" spans="1:11" hidden="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H1203" s="5">
        <v>945</v>
      </c>
      <c r="I1203" s="6">
        <v>1056.7857142434418</v>
      </c>
      <c r="J1203" s="5">
        <v>8000</v>
      </c>
      <c r="K1203" s="6">
        <f t="shared" si="48"/>
        <v>0.89422102065084241</v>
      </c>
    </row>
    <row r="1204" spans="1:11" hidden="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H1204" s="5">
        <v>6390</v>
      </c>
      <c r="I1204" s="6">
        <v>2641.9642856076484</v>
      </c>
      <c r="J1204" s="5">
        <v>19996</v>
      </c>
      <c r="K1204" s="6">
        <f t="shared" si="48"/>
        <v>2.4186549510945823</v>
      </c>
    </row>
    <row r="1205" spans="1:11" hidden="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H1205" s="5">
        <v>900</v>
      </c>
      <c r="I1205" s="6">
        <v>528.39285712153003</v>
      </c>
      <c r="J1205" s="5">
        <v>4000</v>
      </c>
      <c r="K1205" s="6">
        <f t="shared" si="48"/>
        <v>1.7032781345736485</v>
      </c>
    </row>
    <row r="1206" spans="1:11" hidden="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H1206" s="5">
        <v>1980</v>
      </c>
      <c r="I1206" s="6">
        <v>1902.2142856375078</v>
      </c>
      <c r="J1206" s="5">
        <v>14400</v>
      </c>
      <c r="K1206" s="6">
        <f t="shared" si="48"/>
        <v>1.040892193350563</v>
      </c>
    </row>
    <row r="1207" spans="1:11" hidden="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H1207" s="5">
        <v>320</v>
      </c>
      <c r="I1207" s="6">
        <v>634.05999999999995</v>
      </c>
      <c r="J1207" s="5">
        <v>4800</v>
      </c>
      <c r="K1207" s="6">
        <f t="shared" si="48"/>
        <v>0.50468409929659663</v>
      </c>
    </row>
    <row r="1208" spans="1:11" hidden="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H1208" s="5">
        <v>6620</v>
      </c>
      <c r="I1208" s="6">
        <v>4487.9999999102474</v>
      </c>
      <c r="J1208" s="5">
        <v>31740</v>
      </c>
      <c r="K1208" s="6">
        <f t="shared" si="48"/>
        <v>1.4750445633093558</v>
      </c>
    </row>
    <row r="1209" spans="1:11" hidden="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H1209" s="5">
        <v>2150</v>
      </c>
      <c r="I1209" s="6">
        <v>1702.8</v>
      </c>
      <c r="J1209" s="5">
        <v>12900</v>
      </c>
      <c r="K1209" s="6">
        <f t="shared" si="48"/>
        <v>1.2626262626262628</v>
      </c>
    </row>
    <row r="1210" spans="1:11" hidden="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H1210" s="5">
        <v>4120</v>
      </c>
      <c r="I1210" s="6">
        <v>3009.6</v>
      </c>
      <c r="J1210" s="5">
        <v>22800</v>
      </c>
      <c r="K1210" s="6">
        <f t="shared" si="48"/>
        <v>1.3689526847421585</v>
      </c>
    </row>
    <row r="1211" spans="1:11" hidden="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H1211" s="5">
        <v>2340</v>
      </c>
      <c r="I1211" s="6">
        <v>1386</v>
      </c>
      <c r="J1211" s="5">
        <v>10500</v>
      </c>
      <c r="K1211" s="6">
        <f t="shared" si="48"/>
        <v>1.6883116883116882</v>
      </c>
    </row>
    <row r="1212" spans="1:11" hidden="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H1212" s="5">
        <v>1770</v>
      </c>
      <c r="I1212" s="6">
        <v>1386</v>
      </c>
      <c r="J1212" s="5">
        <v>10500</v>
      </c>
      <c r="K1212" s="6">
        <f t="shared" si="48"/>
        <v>1.277056277056277</v>
      </c>
    </row>
    <row r="1213" spans="1:11" hidden="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H1213" s="5">
        <v>1625</v>
      </c>
      <c r="I1213" s="6">
        <v>1029.5999999999999</v>
      </c>
      <c r="J1213" s="5">
        <v>7800</v>
      </c>
      <c r="K1213" s="6">
        <f t="shared" si="48"/>
        <v>1.5782828282828285</v>
      </c>
    </row>
    <row r="1214" spans="1:11" hidden="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H1214" s="5">
        <v>2250</v>
      </c>
      <c r="I1214" s="6">
        <v>2653.2</v>
      </c>
      <c r="J1214" s="5">
        <v>20100</v>
      </c>
      <c r="K1214" s="6">
        <f t="shared" si="48"/>
        <v>0.84803256445047492</v>
      </c>
    </row>
    <row r="1215" spans="1:11" hidden="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H1215" s="5">
        <v>3180</v>
      </c>
      <c r="I1215" s="6">
        <v>1768.8</v>
      </c>
      <c r="J1215" s="5">
        <v>13400</v>
      </c>
      <c r="K1215" s="6">
        <f t="shared" si="48"/>
        <v>1.7978290366350069</v>
      </c>
    </row>
    <row r="1216" spans="1:11" hidden="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H1216" s="5">
        <v>840</v>
      </c>
      <c r="I1216" s="6">
        <v>1029.5999999999999</v>
      </c>
      <c r="J1216" s="5">
        <v>7800</v>
      </c>
      <c r="K1216" s="6">
        <f t="shared" si="48"/>
        <v>0.81585081585081587</v>
      </c>
    </row>
    <row r="1217" spans="1:11" hidden="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H1217" s="5">
        <v>2525</v>
      </c>
      <c r="I1217" s="6">
        <v>1346.4</v>
      </c>
      <c r="J1217" s="5">
        <v>10200</v>
      </c>
      <c r="K1217" s="6">
        <f t="shared" si="48"/>
        <v>1.8753713606654783</v>
      </c>
    </row>
    <row r="1218" spans="1:11" hidden="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H1218" s="5">
        <v>300</v>
      </c>
      <c r="I1218" s="6">
        <v>440.18999062500001</v>
      </c>
      <c r="J1218" s="5">
        <v>3200</v>
      </c>
      <c r="K1218" s="6">
        <f t="shared" si="48"/>
        <v>0.68152390192709189</v>
      </c>
    </row>
    <row r="1219" spans="1:11" hidden="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H1219" s="5">
        <v>1475</v>
      </c>
      <c r="I1219" s="6">
        <v>880.38</v>
      </c>
      <c r="J1219" s="5">
        <v>6400</v>
      </c>
      <c r="K1219" s="6">
        <f t="shared" si="48"/>
        <v>1.6754128898884573</v>
      </c>
    </row>
    <row r="1220" spans="1:11" hidden="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H1220" s="5">
        <v>550</v>
      </c>
      <c r="I1220" s="6">
        <v>330.14249999999998</v>
      </c>
      <c r="J1220" s="5">
        <v>2400</v>
      </c>
      <c r="K1220" s="6">
        <f t="shared" si="48"/>
        <v>1.6659472803410649</v>
      </c>
    </row>
    <row r="1221" spans="1:11" hidden="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H1221" s="5">
        <v>2450</v>
      </c>
      <c r="I1221" s="6">
        <v>1650.7125000000001</v>
      </c>
      <c r="J1221" s="5">
        <v>12000</v>
      </c>
      <c r="K1221" s="6">
        <f t="shared" si="48"/>
        <v>1.4842075770311305</v>
      </c>
    </row>
    <row r="1222" spans="1:11" hidden="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H1222" s="5">
        <v>1200</v>
      </c>
      <c r="I1222" s="6">
        <v>1287.0000000000018</v>
      </c>
      <c r="J1222" s="5">
        <v>9400</v>
      </c>
      <c r="K1222" s="6">
        <f t="shared" si="48"/>
        <v>0.93240093240093114</v>
      </c>
    </row>
    <row r="1223" spans="1:11" hidden="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H1223" s="5">
        <v>3150</v>
      </c>
      <c r="I1223" s="6">
        <v>2641.14</v>
      </c>
      <c r="J1223" s="5">
        <v>19200</v>
      </c>
      <c r="K1223" s="6">
        <f t="shared" si="48"/>
        <v>1.1926668029714442</v>
      </c>
    </row>
    <row r="1224" spans="1:11" hidden="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H1224" s="5">
        <v>2430</v>
      </c>
      <c r="I1224" s="6">
        <v>880.38</v>
      </c>
      <c r="J1224" s="5">
        <v>6400</v>
      </c>
      <c r="K1224" s="6">
        <f t="shared" si="48"/>
        <v>2.7601717440196278</v>
      </c>
    </row>
    <row r="1225" spans="1:11" hidden="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H1225" s="5">
        <v>1440</v>
      </c>
      <c r="I1225" s="6">
        <v>880.38</v>
      </c>
      <c r="J1225" s="5">
        <v>6400</v>
      </c>
      <c r="K1225" s="6">
        <f t="shared" si="48"/>
        <v>1.635657329789409</v>
      </c>
    </row>
    <row r="1226" spans="1:11" hidden="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H1226" s="5">
        <v>540</v>
      </c>
      <c r="I1226" s="6">
        <v>1755.4</v>
      </c>
      <c r="J1226" s="5">
        <v>12800</v>
      </c>
      <c r="K1226" s="6">
        <f t="shared" si="48"/>
        <v>0.30762219437165317</v>
      </c>
    </row>
    <row r="1227" spans="1:11" hidden="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H1227" s="5">
        <v>2320</v>
      </c>
      <c r="I1227" s="6">
        <v>2413.6749943750001</v>
      </c>
      <c r="J1227" s="5">
        <v>17600</v>
      </c>
      <c r="K1227" s="6">
        <f t="shared" si="48"/>
        <v>0.96118988903091473</v>
      </c>
    </row>
    <row r="1228" spans="1:11" hidden="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H1228" s="5">
        <v>1520</v>
      </c>
      <c r="I1228" s="6">
        <v>1645.6875</v>
      </c>
      <c r="J1228" s="5">
        <v>12000</v>
      </c>
      <c r="K1228" s="6">
        <f t="shared" ref="K1228:K1292" si="50">+H1228/I1228</f>
        <v>0.92362614408871668</v>
      </c>
    </row>
    <row r="1229" spans="1:11" hidden="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H1229" s="5">
        <v>460</v>
      </c>
      <c r="I1229" s="6">
        <v>726.32013058333712</v>
      </c>
      <c r="J1229" s="5">
        <v>5712</v>
      </c>
      <c r="K1229" s="6">
        <f t="shared" si="50"/>
        <v>0.63332954799222674</v>
      </c>
    </row>
    <row r="1230" spans="1:11" hidden="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H1230" s="5">
        <v>1650</v>
      </c>
      <c r="I1230" s="6">
        <v>924.39958333667107</v>
      </c>
      <c r="J1230" s="5">
        <v>6720</v>
      </c>
      <c r="K1230" s="6">
        <f t="shared" si="50"/>
        <v>1.7849423882735151</v>
      </c>
    </row>
    <row r="1231" spans="1:11" hidden="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H1231" s="5">
        <v>1980</v>
      </c>
      <c r="I1231" s="6">
        <v>1122.485208333339</v>
      </c>
      <c r="J1231" s="5">
        <v>8160</v>
      </c>
      <c r="K1231" s="6">
        <f t="shared" si="50"/>
        <v>1.7639430660648929</v>
      </c>
    </row>
    <row r="1232" spans="1:11" hidden="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H1232" s="5">
        <v>440</v>
      </c>
      <c r="I1232" s="6">
        <v>396.17125000000198</v>
      </c>
      <c r="J1232" s="5">
        <v>2880</v>
      </c>
      <c r="K1232" s="6">
        <f t="shared" si="50"/>
        <v>1.1106308193741918</v>
      </c>
    </row>
    <row r="1233" spans="1:11" hidden="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H1233" s="5">
        <v>2880</v>
      </c>
      <c r="I1233" s="6">
        <v>1535.9749999999999</v>
      </c>
      <c r="J1233" s="5">
        <v>11200</v>
      </c>
      <c r="K1233" s="6">
        <f t="shared" si="50"/>
        <v>1.8750305180748386</v>
      </c>
    </row>
    <row r="1234" spans="1:11" hidden="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H1234" s="5">
        <v>1540</v>
      </c>
      <c r="I1234" s="6">
        <v>1535.9749999999999</v>
      </c>
      <c r="J1234" s="5">
        <v>11200</v>
      </c>
      <c r="K1234" s="6">
        <f t="shared" si="50"/>
        <v>1.0026204853594622</v>
      </c>
    </row>
    <row r="1235" spans="1:11" hidden="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H1235" s="5">
        <v>570</v>
      </c>
      <c r="I1235" s="6">
        <v>594.25687500000299</v>
      </c>
      <c r="J1235" s="5">
        <v>4320</v>
      </c>
      <c r="K1235" s="6">
        <f t="shared" si="50"/>
        <v>0.95918116218680205</v>
      </c>
    </row>
    <row r="1236" spans="1:11" hidden="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H1236" s="5">
        <v>3780</v>
      </c>
      <c r="I1236" s="6">
        <v>2575.1131250013459</v>
      </c>
      <c r="J1236" s="5">
        <v>18720</v>
      </c>
      <c r="K1236" s="6">
        <f t="shared" si="50"/>
        <v>1.4678966773539412</v>
      </c>
    </row>
    <row r="1237" spans="1:11" hidden="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H1237" s="5">
        <v>720</v>
      </c>
      <c r="I1237" s="6">
        <v>528.37931032368999</v>
      </c>
      <c r="J1237" s="5">
        <v>4000</v>
      </c>
      <c r="K1237" s="6">
        <f t="shared" ref="K1237:K1243" si="51">IFERROR(H1237/I1237,"")</f>
        <v>1.3626574431139657</v>
      </c>
    </row>
    <row r="1238" spans="1:11" hidden="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H1238" s="5">
        <v>5150</v>
      </c>
      <c r="I1238" s="6">
        <v>2272.0310343918732</v>
      </c>
      <c r="J1238" s="5">
        <v>17200</v>
      </c>
      <c r="K1238" s="6">
        <f t="shared" si="51"/>
        <v>2.2666943901927983</v>
      </c>
    </row>
    <row r="1239" spans="1:11" hidden="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H1239" s="5">
        <v>1450</v>
      </c>
      <c r="I1239" s="6">
        <v>1162.4344827121224</v>
      </c>
      <c r="J1239" s="5">
        <v>8800</v>
      </c>
      <c r="K1239" s="6">
        <f t="shared" si="51"/>
        <v>1.2473821291131582</v>
      </c>
    </row>
    <row r="1240" spans="1:11" hidden="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H1240" s="5">
        <v>1610</v>
      </c>
      <c r="I1240" s="6">
        <v>1162.4344827121181</v>
      </c>
      <c r="J1240" s="5">
        <v>8800</v>
      </c>
      <c r="K1240" s="6">
        <f t="shared" si="51"/>
        <v>1.3850242950842706</v>
      </c>
    </row>
    <row r="1241" spans="1:11" hidden="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H1241" s="5">
        <v>990</v>
      </c>
      <c r="I1241" s="6">
        <v>1056.7586206473827</v>
      </c>
      <c r="J1241" s="5">
        <v>8000</v>
      </c>
      <c r="K1241" s="6">
        <f t="shared" si="51"/>
        <v>0.93682699214084897</v>
      </c>
    </row>
    <row r="1242" spans="1:11" hidden="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H1242" s="5">
        <v>1350</v>
      </c>
      <c r="I1242" s="6">
        <v>1109.596551679753</v>
      </c>
      <c r="J1242" s="5">
        <v>8400</v>
      </c>
      <c r="K1242" s="6">
        <f t="shared" si="51"/>
        <v>1.2166584313517506</v>
      </c>
    </row>
    <row r="1243" spans="1:11" hidden="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H1243" s="5">
        <v>3975</v>
      </c>
      <c r="I1243" s="6">
        <v>1902.1655171652881</v>
      </c>
      <c r="J1243" s="5">
        <v>14400</v>
      </c>
      <c r="K1243" s="6">
        <f t="shared" si="51"/>
        <v>2.0897235094050934</v>
      </c>
    </row>
    <row r="1244" spans="1:11" hidden="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H1244" s="5">
        <v>575</v>
      </c>
      <c r="I1244" s="6">
        <v>951.10714281909407</v>
      </c>
      <c r="J1244" s="5">
        <v>7200</v>
      </c>
      <c r="K1244" s="6">
        <f t="shared" si="50"/>
        <v>0.60455859714783811</v>
      </c>
    </row>
    <row r="1245" spans="1:11" hidden="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H1245" s="5">
        <v>6540</v>
      </c>
      <c r="I1245" s="6">
        <v>3804.4285712763772</v>
      </c>
      <c r="J1245" s="5">
        <v>28800</v>
      </c>
      <c r="K1245" s="6">
        <f t="shared" si="50"/>
        <v>1.7190492284116783</v>
      </c>
    </row>
    <row r="1246" spans="1:11" hidden="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H1246" s="5">
        <v>3420</v>
      </c>
      <c r="I1246" s="6">
        <v>2641.8965516184649</v>
      </c>
      <c r="J1246" s="5">
        <v>20000</v>
      </c>
      <c r="K1246" s="6">
        <f t="shared" si="50"/>
        <v>1.29452457095826</v>
      </c>
    </row>
    <row r="1247" spans="1:11" hidden="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H1247" s="5">
        <v>5190</v>
      </c>
      <c r="I1247" s="6">
        <v>3592.9793102010913</v>
      </c>
      <c r="J1247" s="5">
        <v>26044</v>
      </c>
      <c r="K1247" s="6">
        <f t="shared" si="50"/>
        <v>1.4444836866342898</v>
      </c>
    </row>
    <row r="1248" spans="1:11" hidden="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H1248" s="5">
        <v>2775</v>
      </c>
      <c r="I1248" s="6">
        <v>1268.1103447768633</v>
      </c>
      <c r="J1248" s="5">
        <v>9600</v>
      </c>
      <c r="K1248" s="6">
        <f t="shared" si="50"/>
        <v>2.1882953730562691</v>
      </c>
    </row>
    <row r="1249" spans="1:11" hidden="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H1249" s="5">
        <v>550</v>
      </c>
      <c r="I1249" s="6">
        <v>528.37931032368999</v>
      </c>
      <c r="J1249" s="5">
        <v>4000</v>
      </c>
      <c r="K1249" s="6">
        <f t="shared" si="50"/>
        <v>1.0409188801565015</v>
      </c>
    </row>
    <row r="1250" spans="1:11" hidden="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H1250" s="5">
        <v>1410</v>
      </c>
      <c r="I1250" s="6">
        <v>1162.4344827121247</v>
      </c>
      <c r="J1250" s="5">
        <v>8800</v>
      </c>
      <c r="K1250" s="6">
        <f t="shared" si="50"/>
        <v>1.212971587620379</v>
      </c>
    </row>
    <row r="1251" spans="1:11" hidden="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H1251" s="5">
        <v>870</v>
      </c>
      <c r="I1251" s="6">
        <v>528.3915024419166</v>
      </c>
      <c r="J1251" s="5">
        <v>4000</v>
      </c>
      <c r="K1251" s="6">
        <f t="shared" si="50"/>
        <v>1.6465064180240763</v>
      </c>
    </row>
    <row r="1252" spans="1:11" hidden="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H1252" s="5">
        <v>7350</v>
      </c>
      <c r="I1252" s="6">
        <v>3910.1071427007282</v>
      </c>
      <c r="J1252" s="5">
        <v>29260</v>
      </c>
      <c r="K1252" s="6">
        <f t="shared" si="50"/>
        <v>1.8797438872540262</v>
      </c>
    </row>
    <row r="1253" spans="1:11" hidden="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H1253" s="5">
        <v>4220</v>
      </c>
      <c r="I1253" s="6">
        <v>1902.2142856381945</v>
      </c>
      <c r="J1253" s="5">
        <v>14400</v>
      </c>
      <c r="K1253" s="6">
        <f t="shared" si="50"/>
        <v>2.2184671999685812</v>
      </c>
    </row>
    <row r="1254" spans="1:11" hidden="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H1254" s="5">
        <v>2130</v>
      </c>
      <c r="I1254" s="6">
        <v>1162.4642856677858</v>
      </c>
      <c r="J1254" s="5">
        <v>8800</v>
      </c>
      <c r="K1254" s="6">
        <f t="shared" si="50"/>
        <v>1.8323143568891722</v>
      </c>
    </row>
    <row r="1255" spans="1:11" hidden="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H1255" s="5">
        <v>450</v>
      </c>
      <c r="I1255" s="6">
        <v>317.03571427303262</v>
      </c>
      <c r="J1255" s="5">
        <v>2400</v>
      </c>
      <c r="K1255" s="6">
        <f t="shared" si="50"/>
        <v>1.4193984454775272</v>
      </c>
    </row>
    <row r="1256" spans="1:11" hidden="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H1256" s="5">
        <v>1650</v>
      </c>
      <c r="I1256" s="6">
        <v>951.10714281875391</v>
      </c>
      <c r="J1256" s="5">
        <v>7200</v>
      </c>
      <c r="K1256" s="6">
        <f t="shared" si="50"/>
        <v>1.7348203222509384</v>
      </c>
    </row>
    <row r="1257" spans="1:11" hidden="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H1257" s="5">
        <v>660</v>
      </c>
      <c r="I1257" s="6">
        <v>898.26785710660101</v>
      </c>
      <c r="J1257" s="5">
        <v>6800</v>
      </c>
      <c r="K1257" s="6">
        <f t="shared" si="50"/>
        <v>0.73474743060039738</v>
      </c>
    </row>
    <row r="1258" spans="1:11" hidden="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H1258" s="5">
        <v>1350</v>
      </c>
      <c r="I1258" s="6">
        <v>1162.4642856673661</v>
      </c>
      <c r="J1258" s="5">
        <v>8800</v>
      </c>
      <c r="K1258" s="6">
        <f t="shared" si="50"/>
        <v>1.1613260008456694</v>
      </c>
    </row>
    <row r="1259" spans="1:11" hidden="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H1259" s="5">
        <v>1650</v>
      </c>
      <c r="I1259" s="6">
        <v>686.91071425798896</v>
      </c>
      <c r="J1259" s="5">
        <v>5200</v>
      </c>
      <c r="K1259" s="6">
        <f t="shared" si="50"/>
        <v>2.4020589077320684</v>
      </c>
    </row>
    <row r="1260" spans="1:11" hidden="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H1260" s="5">
        <v>575</v>
      </c>
      <c r="I1260" s="6">
        <v>845.428571394752</v>
      </c>
      <c r="J1260" s="5">
        <v>6400</v>
      </c>
      <c r="K1260" s="6">
        <f t="shared" si="50"/>
        <v>0.6801284217913165</v>
      </c>
    </row>
    <row r="1261" spans="1:11" hidden="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H1261" s="5">
        <v>5250</v>
      </c>
      <c r="I1261" s="6">
        <v>3910.1071427007355</v>
      </c>
      <c r="J1261" s="5">
        <v>29600</v>
      </c>
      <c r="K1261" s="6">
        <f t="shared" si="50"/>
        <v>1.3426742051814446</v>
      </c>
    </row>
    <row r="1262" spans="1:11" hidden="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H1262" s="5">
        <v>6200</v>
      </c>
      <c r="I1262" s="6">
        <v>4015.7857141250793</v>
      </c>
      <c r="J1262" s="5">
        <v>30400</v>
      </c>
      <c r="K1262" s="6">
        <f t="shared" si="50"/>
        <v>1.5439070810457316</v>
      </c>
    </row>
    <row r="1263" spans="1:11" hidden="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H1263" s="5">
        <v>5160</v>
      </c>
      <c r="I1263" s="6">
        <v>2747.5751230427709</v>
      </c>
      <c r="J1263" s="5">
        <v>20800</v>
      </c>
      <c r="K1263" s="6">
        <f t="shared" si="50"/>
        <v>1.8780196241861502</v>
      </c>
    </row>
    <row r="1264" spans="1:11" hidden="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H1264" s="5">
        <v>1825</v>
      </c>
      <c r="I1264" s="6">
        <v>1056.75862064738</v>
      </c>
      <c r="J1264" s="5">
        <v>9600</v>
      </c>
      <c r="K1264" s="6">
        <f t="shared" si="50"/>
        <v>1.7269790511687413</v>
      </c>
    </row>
    <row r="1265" spans="1:11" hidden="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H1265" s="5">
        <v>0</v>
      </c>
      <c r="I1265" s="6">
        <v>317.02999999999997</v>
      </c>
      <c r="J1265" s="5">
        <v>2640</v>
      </c>
      <c r="K1265" s="6">
        <f t="shared" si="50"/>
        <v>0</v>
      </c>
    </row>
    <row r="1266" spans="1:11" hidden="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H1266" s="5">
        <v>0</v>
      </c>
      <c r="I1266" s="6">
        <v>52.84</v>
      </c>
      <c r="J1266" s="5">
        <v>440</v>
      </c>
      <c r="K1266" s="6">
        <f t="shared" si="50"/>
        <v>0</v>
      </c>
    </row>
    <row r="1267" spans="1:11" hidden="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H1267" s="5">
        <v>6720</v>
      </c>
      <c r="I1267" s="6">
        <v>3592.9793102011122</v>
      </c>
      <c r="J1267" s="5">
        <v>27820</v>
      </c>
      <c r="K1267" s="6">
        <f t="shared" si="50"/>
        <v>1.8703141376073933</v>
      </c>
    </row>
    <row r="1268" spans="1:11" hidden="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H1268" s="5">
        <v>2190</v>
      </c>
      <c r="I1268" s="6">
        <v>1585.2222221588099</v>
      </c>
      <c r="J1268" s="5">
        <v>11490</v>
      </c>
      <c r="K1268" s="6">
        <f t="shared" si="50"/>
        <v>1.3815097778641932</v>
      </c>
    </row>
    <row r="1269" spans="1:11" hidden="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H1269" s="5">
        <v>1250</v>
      </c>
      <c r="I1269" s="6">
        <v>1796.5851851133182</v>
      </c>
      <c r="J1269" s="5">
        <v>13600</v>
      </c>
      <c r="K1269" s="6">
        <f t="shared" si="50"/>
        <v>0.69576439255851774</v>
      </c>
    </row>
    <row r="1270" spans="1:11" hidden="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H1270" s="5">
        <v>1620</v>
      </c>
      <c r="I1270" s="6">
        <v>2219.311111022334</v>
      </c>
      <c r="J1270" s="5">
        <v>16800</v>
      </c>
      <c r="K1270" s="6">
        <f t="shared" si="50"/>
        <v>0.72995624270710779</v>
      </c>
    </row>
    <row r="1271" spans="1:11" hidden="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H1271" s="5">
        <v>2650</v>
      </c>
      <c r="I1271" s="6">
        <v>2959.0814813631118</v>
      </c>
      <c r="J1271" s="5">
        <v>22400</v>
      </c>
      <c r="K1271" s="6">
        <f t="shared" si="50"/>
        <v>0.89554816813603511</v>
      </c>
    </row>
    <row r="1272" spans="1:11" hidden="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H1272" s="5">
        <v>820</v>
      </c>
      <c r="I1272" s="6">
        <v>1912.3542857142861</v>
      </c>
      <c r="J1272" s="5">
        <v>16320</v>
      </c>
      <c r="K1272" s="6">
        <f t="shared" si="50"/>
        <v>0.42879083971290427</v>
      </c>
    </row>
    <row r="1273" spans="1:11" hidden="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H1273" s="5">
        <v>8025</v>
      </c>
      <c r="I1273" s="6">
        <v>2812.2857142428579</v>
      </c>
      <c r="J1273" s="5">
        <v>20000</v>
      </c>
      <c r="K1273" s="6">
        <f t="shared" si="50"/>
        <v>2.8535507467670449</v>
      </c>
    </row>
    <row r="1274" spans="1:11" hidden="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H1274" s="5">
        <v>1300</v>
      </c>
      <c r="I1274" s="6">
        <v>1768.8376470588223</v>
      </c>
      <c r="J1274" s="5">
        <v>12800</v>
      </c>
      <c r="K1274" s="6">
        <f t="shared" si="50"/>
        <v>0.73494591330165693</v>
      </c>
    </row>
    <row r="1275" spans="1:11" hidden="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H1275" s="5">
        <v>4080</v>
      </c>
      <c r="I1275" s="6">
        <v>2263.7999998868127</v>
      </c>
      <c r="J1275" s="5">
        <v>17920</v>
      </c>
      <c r="K1275" s="6">
        <f t="shared" si="50"/>
        <v>1.8022793533898733</v>
      </c>
    </row>
    <row r="1276" spans="1:11" hidden="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H1276" s="5">
        <v>870</v>
      </c>
      <c r="I1276" s="6">
        <v>994.97117647058747</v>
      </c>
      <c r="J1276" s="5">
        <v>7200</v>
      </c>
      <c r="K1276" s="6">
        <f t="shared" si="50"/>
        <v>0.87439718915889442</v>
      </c>
    </row>
    <row r="1277" spans="1:11" hidden="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H1277" s="5">
        <v>1320</v>
      </c>
      <c r="I1277" s="6">
        <v>994.97117647058747</v>
      </c>
      <c r="J1277" s="5">
        <v>7920</v>
      </c>
      <c r="K1277" s="6">
        <f t="shared" si="50"/>
        <v>1.3266715973445296</v>
      </c>
    </row>
    <row r="1278" spans="1:11" hidden="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H1278" s="5">
        <v>3400</v>
      </c>
      <c r="I1278" s="6">
        <v>2263.7999998868127</v>
      </c>
      <c r="J1278" s="5">
        <v>17920</v>
      </c>
      <c r="K1278" s="6">
        <f t="shared" si="50"/>
        <v>1.5018994611582277</v>
      </c>
    </row>
    <row r="1279" spans="1:11" hidden="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H1279" s="5">
        <v>6000</v>
      </c>
      <c r="I1279" s="6">
        <v>6727.0499997982479</v>
      </c>
      <c r="J1279" s="5">
        <v>49210</v>
      </c>
      <c r="K1279" s="6">
        <f t="shared" si="50"/>
        <v>0.89192142174949596</v>
      </c>
    </row>
    <row r="1280" spans="1:11" hidden="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H1280" s="5">
        <v>1470</v>
      </c>
      <c r="I1280" s="6">
        <v>994.95</v>
      </c>
      <c r="J1280" s="5">
        <v>7200</v>
      </c>
      <c r="K1280" s="6">
        <f t="shared" si="50"/>
        <v>1.4774611789537162</v>
      </c>
    </row>
    <row r="1281" spans="1:11" hidden="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H1281" s="5">
        <v>940</v>
      </c>
      <c r="I1281" s="6">
        <v>831.6</v>
      </c>
      <c r="J1281" s="5">
        <v>6300</v>
      </c>
      <c r="K1281" s="6">
        <f t="shared" si="50"/>
        <v>1.1303511303511302</v>
      </c>
    </row>
    <row r="1282" spans="1:11" hidden="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H1282" s="5">
        <v>3250</v>
      </c>
      <c r="I1282" s="6">
        <v>1267.2</v>
      </c>
      <c r="J1282" s="5">
        <v>9600</v>
      </c>
      <c r="K1282" s="6">
        <f t="shared" si="50"/>
        <v>2.564709595959596</v>
      </c>
    </row>
    <row r="1283" spans="1:11" hidden="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H1283" s="5">
        <v>300</v>
      </c>
      <c r="I1283" s="6">
        <v>316.8</v>
      </c>
      <c r="J1283" s="5">
        <v>2400</v>
      </c>
      <c r="K1283" s="6">
        <f t="shared" si="50"/>
        <v>0.94696969696969691</v>
      </c>
    </row>
    <row r="1284" spans="1:11" hidden="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H1284" s="5">
        <v>9420</v>
      </c>
      <c r="I1284" s="6">
        <v>3603.6</v>
      </c>
      <c r="J1284" s="5">
        <v>27296</v>
      </c>
      <c r="K1284" s="6">
        <f t="shared" si="50"/>
        <v>2.6140526140526141</v>
      </c>
    </row>
    <row r="1285" spans="1:11" hidden="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H1285" s="5">
        <v>5250</v>
      </c>
      <c r="I1285" s="6">
        <v>3682.8</v>
      </c>
      <c r="J1285" s="5">
        <v>27900</v>
      </c>
      <c r="K1285" s="6">
        <f t="shared" si="50"/>
        <v>1.42554578038449</v>
      </c>
    </row>
    <row r="1286" spans="1:11" hidden="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H1286" s="5">
        <v>2025</v>
      </c>
      <c r="I1286" s="6">
        <v>2376</v>
      </c>
      <c r="J1286" s="5">
        <v>18000</v>
      </c>
      <c r="K1286" s="6">
        <f t="shared" si="50"/>
        <v>0.85227272727272729</v>
      </c>
    </row>
    <row r="1287" spans="1:11" hidden="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H1287" s="5">
        <v>870</v>
      </c>
      <c r="I1287" s="6">
        <v>950.4</v>
      </c>
      <c r="J1287" s="5">
        <v>7200</v>
      </c>
      <c r="K1287" s="6">
        <f t="shared" si="50"/>
        <v>0.91540404040404044</v>
      </c>
    </row>
    <row r="1288" spans="1:11" hidden="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H1288" s="5">
        <v>1400</v>
      </c>
      <c r="I1288" s="6">
        <v>1346.4</v>
      </c>
      <c r="J1288" s="5">
        <v>10200</v>
      </c>
      <c r="K1288" s="6">
        <f t="shared" si="50"/>
        <v>1.0398098633392749</v>
      </c>
    </row>
    <row r="1289" spans="1:11" hidden="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H1289" s="5">
        <v>2640</v>
      </c>
      <c r="I1289" s="6">
        <v>2851.2</v>
      </c>
      <c r="J1289" s="5">
        <v>21600</v>
      </c>
      <c r="K1289" s="6">
        <f t="shared" si="50"/>
        <v>0.92592592592592593</v>
      </c>
    </row>
    <row r="1290" spans="1:11" hidden="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H1290" s="5">
        <v>2130</v>
      </c>
      <c r="I1290" s="6">
        <v>2138.4</v>
      </c>
      <c r="J1290" s="5">
        <v>16200</v>
      </c>
      <c r="K1290" s="6">
        <f t="shared" si="50"/>
        <v>0.9960718294051627</v>
      </c>
    </row>
    <row r="1291" spans="1:11" hidden="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H1291" s="5">
        <v>2125</v>
      </c>
      <c r="I1291" s="6">
        <v>963.6</v>
      </c>
      <c r="J1291" s="5">
        <v>7570</v>
      </c>
      <c r="K1291" s="6">
        <f t="shared" si="50"/>
        <v>2.205271897052719</v>
      </c>
    </row>
    <row r="1292" spans="1:11" hidden="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H1292" s="5">
        <v>6675</v>
      </c>
      <c r="I1292" s="6">
        <v>3168</v>
      </c>
      <c r="J1292" s="5">
        <v>24000</v>
      </c>
      <c r="K1292" s="6">
        <f t="shared" si="50"/>
        <v>2.1070075757575757</v>
      </c>
    </row>
    <row r="1293" spans="1:11" hidden="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H1293" s="5">
        <v>2190</v>
      </c>
      <c r="I1293" s="6">
        <v>1188</v>
      </c>
      <c r="J1293" s="5">
        <v>9000</v>
      </c>
      <c r="K1293" s="6">
        <f t="shared" ref="K1293:K1346" si="53">+H1293/I1293</f>
        <v>1.8434343434343434</v>
      </c>
    </row>
    <row r="1294" spans="1:11" hidden="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H1294" s="5">
        <v>4625</v>
      </c>
      <c r="I1294" s="6">
        <v>2732.4</v>
      </c>
      <c r="J1294" s="5">
        <v>20700</v>
      </c>
      <c r="K1294" s="6">
        <f t="shared" si="53"/>
        <v>1.6926511491728882</v>
      </c>
    </row>
    <row r="1295" spans="1:11" hidden="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H1295" s="5">
        <v>630</v>
      </c>
      <c r="I1295" s="6">
        <v>673.2</v>
      </c>
      <c r="J1295" s="5">
        <v>5100</v>
      </c>
      <c r="K1295" s="6">
        <f t="shared" si="53"/>
        <v>0.93582887700534756</v>
      </c>
    </row>
    <row r="1296" spans="1:11" hidden="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H1296" s="5">
        <v>1280</v>
      </c>
      <c r="I1296" s="6">
        <v>1100.4749999999999</v>
      </c>
      <c r="J1296" s="5">
        <v>8000</v>
      </c>
      <c r="K1296" s="6">
        <f t="shared" si="53"/>
        <v>1.1631341011835798</v>
      </c>
    </row>
    <row r="1297" spans="1:11" hidden="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H1297" s="5">
        <v>1300</v>
      </c>
      <c r="I1297" s="6">
        <v>1287</v>
      </c>
      <c r="J1297" s="5">
        <v>9400</v>
      </c>
      <c r="K1297" s="6">
        <f t="shared" si="53"/>
        <v>1.0101010101010102</v>
      </c>
    </row>
    <row r="1298" spans="1:11" hidden="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H1298" s="5">
        <v>4620</v>
      </c>
      <c r="I1298" s="6">
        <v>2641.14</v>
      </c>
      <c r="J1298" s="5">
        <v>19200</v>
      </c>
      <c r="K1298" s="6">
        <f t="shared" si="53"/>
        <v>1.7492446443581182</v>
      </c>
    </row>
    <row r="1299" spans="1:11" hidden="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H1299" s="5">
        <v>1625</v>
      </c>
      <c r="I1299" s="6">
        <v>2641.14</v>
      </c>
      <c r="J1299" s="5">
        <v>19200</v>
      </c>
      <c r="K1299" s="6">
        <f t="shared" si="53"/>
        <v>0.6152646205805069</v>
      </c>
    </row>
    <row r="1300" spans="1:11" hidden="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H1300" s="5">
        <v>3660</v>
      </c>
      <c r="I1300" s="6">
        <v>1430.6174906250001</v>
      </c>
      <c r="J1300" s="5">
        <v>10400</v>
      </c>
      <c r="K1300" s="6">
        <f t="shared" si="53"/>
        <v>2.5583358402818352</v>
      </c>
    </row>
    <row r="1301" spans="1:11" hidden="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H1301" s="5">
        <v>2730</v>
      </c>
      <c r="I1301" s="6">
        <v>1430.6175000000001</v>
      </c>
      <c r="J1301" s="5">
        <v>10400</v>
      </c>
      <c r="K1301" s="6">
        <f t="shared" si="53"/>
        <v>1.9082668847543105</v>
      </c>
    </row>
    <row r="1302" spans="1:11" hidden="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H1302" s="5">
        <v>3840</v>
      </c>
      <c r="I1302" s="6">
        <v>2861.2350000000001</v>
      </c>
      <c r="J1302" s="5">
        <v>20800</v>
      </c>
      <c r="K1302" s="6">
        <f t="shared" si="53"/>
        <v>1.3420778090579766</v>
      </c>
    </row>
    <row r="1303" spans="1:11" hidden="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H1303" s="5">
        <v>4750</v>
      </c>
      <c r="I1303" s="6">
        <v>3071.9505625000002</v>
      </c>
      <c r="J1303" s="5">
        <v>22400</v>
      </c>
      <c r="K1303" s="6">
        <f t="shared" si="53"/>
        <v>1.546248842017294</v>
      </c>
    </row>
    <row r="1304" spans="1:11" hidden="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H1304" s="5">
        <v>3180</v>
      </c>
      <c r="I1304" s="6">
        <v>1097.125</v>
      </c>
      <c r="J1304" s="5">
        <v>8000</v>
      </c>
      <c r="K1304" s="6">
        <f t="shared" si="53"/>
        <v>2.8984846758573544</v>
      </c>
    </row>
    <row r="1305" spans="1:11" hidden="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H1305" s="5">
        <v>4360</v>
      </c>
      <c r="I1305" s="6">
        <v>2852.5250000000001</v>
      </c>
      <c r="J1305" s="5">
        <v>20800</v>
      </c>
      <c r="K1305" s="6">
        <f t="shared" si="53"/>
        <v>1.528470390268271</v>
      </c>
    </row>
    <row r="1306" spans="1:11" hidden="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H1306" s="5">
        <v>3030</v>
      </c>
      <c r="I1306" s="6">
        <v>2633.1</v>
      </c>
      <c r="J1306" s="5">
        <v>19200</v>
      </c>
      <c r="K1306" s="6">
        <f t="shared" si="53"/>
        <v>1.15073487524211</v>
      </c>
    </row>
    <row r="1307" spans="1:11" hidden="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H1307" s="5">
        <v>3510</v>
      </c>
      <c r="I1307" s="6">
        <v>2633.1</v>
      </c>
      <c r="J1307" s="5">
        <v>19200</v>
      </c>
      <c r="K1307" s="6">
        <f t="shared" si="53"/>
        <v>1.3330295089438304</v>
      </c>
    </row>
    <row r="1308" spans="1:11" hidden="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H1308" s="5">
        <v>5880</v>
      </c>
      <c r="I1308" s="6">
        <v>2852.5250000000001</v>
      </c>
      <c r="J1308" s="5">
        <v>20800</v>
      </c>
      <c r="K1308" s="6">
        <f t="shared" si="53"/>
        <v>2.0613316272425308</v>
      </c>
    </row>
    <row r="1309" spans="1:11" hidden="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H1309" s="5">
        <v>2970</v>
      </c>
      <c r="I1309" s="6">
        <v>2852.5250000000001</v>
      </c>
      <c r="J1309" s="5">
        <v>20800</v>
      </c>
      <c r="K1309" s="6">
        <f t="shared" si="53"/>
        <v>1.0411828117194415</v>
      </c>
    </row>
    <row r="1310" spans="1:11" hidden="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H1310" s="5">
        <v>3200</v>
      </c>
      <c r="I1310" s="6">
        <v>3071.95</v>
      </c>
      <c r="J1310" s="5">
        <v>22400</v>
      </c>
      <c r="K1310" s="6">
        <f t="shared" si="53"/>
        <v>1.0416836211526881</v>
      </c>
    </row>
    <row r="1311" spans="1:11" hidden="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H1311" s="5">
        <v>3625</v>
      </c>
      <c r="I1311" s="6">
        <v>1645.6875</v>
      </c>
      <c r="J1311" s="5">
        <v>12000</v>
      </c>
      <c r="K1311" s="6">
        <f t="shared" si="53"/>
        <v>2.2027268238957882</v>
      </c>
    </row>
    <row r="1312" spans="1:11" hidden="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H1312" s="5">
        <v>9200</v>
      </c>
      <c r="I1312" s="6">
        <v>4121.4642855494085</v>
      </c>
      <c r="J1312" s="5">
        <v>31200</v>
      </c>
      <c r="K1312" s="6">
        <f t="shared" si="53"/>
        <v>2.2322163586997092</v>
      </c>
    </row>
    <row r="1313" spans="1:11" hidden="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H1313" s="5">
        <v>1380</v>
      </c>
      <c r="I1313" s="6">
        <v>1056.7857142434418</v>
      </c>
      <c r="J1313" s="5">
        <v>8000</v>
      </c>
      <c r="K1313" s="6">
        <f t="shared" si="53"/>
        <v>1.3058465698393253</v>
      </c>
    </row>
    <row r="1314" spans="1:11" hidden="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H1314" s="5">
        <v>4770</v>
      </c>
      <c r="I1314" s="6">
        <v>2641.9642856076484</v>
      </c>
      <c r="J1314" s="5">
        <v>19996</v>
      </c>
      <c r="K1314" s="6">
        <f t="shared" si="53"/>
        <v>1.8054748226480686</v>
      </c>
    </row>
    <row r="1315" spans="1:11" hidden="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H1315" s="5">
        <v>800</v>
      </c>
      <c r="I1315" s="6">
        <v>528.39285712153003</v>
      </c>
      <c r="J1315" s="5">
        <v>4000</v>
      </c>
      <c r="K1315" s="6">
        <f t="shared" si="53"/>
        <v>1.5140250085099096</v>
      </c>
    </row>
    <row r="1316" spans="1:11" hidden="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H1316" s="5">
        <v>1620</v>
      </c>
      <c r="I1316" s="6">
        <v>1902.2142856375078</v>
      </c>
      <c r="J1316" s="5">
        <v>14400</v>
      </c>
      <c r="K1316" s="6">
        <f t="shared" si="53"/>
        <v>0.85163906728682437</v>
      </c>
    </row>
    <row r="1317" spans="1:11" hidden="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H1317" s="5">
        <v>200</v>
      </c>
      <c r="I1317" s="6">
        <v>634.05999999999995</v>
      </c>
      <c r="J1317" s="5">
        <v>4800</v>
      </c>
      <c r="K1317" s="6">
        <f t="shared" si="53"/>
        <v>0.31542756206037287</v>
      </c>
    </row>
    <row r="1318" spans="1:11" hidden="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H1318" s="5">
        <v>6580</v>
      </c>
      <c r="I1318" s="6">
        <v>4487.9999999102474</v>
      </c>
      <c r="J1318" s="5">
        <v>31740</v>
      </c>
      <c r="K1318" s="6">
        <f t="shared" si="53"/>
        <v>1.4661319073376982</v>
      </c>
    </row>
    <row r="1319" spans="1:11" hidden="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H1319" s="5">
        <v>1425</v>
      </c>
      <c r="I1319" s="6">
        <v>1702.8</v>
      </c>
      <c r="J1319" s="5">
        <v>12900</v>
      </c>
      <c r="K1319" s="6">
        <f t="shared" si="53"/>
        <v>0.8368569415081043</v>
      </c>
    </row>
    <row r="1320" spans="1:11" hidden="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H1320" s="5">
        <v>4140</v>
      </c>
      <c r="I1320" s="6">
        <v>3009.6</v>
      </c>
      <c r="J1320" s="5">
        <v>22800</v>
      </c>
      <c r="K1320" s="6">
        <f t="shared" si="53"/>
        <v>1.3755980861244019</v>
      </c>
    </row>
    <row r="1321" spans="1:11" hidden="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H1321" s="5">
        <v>1890</v>
      </c>
      <c r="I1321" s="6">
        <v>1386</v>
      </c>
      <c r="J1321" s="5">
        <v>10500</v>
      </c>
      <c r="K1321" s="6">
        <f t="shared" si="53"/>
        <v>1.3636363636363635</v>
      </c>
    </row>
    <row r="1322" spans="1:11" hidden="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H1322" s="5">
        <v>1560</v>
      </c>
      <c r="I1322" s="6">
        <v>1386</v>
      </c>
      <c r="J1322" s="5">
        <v>10500</v>
      </c>
      <c r="K1322" s="6">
        <f t="shared" si="53"/>
        <v>1.1255411255411256</v>
      </c>
    </row>
    <row r="1323" spans="1:11" hidden="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H1323" s="5">
        <v>1200</v>
      </c>
      <c r="I1323" s="6">
        <v>1029.5999999999999</v>
      </c>
      <c r="J1323" s="5">
        <v>7800</v>
      </c>
      <c r="K1323" s="6">
        <f t="shared" si="53"/>
        <v>1.1655011655011656</v>
      </c>
    </row>
    <row r="1324" spans="1:11" hidden="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H1324" s="5">
        <v>2000</v>
      </c>
      <c r="I1324" s="6">
        <v>2653.2</v>
      </c>
      <c r="J1324" s="5">
        <v>20100</v>
      </c>
      <c r="K1324" s="6">
        <f t="shared" si="53"/>
        <v>0.7538067239559777</v>
      </c>
    </row>
    <row r="1325" spans="1:11" hidden="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H1325" s="5">
        <v>2040</v>
      </c>
      <c r="I1325" s="6">
        <v>1768.8</v>
      </c>
      <c r="J1325" s="5">
        <v>13400</v>
      </c>
      <c r="K1325" s="6">
        <f t="shared" si="53"/>
        <v>1.1533242876526459</v>
      </c>
    </row>
    <row r="1326" spans="1:11" hidden="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H1326" s="5">
        <v>1290</v>
      </c>
      <c r="I1326" s="6">
        <v>1029.5999999999999</v>
      </c>
      <c r="J1326" s="5">
        <v>7800</v>
      </c>
      <c r="K1326" s="6">
        <f t="shared" si="53"/>
        <v>1.2529137529137531</v>
      </c>
    </row>
    <row r="1327" spans="1:11" hidden="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H1327" s="5">
        <v>2775</v>
      </c>
      <c r="I1327" s="6">
        <v>1346.4</v>
      </c>
      <c r="J1327" s="5">
        <v>10200</v>
      </c>
      <c r="K1327" s="6">
        <f t="shared" si="53"/>
        <v>2.0610516934046346</v>
      </c>
    </row>
    <row r="1328" spans="1:11" hidden="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H1328" s="5">
        <v>300</v>
      </c>
      <c r="I1328" s="6">
        <v>440.18999062500001</v>
      </c>
      <c r="J1328" s="5">
        <v>3200</v>
      </c>
      <c r="K1328" s="6">
        <f t="shared" si="53"/>
        <v>0.68152390192709189</v>
      </c>
    </row>
    <row r="1329" spans="1:11" hidden="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H1329" s="5">
        <v>1525</v>
      </c>
      <c r="I1329" s="6">
        <v>880.38</v>
      </c>
      <c r="J1329" s="5">
        <v>6400</v>
      </c>
      <c r="K1329" s="6">
        <f t="shared" si="53"/>
        <v>1.7322065471728116</v>
      </c>
    </row>
    <row r="1330" spans="1:11" hidden="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H1330" s="5">
        <v>800</v>
      </c>
      <c r="I1330" s="6">
        <v>330.14249999999998</v>
      </c>
      <c r="J1330" s="5">
        <v>2400</v>
      </c>
      <c r="K1330" s="6">
        <f t="shared" si="53"/>
        <v>2.423196044132458</v>
      </c>
    </row>
    <row r="1331" spans="1:11" hidden="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H1331" s="5">
        <v>2200</v>
      </c>
      <c r="I1331" s="6">
        <v>1650.7125000000001</v>
      </c>
      <c r="J1331" s="5">
        <v>12000</v>
      </c>
      <c r="K1331" s="6">
        <f t="shared" si="53"/>
        <v>1.3327578242728517</v>
      </c>
    </row>
    <row r="1332" spans="1:11" hidden="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H1332" s="5">
        <v>1360</v>
      </c>
      <c r="I1332" s="6">
        <v>1287.0000000000018</v>
      </c>
      <c r="J1332" s="5">
        <v>9400</v>
      </c>
      <c r="K1332" s="6">
        <f t="shared" si="53"/>
        <v>1.0567210567210552</v>
      </c>
    </row>
    <row r="1333" spans="1:11" hidden="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H1333" s="5">
        <v>2725</v>
      </c>
      <c r="I1333" s="6">
        <v>2641.14</v>
      </c>
      <c r="J1333" s="5">
        <v>19200</v>
      </c>
      <c r="K1333" s="6">
        <f t="shared" si="53"/>
        <v>1.0317514406657731</v>
      </c>
    </row>
    <row r="1334" spans="1:11" hidden="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H1334" s="5">
        <v>1980</v>
      </c>
      <c r="I1334" s="6">
        <v>880.38</v>
      </c>
      <c r="J1334" s="5">
        <v>6400</v>
      </c>
      <c r="K1334" s="6">
        <f t="shared" si="53"/>
        <v>2.2490288284604376</v>
      </c>
    </row>
    <row r="1335" spans="1:11" hidden="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H1335" s="5">
        <v>1360</v>
      </c>
      <c r="I1335" s="6">
        <v>880.38</v>
      </c>
      <c r="J1335" s="5">
        <v>6400</v>
      </c>
      <c r="K1335" s="6">
        <f t="shared" si="53"/>
        <v>1.5447874781344419</v>
      </c>
    </row>
    <row r="1336" spans="1:11" hidden="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H1336" s="5">
        <v>560</v>
      </c>
      <c r="I1336" s="6">
        <v>1755.4</v>
      </c>
      <c r="J1336" s="5">
        <v>12800</v>
      </c>
      <c r="K1336" s="6">
        <f t="shared" si="53"/>
        <v>0.31901560897801068</v>
      </c>
    </row>
    <row r="1337" spans="1:11" hidden="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H1337" s="5">
        <v>2080</v>
      </c>
      <c r="I1337" s="6">
        <v>2413.6749943750001</v>
      </c>
      <c r="J1337" s="5">
        <v>17600</v>
      </c>
      <c r="K1337" s="6">
        <f t="shared" si="53"/>
        <v>0.86175645223461317</v>
      </c>
    </row>
    <row r="1338" spans="1:11" hidden="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H1338" s="5">
        <v>1700</v>
      </c>
      <c r="I1338" s="6">
        <v>1645.6875</v>
      </c>
      <c r="J1338" s="5">
        <v>12000</v>
      </c>
      <c r="K1338" s="6">
        <f t="shared" si="53"/>
        <v>1.0330029243097489</v>
      </c>
    </row>
    <row r="1339" spans="1:11" hidden="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H1339" s="5">
        <v>1000</v>
      </c>
      <c r="I1339" s="6">
        <v>726.32013058333712</v>
      </c>
      <c r="J1339" s="5">
        <v>5712</v>
      </c>
      <c r="K1339" s="6">
        <f t="shared" si="53"/>
        <v>1.376803365200493</v>
      </c>
    </row>
    <row r="1340" spans="1:11" hidden="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H1340" s="5">
        <v>1470</v>
      </c>
      <c r="I1340" s="6">
        <v>924.39958333667107</v>
      </c>
      <c r="J1340" s="5">
        <v>6720</v>
      </c>
      <c r="K1340" s="6">
        <f t="shared" si="53"/>
        <v>1.5902214004618589</v>
      </c>
    </row>
    <row r="1341" spans="1:11" hidden="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H1341" s="5">
        <v>2240</v>
      </c>
      <c r="I1341" s="6">
        <v>1122.485208333339</v>
      </c>
      <c r="J1341" s="5">
        <v>8160</v>
      </c>
      <c r="K1341" s="6">
        <f t="shared" si="53"/>
        <v>1.9955719535279597</v>
      </c>
    </row>
    <row r="1342" spans="1:11" hidden="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H1342" s="5">
        <v>660</v>
      </c>
      <c r="I1342" s="6">
        <v>396.17125000000198</v>
      </c>
      <c r="J1342" s="5">
        <v>2880</v>
      </c>
      <c r="K1342" s="6">
        <f t="shared" si="53"/>
        <v>1.6659462290612879</v>
      </c>
    </row>
    <row r="1343" spans="1:11" hidden="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H1343" s="5">
        <v>1830</v>
      </c>
      <c r="I1343" s="6">
        <v>1535.9749999999999</v>
      </c>
      <c r="J1343" s="5">
        <v>11200</v>
      </c>
      <c r="K1343" s="6">
        <f t="shared" si="53"/>
        <v>1.191425641693387</v>
      </c>
    </row>
    <row r="1344" spans="1:11" hidden="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H1344" s="5">
        <v>1520</v>
      </c>
      <c r="I1344" s="6">
        <v>1535.9749999999999</v>
      </c>
      <c r="J1344" s="5">
        <v>11200</v>
      </c>
      <c r="K1344" s="6">
        <f t="shared" si="53"/>
        <v>0.98959944009505374</v>
      </c>
    </row>
    <row r="1345" spans="1:11" hidden="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H1345" s="5">
        <v>750</v>
      </c>
      <c r="I1345" s="6">
        <v>594.25687500000299</v>
      </c>
      <c r="J1345" s="5">
        <v>4320</v>
      </c>
      <c r="K1345" s="6">
        <f t="shared" si="53"/>
        <v>1.2620804765615816</v>
      </c>
    </row>
    <row r="1346" spans="1:11" hidden="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H1346" s="5">
        <v>2880</v>
      </c>
      <c r="I1346" s="6">
        <v>2575.1131250013459</v>
      </c>
      <c r="J1346" s="5">
        <v>18720</v>
      </c>
      <c r="K1346" s="6">
        <f t="shared" si="53"/>
        <v>1.1183974684601456</v>
      </c>
    </row>
    <row r="1347" spans="1:11" hidden="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H1347" s="5">
        <v>780</v>
      </c>
      <c r="I1347" s="6">
        <v>528.37931032368999</v>
      </c>
      <c r="J1347" s="5">
        <v>4000</v>
      </c>
      <c r="K1347" s="6">
        <f t="shared" ref="K1347:K1353" si="55">IFERROR(H1347/I1347,"")</f>
        <v>1.4762122300401295</v>
      </c>
    </row>
    <row r="1348" spans="1:11" hidden="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H1348" s="5">
        <v>4250</v>
      </c>
      <c r="I1348" s="6">
        <v>2272.0310343918732</v>
      </c>
      <c r="J1348" s="5">
        <v>17200</v>
      </c>
      <c r="K1348" s="6">
        <f t="shared" si="55"/>
        <v>1.8705730404503675</v>
      </c>
    </row>
    <row r="1349" spans="1:11" hidden="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H1349" s="5">
        <v>1725</v>
      </c>
      <c r="I1349" s="6">
        <v>1162.4344827121224</v>
      </c>
      <c r="J1349" s="5">
        <v>8800</v>
      </c>
      <c r="K1349" s="6">
        <f t="shared" si="55"/>
        <v>1.4839546018759986</v>
      </c>
    </row>
    <row r="1350" spans="1:11" hidden="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H1350" s="5">
        <v>945</v>
      </c>
      <c r="I1350" s="6">
        <v>1162.4344827121181</v>
      </c>
      <c r="J1350" s="5">
        <v>8800</v>
      </c>
      <c r="K1350" s="6">
        <f t="shared" si="55"/>
        <v>0.81294904276685442</v>
      </c>
    </row>
    <row r="1351" spans="1:11" hidden="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H1351" s="5">
        <v>810</v>
      </c>
      <c r="I1351" s="6">
        <v>1056.7586206473827</v>
      </c>
      <c r="J1351" s="5">
        <v>8000</v>
      </c>
      <c r="K1351" s="6">
        <f t="shared" si="55"/>
        <v>0.76649481175160372</v>
      </c>
    </row>
    <row r="1352" spans="1:11" hidden="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H1352" s="5">
        <v>1170</v>
      </c>
      <c r="I1352" s="6">
        <v>1109.596551679753</v>
      </c>
      <c r="J1352" s="5">
        <v>8400</v>
      </c>
      <c r="K1352" s="6">
        <f t="shared" si="55"/>
        <v>1.0544373071715172</v>
      </c>
    </row>
    <row r="1353" spans="1:11" hidden="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H1353" s="5">
        <v>2950</v>
      </c>
      <c r="I1353" s="6">
        <v>1902.1655171652881</v>
      </c>
      <c r="J1353" s="5">
        <v>14400</v>
      </c>
      <c r="K1353" s="6">
        <f t="shared" si="55"/>
        <v>1.5508639881119561</v>
      </c>
    </row>
    <row r="1354" spans="1:11" hidden="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H1354" s="5">
        <v>500</v>
      </c>
      <c r="I1354" s="6">
        <v>951.10714281909407</v>
      </c>
      <c r="J1354" s="5">
        <v>7200</v>
      </c>
      <c r="K1354" s="6">
        <f t="shared" ref="K1354:K1416" si="56">+H1354/I1354</f>
        <v>0.5257031279546418</v>
      </c>
    </row>
    <row r="1355" spans="1:11" hidden="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H1355" s="5">
        <v>6390</v>
      </c>
      <c r="I1355" s="6">
        <v>3804.4285712763772</v>
      </c>
      <c r="J1355" s="5">
        <v>28800</v>
      </c>
      <c r="K1355" s="6">
        <f t="shared" si="56"/>
        <v>1.6796214938150802</v>
      </c>
    </row>
    <row r="1356" spans="1:11" hidden="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H1356" s="5">
        <v>3120</v>
      </c>
      <c r="I1356" s="6">
        <v>2641.8965516184649</v>
      </c>
      <c r="J1356" s="5">
        <v>20000</v>
      </c>
      <c r="K1356" s="6">
        <f t="shared" si="56"/>
        <v>1.180969784032097</v>
      </c>
    </row>
    <row r="1357" spans="1:11" hidden="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H1357" s="5">
        <v>5490</v>
      </c>
      <c r="I1357" s="6">
        <v>3592.9793102010913</v>
      </c>
      <c r="J1357" s="5">
        <v>26044</v>
      </c>
      <c r="K1357" s="6">
        <f t="shared" si="56"/>
        <v>1.5279798534917632</v>
      </c>
    </row>
    <row r="1358" spans="1:11" hidden="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H1358" s="5">
        <v>2225</v>
      </c>
      <c r="I1358" s="6">
        <v>1268.1103447768633</v>
      </c>
      <c r="J1358" s="5">
        <v>9600</v>
      </c>
      <c r="K1358" s="6">
        <f t="shared" si="56"/>
        <v>1.7545791729910627</v>
      </c>
    </row>
    <row r="1359" spans="1:11" hidden="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H1359" s="5">
        <v>475</v>
      </c>
      <c r="I1359" s="6">
        <v>528.37931032368999</v>
      </c>
      <c r="J1359" s="5">
        <v>4000</v>
      </c>
      <c r="K1359" s="6">
        <f t="shared" si="56"/>
        <v>0.89897539649879676</v>
      </c>
    </row>
    <row r="1360" spans="1:11" hidden="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H1360" s="5">
        <v>1320</v>
      </c>
      <c r="I1360" s="6">
        <v>1162.4344827121247</v>
      </c>
      <c r="J1360" s="5">
        <v>8800</v>
      </c>
      <c r="K1360" s="6">
        <f t="shared" si="56"/>
        <v>1.1355478692616314</v>
      </c>
    </row>
    <row r="1361" spans="1:11" hidden="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H1361" s="5">
        <v>1470</v>
      </c>
      <c r="I1361" s="6">
        <v>528.3915024419166</v>
      </c>
      <c r="J1361" s="5">
        <v>4000</v>
      </c>
      <c r="K1361" s="6">
        <f t="shared" si="56"/>
        <v>2.7820280856268873</v>
      </c>
    </row>
    <row r="1362" spans="1:11" hidden="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H1362" s="5">
        <v>9030</v>
      </c>
      <c r="I1362" s="6">
        <v>3910.1071427007282</v>
      </c>
      <c r="J1362" s="5">
        <v>29260</v>
      </c>
      <c r="K1362" s="6">
        <f t="shared" si="56"/>
        <v>2.3093996329120894</v>
      </c>
    </row>
    <row r="1363" spans="1:11" hidden="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H1363" s="5">
        <v>3540</v>
      </c>
      <c r="I1363" s="6">
        <v>1902.2142856381945</v>
      </c>
      <c r="J1363" s="5">
        <v>14400</v>
      </c>
      <c r="K1363" s="6">
        <f t="shared" si="56"/>
        <v>1.8609890729594258</v>
      </c>
    </row>
    <row r="1364" spans="1:11" hidden="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H1364" s="5">
        <v>1770</v>
      </c>
      <c r="I1364" s="6">
        <v>1162.4642856677858</v>
      </c>
      <c r="J1364" s="5">
        <v>8800</v>
      </c>
      <c r="K1364" s="6">
        <f t="shared" si="56"/>
        <v>1.5226274233304389</v>
      </c>
    </row>
    <row r="1365" spans="1:11" hidden="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H1365" s="5">
        <v>480</v>
      </c>
      <c r="I1365" s="6">
        <v>317.03571427303262</v>
      </c>
      <c r="J1365" s="5">
        <v>2400</v>
      </c>
      <c r="K1365" s="6">
        <f t="shared" si="56"/>
        <v>1.5140250085093623</v>
      </c>
    </row>
    <row r="1366" spans="1:11" hidden="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H1366" s="5">
        <v>1425</v>
      </c>
      <c r="I1366" s="6">
        <v>951.10714281875391</v>
      </c>
      <c r="J1366" s="5">
        <v>7200</v>
      </c>
      <c r="K1366" s="6">
        <f t="shared" si="56"/>
        <v>1.498253914671265</v>
      </c>
    </row>
    <row r="1367" spans="1:11" hidden="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H1367" s="5">
        <v>1170</v>
      </c>
      <c r="I1367" s="6">
        <v>898.26785710660101</v>
      </c>
      <c r="J1367" s="5">
        <v>6800</v>
      </c>
      <c r="K1367" s="6">
        <f t="shared" si="56"/>
        <v>1.3025068087916136</v>
      </c>
    </row>
    <row r="1368" spans="1:11" hidden="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H1368" s="5">
        <v>1275</v>
      </c>
      <c r="I1368" s="6">
        <v>1162.4642856673661</v>
      </c>
      <c r="J1368" s="5">
        <v>8800</v>
      </c>
      <c r="K1368" s="6">
        <f t="shared" si="56"/>
        <v>1.0968078896875766</v>
      </c>
    </row>
    <row r="1369" spans="1:11" hidden="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H1369" s="5">
        <v>1200</v>
      </c>
      <c r="I1369" s="6">
        <v>686.91071425798896</v>
      </c>
      <c r="J1369" s="5">
        <v>5200</v>
      </c>
      <c r="K1369" s="6">
        <f t="shared" si="56"/>
        <v>1.7469519328960499</v>
      </c>
    </row>
    <row r="1370" spans="1:11" hidden="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H1370" s="5">
        <v>550</v>
      </c>
      <c r="I1370" s="6">
        <v>845.428571394752</v>
      </c>
      <c r="J1370" s="5">
        <v>6400</v>
      </c>
      <c r="K1370" s="6">
        <f t="shared" si="56"/>
        <v>0.65055762084386792</v>
      </c>
    </row>
    <row r="1371" spans="1:11" hidden="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H1371" s="5">
        <v>6075</v>
      </c>
      <c r="I1371" s="6">
        <v>3910.1071427007355</v>
      </c>
      <c r="J1371" s="5">
        <v>29600</v>
      </c>
      <c r="K1371" s="6">
        <f t="shared" si="56"/>
        <v>1.5536658659956717</v>
      </c>
    </row>
    <row r="1372" spans="1:11" hidden="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H1372" s="5">
        <v>6000</v>
      </c>
      <c r="I1372" s="6">
        <v>4015.7857141250793</v>
      </c>
      <c r="J1372" s="5">
        <v>30400</v>
      </c>
      <c r="K1372" s="6">
        <f t="shared" si="56"/>
        <v>1.49410362681845</v>
      </c>
    </row>
    <row r="1373" spans="1:11" hidden="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H1373" s="5">
        <v>7470</v>
      </c>
      <c r="I1373" s="6">
        <v>2747.5751230427709</v>
      </c>
      <c r="J1373" s="5">
        <v>20800</v>
      </c>
      <c r="K1373" s="6">
        <f t="shared" si="56"/>
        <v>2.7187609675718103</v>
      </c>
    </row>
    <row r="1374" spans="1:11" hidden="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H1374" s="5">
        <v>1175</v>
      </c>
      <c r="I1374" s="6">
        <v>1056.75862064738</v>
      </c>
      <c r="J1374" s="5">
        <v>9600</v>
      </c>
      <c r="K1374" s="6">
        <f t="shared" si="56"/>
        <v>1.1118906219853539</v>
      </c>
    </row>
    <row r="1375" spans="1:11" hidden="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H1375" s="5">
        <v>0</v>
      </c>
      <c r="I1375" s="6">
        <v>317.02999999999997</v>
      </c>
      <c r="J1375" s="5">
        <v>2640</v>
      </c>
      <c r="K1375" s="6">
        <f t="shared" si="56"/>
        <v>0</v>
      </c>
    </row>
    <row r="1376" spans="1:11" hidden="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H1376" s="5">
        <v>0</v>
      </c>
      <c r="I1376" s="6">
        <v>52.84</v>
      </c>
      <c r="J1376" s="5">
        <v>440</v>
      </c>
      <c r="K1376" s="6">
        <f t="shared" si="56"/>
        <v>0</v>
      </c>
    </row>
    <row r="1377" spans="1:11" hidden="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H1377" s="5">
        <v>4950</v>
      </c>
      <c r="I1377" s="6">
        <v>3592.9793102011122</v>
      </c>
      <c r="J1377" s="5">
        <v>27820</v>
      </c>
      <c r="K1377" s="6">
        <f t="shared" si="56"/>
        <v>1.377686753148303</v>
      </c>
    </row>
    <row r="1378" spans="1:11" hidden="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H1378" s="5">
        <v>2280</v>
      </c>
      <c r="I1378" s="6">
        <v>1585.2222221588099</v>
      </c>
      <c r="J1378" s="5">
        <v>11490</v>
      </c>
      <c r="K1378" s="6">
        <f t="shared" si="56"/>
        <v>1.438284152296968</v>
      </c>
    </row>
    <row r="1379" spans="1:11" hidden="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H1379" s="5">
        <v>1100</v>
      </c>
      <c r="I1379" s="6">
        <v>1796.5851851133182</v>
      </c>
      <c r="J1379" s="5">
        <v>13600</v>
      </c>
      <c r="K1379" s="6">
        <f t="shared" si="56"/>
        <v>0.61227266545149561</v>
      </c>
    </row>
    <row r="1380" spans="1:11" hidden="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H1380" s="5">
        <v>2400</v>
      </c>
      <c r="I1380" s="6">
        <v>2219.311111022334</v>
      </c>
      <c r="J1380" s="5">
        <v>16800</v>
      </c>
      <c r="K1380" s="6">
        <f t="shared" si="56"/>
        <v>1.0814166558623819</v>
      </c>
    </row>
    <row r="1381" spans="1:11" hidden="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H1381" s="5">
        <v>2675</v>
      </c>
      <c r="I1381" s="6">
        <v>2959.0814813631118</v>
      </c>
      <c r="J1381" s="5">
        <v>22400</v>
      </c>
      <c r="K1381" s="6">
        <f t="shared" si="56"/>
        <v>0.90399673575995998</v>
      </c>
    </row>
    <row r="1382" spans="1:11" hidden="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H1382" s="5">
        <v>1060</v>
      </c>
      <c r="I1382" s="6">
        <v>1912.3542857142861</v>
      </c>
      <c r="J1382" s="5">
        <v>16320</v>
      </c>
      <c r="K1382" s="6">
        <f t="shared" si="56"/>
        <v>0.55429059767765676</v>
      </c>
    </row>
    <row r="1383" spans="1:11" hidden="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H1383" s="5">
        <v>4150</v>
      </c>
      <c r="I1383" s="6">
        <v>2812.2857142428579</v>
      </c>
      <c r="J1383" s="5">
        <v>20000</v>
      </c>
      <c r="K1383" s="6">
        <f t="shared" si="56"/>
        <v>1.4756679874247025</v>
      </c>
    </row>
    <row r="1384" spans="1:11" hidden="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H1384" s="5">
        <v>1200</v>
      </c>
      <c r="I1384" s="6">
        <v>1768.8376470588223</v>
      </c>
      <c r="J1384" s="5">
        <v>12800</v>
      </c>
      <c r="K1384" s="6">
        <f t="shared" si="56"/>
        <v>0.67841161227845248</v>
      </c>
    </row>
    <row r="1385" spans="1:11" hidden="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H1385" s="5">
        <v>3540</v>
      </c>
      <c r="I1385" s="6">
        <v>2263.7999998868127</v>
      </c>
      <c r="J1385" s="5">
        <v>17920</v>
      </c>
      <c r="K1385" s="6">
        <f t="shared" si="56"/>
        <v>1.563742380147096</v>
      </c>
    </row>
    <row r="1386" spans="1:11" hidden="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H1386" s="5">
        <v>840</v>
      </c>
      <c r="I1386" s="6">
        <v>994.97117647058747</v>
      </c>
      <c r="J1386" s="5">
        <v>7200</v>
      </c>
      <c r="K1386" s="6">
        <f t="shared" si="56"/>
        <v>0.84424556194651879</v>
      </c>
    </row>
    <row r="1387" spans="1:11" hidden="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H1387" s="5">
        <v>1290</v>
      </c>
      <c r="I1387" s="6">
        <v>994.97117647058747</v>
      </c>
      <c r="J1387" s="5">
        <v>7920</v>
      </c>
      <c r="K1387" s="6">
        <f t="shared" si="56"/>
        <v>1.2965199701321539</v>
      </c>
    </row>
    <row r="1388" spans="1:11" hidden="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H1388" s="5">
        <v>3550</v>
      </c>
      <c r="I1388" s="6">
        <v>2263.7999998868127</v>
      </c>
      <c r="J1388" s="5">
        <v>17920</v>
      </c>
      <c r="K1388" s="6">
        <f t="shared" si="56"/>
        <v>1.5681597315034437</v>
      </c>
    </row>
    <row r="1389" spans="1:11" hidden="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H1389" s="5">
        <v>6330</v>
      </c>
      <c r="I1389" s="6">
        <v>6727.0499997982479</v>
      </c>
      <c r="J1389" s="5">
        <v>49210</v>
      </c>
      <c r="K1389" s="6">
        <f t="shared" si="56"/>
        <v>0.94097709994571832</v>
      </c>
    </row>
    <row r="1390" spans="1:11" hidden="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H1390" s="5">
        <v>1170</v>
      </c>
      <c r="I1390" s="6">
        <v>994.95</v>
      </c>
      <c r="J1390" s="5">
        <v>7200</v>
      </c>
      <c r="K1390" s="6">
        <f t="shared" si="56"/>
        <v>1.1759384893713252</v>
      </c>
    </row>
    <row r="1391" spans="1:11" hidden="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H1391" s="5">
        <v>760</v>
      </c>
      <c r="I1391" s="6">
        <v>831.6</v>
      </c>
      <c r="J1391" s="5">
        <v>6300</v>
      </c>
      <c r="K1391" s="6">
        <f t="shared" si="56"/>
        <v>0.91390091390091388</v>
      </c>
    </row>
    <row r="1392" spans="1:11" hidden="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H1392" s="5">
        <v>2525</v>
      </c>
      <c r="I1392" s="6">
        <v>1267.2</v>
      </c>
      <c r="J1392" s="5">
        <v>9600</v>
      </c>
      <c r="K1392" s="6">
        <f t="shared" si="56"/>
        <v>1.9925820707070707</v>
      </c>
    </row>
    <row r="1393" spans="1:11" hidden="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H1393" s="5">
        <v>240</v>
      </c>
      <c r="I1393" s="6">
        <v>316.8</v>
      </c>
      <c r="J1393" s="5">
        <v>2400</v>
      </c>
      <c r="K1393" s="6">
        <f t="shared" si="56"/>
        <v>0.75757575757575757</v>
      </c>
    </row>
    <row r="1394" spans="1:11" hidden="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H1394" s="5">
        <v>6840</v>
      </c>
      <c r="I1394" s="6">
        <v>3603.6</v>
      </c>
      <c r="J1394" s="5">
        <v>27296</v>
      </c>
      <c r="K1394" s="6">
        <f t="shared" si="56"/>
        <v>1.8981018981018982</v>
      </c>
    </row>
    <row r="1395" spans="1:11" hidden="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H1395" s="5">
        <v>3325</v>
      </c>
      <c r="I1395" s="6">
        <v>3682.8</v>
      </c>
      <c r="J1395" s="5">
        <v>27900</v>
      </c>
      <c r="K1395" s="6">
        <f t="shared" si="56"/>
        <v>0.90284566091017704</v>
      </c>
    </row>
    <row r="1396" spans="1:11" hidden="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H1396" s="5">
        <v>1950</v>
      </c>
      <c r="I1396" s="6">
        <v>2376</v>
      </c>
      <c r="J1396" s="5">
        <v>18000</v>
      </c>
      <c r="K1396" s="6">
        <f t="shared" si="56"/>
        <v>0.82070707070707072</v>
      </c>
    </row>
    <row r="1397" spans="1:11" hidden="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H1397" s="5">
        <v>960</v>
      </c>
      <c r="I1397" s="6">
        <v>950.4</v>
      </c>
      <c r="J1397" s="5">
        <v>7200</v>
      </c>
      <c r="K1397" s="6">
        <f t="shared" si="56"/>
        <v>1.0101010101010102</v>
      </c>
    </row>
    <row r="1398" spans="1:11" hidden="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H1398" s="5">
        <v>1175</v>
      </c>
      <c r="I1398" s="6">
        <v>1346.4</v>
      </c>
      <c r="J1398" s="5">
        <v>10200</v>
      </c>
      <c r="K1398" s="6">
        <f t="shared" si="56"/>
        <v>0.87269756387403441</v>
      </c>
    </row>
    <row r="1399" spans="1:11" hidden="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H1399" s="5">
        <v>3810</v>
      </c>
      <c r="I1399" s="6">
        <v>2851.2</v>
      </c>
      <c r="J1399" s="5">
        <v>21600</v>
      </c>
      <c r="K1399" s="6">
        <f t="shared" si="56"/>
        <v>1.3362794612794613</v>
      </c>
    </row>
    <row r="1400" spans="1:11" hidden="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H1400" s="5">
        <v>3270</v>
      </c>
      <c r="I1400" s="6">
        <v>2138.4</v>
      </c>
      <c r="J1400" s="5">
        <v>16200</v>
      </c>
      <c r="K1400" s="6">
        <f t="shared" si="56"/>
        <v>1.5291806958473624</v>
      </c>
    </row>
    <row r="1401" spans="1:11" hidden="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H1401" s="5">
        <v>1625</v>
      </c>
      <c r="I1401" s="6">
        <v>963.6</v>
      </c>
      <c r="J1401" s="5">
        <v>7570</v>
      </c>
      <c r="K1401" s="6">
        <f t="shared" si="56"/>
        <v>1.6863843918638439</v>
      </c>
    </row>
    <row r="1402" spans="1:11" hidden="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H1402" s="5">
        <v>5325</v>
      </c>
      <c r="I1402" s="6">
        <v>3168</v>
      </c>
      <c r="J1402" s="5">
        <v>24000</v>
      </c>
      <c r="K1402" s="6">
        <f t="shared" si="56"/>
        <v>1.6808712121212122</v>
      </c>
    </row>
    <row r="1403" spans="1:11" hidden="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H1403" s="5">
        <v>2430</v>
      </c>
      <c r="I1403" s="6">
        <v>1188</v>
      </c>
      <c r="J1403" s="5">
        <v>9000</v>
      </c>
      <c r="K1403" s="6">
        <f t="shared" si="56"/>
        <v>2.0454545454545454</v>
      </c>
    </row>
    <row r="1404" spans="1:11" hidden="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H1404" s="5">
        <v>2700</v>
      </c>
      <c r="I1404" s="6">
        <v>2732.4</v>
      </c>
      <c r="J1404" s="5">
        <v>20700</v>
      </c>
      <c r="K1404" s="6">
        <f t="shared" si="56"/>
        <v>0.98814229249011853</v>
      </c>
    </row>
    <row r="1405" spans="1:11" hidden="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H1405" s="5">
        <v>750</v>
      </c>
      <c r="I1405" s="6">
        <v>673.2</v>
      </c>
      <c r="J1405" s="5">
        <v>5100</v>
      </c>
      <c r="K1405" s="6">
        <f t="shared" si="56"/>
        <v>1.1140819964349375</v>
      </c>
    </row>
    <row r="1406" spans="1:11" hidden="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H1406" s="5">
        <v>1120</v>
      </c>
      <c r="I1406" s="6">
        <v>1100.4749999999999</v>
      </c>
      <c r="J1406" s="5">
        <v>8000</v>
      </c>
      <c r="K1406" s="6">
        <f t="shared" si="56"/>
        <v>1.0177423385356323</v>
      </c>
    </row>
    <row r="1407" spans="1:11" hidden="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H1407" s="5">
        <v>1200</v>
      </c>
      <c r="I1407" s="6">
        <v>1287</v>
      </c>
      <c r="J1407" s="5">
        <v>9400</v>
      </c>
      <c r="K1407" s="6">
        <f t="shared" si="56"/>
        <v>0.93240093240093236</v>
      </c>
    </row>
    <row r="1408" spans="1:11" hidden="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H1408" s="5">
        <v>4830</v>
      </c>
      <c r="I1408" s="6">
        <v>2641.14</v>
      </c>
      <c r="J1408" s="5">
        <v>19200</v>
      </c>
      <c r="K1408" s="6">
        <f t="shared" si="56"/>
        <v>1.8287557645562145</v>
      </c>
    </row>
    <row r="1409" spans="1:11" hidden="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H1409" s="5">
        <v>1400</v>
      </c>
      <c r="I1409" s="6">
        <v>2641.14</v>
      </c>
      <c r="J1409" s="5">
        <v>19200</v>
      </c>
      <c r="K1409" s="6">
        <f t="shared" si="56"/>
        <v>0.53007413465397524</v>
      </c>
    </row>
    <row r="1410" spans="1:11" hidden="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H1410" s="5">
        <v>3360</v>
      </c>
      <c r="I1410" s="6">
        <v>1430.6174906250001</v>
      </c>
      <c r="J1410" s="5">
        <v>10400</v>
      </c>
      <c r="K1410" s="6">
        <f t="shared" si="56"/>
        <v>2.3486361812423406</v>
      </c>
    </row>
    <row r="1411" spans="1:11" hidden="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H1411" s="5">
        <v>2640</v>
      </c>
      <c r="I1411" s="6">
        <v>1430.6175000000001</v>
      </c>
      <c r="J1411" s="5">
        <v>10400</v>
      </c>
      <c r="K1411" s="6">
        <f t="shared" si="56"/>
        <v>1.845356987454718</v>
      </c>
    </row>
    <row r="1412" spans="1:11" hidden="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H1412" s="5">
        <v>4560</v>
      </c>
      <c r="I1412" s="6">
        <v>2861.2350000000001</v>
      </c>
      <c r="J1412" s="5">
        <v>20800</v>
      </c>
      <c r="K1412" s="6">
        <f t="shared" si="56"/>
        <v>1.5937173982563473</v>
      </c>
    </row>
    <row r="1413" spans="1:11" hidden="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H1413" s="5">
        <v>4775</v>
      </c>
      <c r="I1413" s="6">
        <v>3071.9505625000002</v>
      </c>
      <c r="J1413" s="5">
        <v>22400</v>
      </c>
      <c r="K1413" s="6">
        <f t="shared" si="56"/>
        <v>1.5543869938173849</v>
      </c>
    </row>
    <row r="1414" spans="1:11" hidden="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H1414" s="5">
        <v>3240</v>
      </c>
      <c r="I1414" s="6">
        <v>1097.125</v>
      </c>
      <c r="J1414" s="5">
        <v>8000</v>
      </c>
      <c r="K1414" s="6">
        <f t="shared" si="56"/>
        <v>2.9531730659678708</v>
      </c>
    </row>
    <row r="1415" spans="1:11" hidden="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H1415" s="5">
        <v>4080</v>
      </c>
      <c r="I1415" s="6">
        <v>2852.5250000000001</v>
      </c>
      <c r="J1415" s="5">
        <v>20800</v>
      </c>
      <c r="K1415" s="6">
        <f t="shared" si="56"/>
        <v>1.4303117413519602</v>
      </c>
    </row>
    <row r="1416" spans="1:11" hidden="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H1416" s="5">
        <v>3240</v>
      </c>
      <c r="I1416" s="6">
        <v>2633.1</v>
      </c>
      <c r="J1416" s="5">
        <v>19200</v>
      </c>
      <c r="K1416" s="6">
        <f t="shared" si="56"/>
        <v>1.2304887774866127</v>
      </c>
    </row>
    <row r="1417" spans="1:11" hidden="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H1417" s="5">
        <v>3720</v>
      </c>
      <c r="I1417" s="6">
        <v>2633.1</v>
      </c>
      <c r="J1417" s="5">
        <v>19200</v>
      </c>
      <c r="K1417" s="6">
        <f t="shared" ref="K1417:K1480" si="58">+H1417/I1417</f>
        <v>1.4127834111883333</v>
      </c>
    </row>
    <row r="1418" spans="1:11" hidden="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H1418" s="5">
        <v>6390</v>
      </c>
      <c r="I1418" s="6">
        <v>2852.5250000000001</v>
      </c>
      <c r="J1418" s="5">
        <v>20800</v>
      </c>
      <c r="K1418" s="6">
        <f t="shared" si="58"/>
        <v>2.2401205949115255</v>
      </c>
    </row>
    <row r="1419" spans="1:11" hidden="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H1419" s="5">
        <v>2940</v>
      </c>
      <c r="I1419" s="6">
        <v>2852.5250000000001</v>
      </c>
      <c r="J1419" s="5">
        <v>20800</v>
      </c>
      <c r="K1419" s="6">
        <f t="shared" si="58"/>
        <v>1.0306658136212654</v>
      </c>
    </row>
    <row r="1420" spans="1:11" hidden="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H1420" s="5">
        <v>3275</v>
      </c>
      <c r="I1420" s="6">
        <v>3071.95</v>
      </c>
      <c r="J1420" s="5">
        <v>22400</v>
      </c>
      <c r="K1420" s="6">
        <f t="shared" si="58"/>
        <v>1.0660980810234542</v>
      </c>
    </row>
    <row r="1421" spans="1:11" hidden="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H1421" s="5">
        <v>3450</v>
      </c>
      <c r="I1421" s="6">
        <v>1645.6875</v>
      </c>
      <c r="J1421" s="5">
        <v>12000</v>
      </c>
      <c r="K1421" s="6">
        <f t="shared" si="58"/>
        <v>2.0963882875697846</v>
      </c>
    </row>
    <row r="1422" spans="1:11" hidden="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H1422" s="5">
        <v>7660</v>
      </c>
      <c r="I1422" s="6">
        <v>4121.4642855494085</v>
      </c>
      <c r="J1422" s="5">
        <v>31200</v>
      </c>
      <c r="K1422" s="6">
        <f t="shared" si="58"/>
        <v>1.8585627508304103</v>
      </c>
    </row>
    <row r="1423" spans="1:11" hidden="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H1423" s="5">
        <v>1485</v>
      </c>
      <c r="I1423" s="6">
        <v>1056.7857142434418</v>
      </c>
      <c r="J1423" s="5">
        <v>8000</v>
      </c>
      <c r="K1423" s="6">
        <f t="shared" si="58"/>
        <v>1.4052044610227523</v>
      </c>
    </row>
    <row r="1424" spans="1:11" hidden="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H1424" s="5">
        <v>5070</v>
      </c>
      <c r="I1424" s="6">
        <v>2641.9642856076484</v>
      </c>
      <c r="J1424" s="5">
        <v>19996</v>
      </c>
      <c r="K1424" s="6">
        <f t="shared" si="58"/>
        <v>1.9190266982863118</v>
      </c>
    </row>
    <row r="1425" spans="1:11" hidden="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H1425" s="5">
        <v>1180</v>
      </c>
      <c r="I1425" s="6">
        <v>528.39285712153003</v>
      </c>
      <c r="J1425" s="5">
        <v>4000</v>
      </c>
      <c r="K1425" s="6">
        <f t="shared" si="58"/>
        <v>2.2331868875521166</v>
      </c>
    </row>
    <row r="1426" spans="1:11" hidden="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H1426" s="5">
        <v>2400</v>
      </c>
      <c r="I1426" s="6">
        <v>1902.2142856375078</v>
      </c>
      <c r="J1426" s="5">
        <v>14400</v>
      </c>
      <c r="K1426" s="6">
        <f t="shared" si="58"/>
        <v>1.2616875070915916</v>
      </c>
    </row>
    <row r="1427" spans="1:11" hidden="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H1427" s="5">
        <v>260</v>
      </c>
      <c r="I1427" s="6">
        <v>634.05652706821195</v>
      </c>
      <c r="J1427" s="5">
        <v>4800</v>
      </c>
      <c r="K1427" s="6">
        <f t="shared" si="58"/>
        <v>0.41005807668632221</v>
      </c>
    </row>
    <row r="1428" spans="1:11" hidden="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H1428" s="5">
        <v>7080</v>
      </c>
      <c r="I1428" s="6">
        <v>4487.9999999102474</v>
      </c>
      <c r="J1428" s="5">
        <v>31740</v>
      </c>
      <c r="K1428" s="6">
        <f t="shared" si="58"/>
        <v>1.5775401069834198</v>
      </c>
    </row>
    <row r="1429" spans="1:11" hidden="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H1429" s="5">
        <v>2675</v>
      </c>
      <c r="I1429" s="6">
        <v>1702.8</v>
      </c>
      <c r="J1429" s="5">
        <v>12900</v>
      </c>
      <c r="K1429" s="6">
        <f t="shared" si="58"/>
        <v>1.5709419779187221</v>
      </c>
    </row>
    <row r="1430" spans="1:11" hidden="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H1430" s="5">
        <v>4120</v>
      </c>
      <c r="I1430" s="6">
        <v>3009.6</v>
      </c>
      <c r="J1430" s="5">
        <v>22800</v>
      </c>
      <c r="K1430" s="6">
        <f t="shared" si="58"/>
        <v>1.3689526847421585</v>
      </c>
    </row>
    <row r="1431" spans="1:11" hidden="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H1431" s="5">
        <v>2400</v>
      </c>
      <c r="I1431" s="6">
        <v>1386</v>
      </c>
      <c r="J1431" s="5">
        <v>10500</v>
      </c>
      <c r="K1431" s="6">
        <f t="shared" si="58"/>
        <v>1.7316017316017316</v>
      </c>
    </row>
    <row r="1432" spans="1:11" hidden="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H1432" s="5">
        <v>2310</v>
      </c>
      <c r="I1432" s="6">
        <v>1386</v>
      </c>
      <c r="J1432" s="5">
        <v>10500</v>
      </c>
      <c r="K1432" s="6">
        <f t="shared" si="58"/>
        <v>1.6666666666666667</v>
      </c>
    </row>
    <row r="1433" spans="1:11" hidden="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H1433" s="5">
        <v>1950</v>
      </c>
      <c r="I1433" s="6">
        <v>1029.5999999999999</v>
      </c>
      <c r="J1433" s="5">
        <v>7800</v>
      </c>
      <c r="K1433" s="6">
        <f t="shared" si="58"/>
        <v>1.893939393939394</v>
      </c>
    </row>
    <row r="1434" spans="1:11" hidden="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H1434" s="5">
        <v>1200</v>
      </c>
      <c r="I1434" s="6">
        <v>2653.2</v>
      </c>
      <c r="J1434" s="5">
        <v>20100</v>
      </c>
      <c r="K1434" s="6">
        <f t="shared" si="58"/>
        <v>0.45228403437358666</v>
      </c>
    </row>
    <row r="1435" spans="1:11" hidden="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H1435" s="5">
        <v>2340</v>
      </c>
      <c r="I1435" s="6">
        <v>1768.8</v>
      </c>
      <c r="J1435" s="5">
        <v>13400</v>
      </c>
      <c r="K1435" s="6">
        <f t="shared" si="58"/>
        <v>1.3229308005427409</v>
      </c>
    </row>
    <row r="1436" spans="1:11" hidden="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H1436" s="5">
        <v>1410</v>
      </c>
      <c r="I1436" s="6">
        <v>1029.5999999999999</v>
      </c>
      <c r="J1436" s="5">
        <v>7800</v>
      </c>
      <c r="K1436" s="6">
        <f t="shared" si="58"/>
        <v>1.3694638694638697</v>
      </c>
    </row>
    <row r="1437" spans="1:11" hidden="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H1437" s="5">
        <v>3150</v>
      </c>
      <c r="I1437" s="6">
        <v>1346.4</v>
      </c>
      <c r="J1437" s="5">
        <v>10200</v>
      </c>
      <c r="K1437" s="6">
        <f t="shared" si="58"/>
        <v>2.3395721925133688</v>
      </c>
    </row>
    <row r="1438" spans="1:11" hidden="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H1438" s="5">
        <v>180</v>
      </c>
      <c r="I1438" s="6">
        <v>440.18999062500001</v>
      </c>
      <c r="J1438" s="5">
        <v>3200</v>
      </c>
      <c r="K1438" s="6">
        <f t="shared" si="58"/>
        <v>0.40891434115625513</v>
      </c>
    </row>
    <row r="1439" spans="1:11" hidden="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H1439" s="5">
        <v>1700</v>
      </c>
      <c r="I1439" s="6">
        <v>880.38</v>
      </c>
      <c r="J1439" s="5">
        <v>6400</v>
      </c>
      <c r="K1439" s="6">
        <f t="shared" si="58"/>
        <v>1.9309843476680524</v>
      </c>
    </row>
    <row r="1440" spans="1:11" hidden="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H1440" s="5">
        <v>500</v>
      </c>
      <c r="I1440" s="6">
        <v>330.14249999999998</v>
      </c>
      <c r="J1440" s="5">
        <v>2400</v>
      </c>
      <c r="K1440" s="6">
        <f t="shared" si="58"/>
        <v>1.5144975275827863</v>
      </c>
    </row>
    <row r="1441" spans="1:11" hidden="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H1441" s="5">
        <v>2275</v>
      </c>
      <c r="I1441" s="6">
        <v>1650.7125000000001</v>
      </c>
      <c r="J1441" s="5">
        <v>12000</v>
      </c>
      <c r="K1441" s="6">
        <f t="shared" si="58"/>
        <v>1.3781927501003355</v>
      </c>
    </row>
    <row r="1442" spans="1:11" hidden="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H1442" s="5">
        <v>1320</v>
      </c>
      <c r="I1442" s="6">
        <v>1287.0000000000018</v>
      </c>
      <c r="J1442" s="5">
        <v>9400</v>
      </c>
      <c r="K1442" s="6">
        <f t="shared" si="58"/>
        <v>1.0256410256410242</v>
      </c>
    </row>
    <row r="1443" spans="1:11" hidden="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H1443" s="5">
        <v>3050</v>
      </c>
      <c r="I1443" s="6">
        <v>2641.14</v>
      </c>
      <c r="J1443" s="5">
        <v>19200</v>
      </c>
      <c r="K1443" s="6">
        <f t="shared" si="58"/>
        <v>1.1548043647818746</v>
      </c>
    </row>
    <row r="1444" spans="1:11" hidden="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H1444" s="5">
        <v>2370</v>
      </c>
      <c r="I1444" s="6">
        <v>880.38</v>
      </c>
      <c r="J1444" s="5">
        <v>6400</v>
      </c>
      <c r="K1444" s="6">
        <f t="shared" si="58"/>
        <v>2.6920193552784024</v>
      </c>
    </row>
    <row r="1445" spans="1:11" hidden="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H1445" s="5">
        <v>1300</v>
      </c>
      <c r="I1445" s="6">
        <v>880.38</v>
      </c>
      <c r="J1445" s="5">
        <v>6400</v>
      </c>
      <c r="K1445" s="6">
        <f t="shared" si="58"/>
        <v>1.4766350893932165</v>
      </c>
    </row>
    <row r="1446" spans="1:11" hidden="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H1446" s="5">
        <v>480</v>
      </c>
      <c r="I1446" s="6">
        <v>1755.4</v>
      </c>
      <c r="J1446" s="5">
        <v>12800</v>
      </c>
      <c r="K1446" s="6">
        <f t="shared" si="58"/>
        <v>0.27344195055258058</v>
      </c>
    </row>
    <row r="1447" spans="1:11" hidden="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H1447" s="5">
        <v>2660</v>
      </c>
      <c r="I1447" s="6">
        <v>2413.6749943750001</v>
      </c>
      <c r="J1447" s="5">
        <v>17600</v>
      </c>
      <c r="K1447" s="6">
        <f t="shared" si="58"/>
        <v>1.1020539244923417</v>
      </c>
    </row>
    <row r="1448" spans="1:11" hidden="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H1448" s="5">
        <v>2200</v>
      </c>
      <c r="I1448" s="6">
        <v>1645.6875</v>
      </c>
      <c r="J1448" s="5">
        <v>12000</v>
      </c>
      <c r="K1448" s="6">
        <f t="shared" si="58"/>
        <v>1.3368273138126163</v>
      </c>
    </row>
    <row r="1449" spans="1:11" hidden="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H1449" s="5">
        <v>1060</v>
      </c>
      <c r="I1449" s="6">
        <v>726.32013058333712</v>
      </c>
      <c r="J1449" s="5">
        <v>5712</v>
      </c>
      <c r="K1449" s="6">
        <f t="shared" si="58"/>
        <v>1.4594115671125225</v>
      </c>
    </row>
    <row r="1450" spans="1:11" hidden="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H1450" s="5">
        <v>1770</v>
      </c>
      <c r="I1450" s="6">
        <v>924.39958333667107</v>
      </c>
      <c r="J1450" s="5">
        <v>6720</v>
      </c>
      <c r="K1450" s="6">
        <f t="shared" si="58"/>
        <v>1.9147563801479526</v>
      </c>
    </row>
    <row r="1451" spans="1:11" hidden="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H1451" s="5">
        <v>2820</v>
      </c>
      <c r="I1451" s="6">
        <v>1122.485208333339</v>
      </c>
      <c r="J1451" s="5">
        <v>8160</v>
      </c>
      <c r="K1451" s="6">
        <f t="shared" si="58"/>
        <v>2.5122825486378777</v>
      </c>
    </row>
    <row r="1452" spans="1:11" hidden="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H1452" s="5">
        <v>280</v>
      </c>
      <c r="I1452" s="6">
        <v>396.17125000000198</v>
      </c>
      <c r="J1452" s="5">
        <v>2880</v>
      </c>
      <c r="K1452" s="6">
        <f t="shared" si="58"/>
        <v>0.7067650668744857</v>
      </c>
    </row>
    <row r="1453" spans="1:11" hidden="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H1453" s="5">
        <v>1920</v>
      </c>
      <c r="I1453" s="6">
        <v>1535.9749999999999</v>
      </c>
      <c r="J1453" s="5">
        <v>11200</v>
      </c>
      <c r="K1453" s="6">
        <f t="shared" si="58"/>
        <v>1.2500203453832257</v>
      </c>
    </row>
    <row r="1454" spans="1:11" hidden="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H1454" s="5">
        <v>1960</v>
      </c>
      <c r="I1454" s="6">
        <v>1535.9749999999999</v>
      </c>
      <c r="J1454" s="5">
        <v>11200</v>
      </c>
      <c r="K1454" s="6">
        <f t="shared" si="58"/>
        <v>1.2760624359120429</v>
      </c>
    </row>
    <row r="1455" spans="1:11" hidden="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H1455" s="5">
        <v>870</v>
      </c>
      <c r="I1455" s="6">
        <v>594.25687500000299</v>
      </c>
      <c r="J1455" s="5">
        <v>4320</v>
      </c>
      <c r="K1455" s="6">
        <f t="shared" si="58"/>
        <v>1.4640133528114347</v>
      </c>
    </row>
    <row r="1456" spans="1:11" hidden="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H1456" s="5">
        <v>3140</v>
      </c>
      <c r="I1456" s="6">
        <v>2575.1131250013459</v>
      </c>
      <c r="J1456" s="5">
        <v>18720</v>
      </c>
      <c r="K1456" s="6">
        <f t="shared" si="58"/>
        <v>1.2193639065850199</v>
      </c>
    </row>
    <row r="1457" spans="1:11" hidden="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H1457" s="5">
        <v>870</v>
      </c>
      <c r="I1457" s="6">
        <v>528.37931032368999</v>
      </c>
      <c r="J1457" s="5">
        <v>4000</v>
      </c>
      <c r="K1457" s="6">
        <f t="shared" ref="K1457:K1463" si="59">IFERROR(H1457/I1457,"")</f>
        <v>1.6465444104293752</v>
      </c>
    </row>
    <row r="1458" spans="1:11" hidden="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H1458" s="5">
        <v>4275</v>
      </c>
      <c r="I1458" s="6">
        <v>2272.0310343918732</v>
      </c>
      <c r="J1458" s="5">
        <v>17200</v>
      </c>
      <c r="K1458" s="6">
        <f t="shared" si="59"/>
        <v>1.8815764112765463</v>
      </c>
    </row>
    <row r="1459" spans="1:11" hidden="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H1459" s="5">
        <v>1650</v>
      </c>
      <c r="I1459" s="6">
        <v>1162.4344827121224</v>
      </c>
      <c r="J1459" s="5">
        <v>8800</v>
      </c>
      <c r="K1459" s="6">
        <f t="shared" si="59"/>
        <v>1.4194348365770422</v>
      </c>
    </row>
    <row r="1460" spans="1:11" hidden="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H1460" s="5">
        <v>665</v>
      </c>
      <c r="I1460" s="6">
        <v>1162.4344827121181</v>
      </c>
      <c r="J1460" s="5">
        <v>8800</v>
      </c>
      <c r="K1460" s="6">
        <f t="shared" si="59"/>
        <v>0.57207525231741607</v>
      </c>
    </row>
    <row r="1461" spans="1:11" hidden="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H1461" s="5">
        <v>720</v>
      </c>
      <c r="I1461" s="6">
        <v>1056.7586206473827</v>
      </c>
      <c r="J1461" s="5">
        <v>8000</v>
      </c>
      <c r="K1461" s="6">
        <f t="shared" si="59"/>
        <v>0.6813287215569811</v>
      </c>
    </row>
    <row r="1462" spans="1:11" hidden="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H1462" s="5">
        <v>1140</v>
      </c>
      <c r="I1462" s="6">
        <v>1109.596551679753</v>
      </c>
      <c r="J1462" s="5">
        <v>8400</v>
      </c>
      <c r="K1462" s="6">
        <f t="shared" si="59"/>
        <v>1.0274004531414782</v>
      </c>
    </row>
    <row r="1463" spans="1:11" hidden="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H1463" s="5">
        <v>2350</v>
      </c>
      <c r="I1463" s="6">
        <v>1902.1655171652881</v>
      </c>
      <c r="J1463" s="5">
        <v>14400</v>
      </c>
      <c r="K1463" s="6">
        <f t="shared" si="59"/>
        <v>1.2354340244281683</v>
      </c>
    </row>
    <row r="1464" spans="1:11" hidden="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H1464" s="5">
        <v>625</v>
      </c>
      <c r="I1464" s="6">
        <v>951.10714281909407</v>
      </c>
      <c r="J1464" s="5">
        <v>7200</v>
      </c>
      <c r="K1464" s="6">
        <f t="shared" si="58"/>
        <v>0.65712890994330231</v>
      </c>
    </row>
    <row r="1465" spans="1:11" hidden="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H1465" s="5">
        <v>6420</v>
      </c>
      <c r="I1465" s="6">
        <v>3804.4285712763772</v>
      </c>
      <c r="J1465" s="5">
        <v>28800</v>
      </c>
      <c r="K1465" s="6">
        <f t="shared" si="58"/>
        <v>1.6875070407343999</v>
      </c>
    </row>
    <row r="1466" spans="1:11" hidden="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H1466" s="5">
        <v>3780</v>
      </c>
      <c r="I1466" s="6">
        <v>2641.8965516184649</v>
      </c>
      <c r="J1466" s="5">
        <v>20000</v>
      </c>
      <c r="K1466" s="6">
        <f t="shared" si="58"/>
        <v>1.4307903152696559</v>
      </c>
    </row>
    <row r="1467" spans="1:11" hidden="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H1467" s="5">
        <v>6900</v>
      </c>
      <c r="I1467" s="6">
        <v>3592.9793102010913</v>
      </c>
      <c r="J1467" s="5">
        <v>26044</v>
      </c>
      <c r="K1467" s="6">
        <f t="shared" si="58"/>
        <v>1.9204118377218882</v>
      </c>
    </row>
    <row r="1468" spans="1:11" hidden="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H1468" s="5">
        <v>2250</v>
      </c>
      <c r="I1468" s="6">
        <v>1268.1103447768633</v>
      </c>
      <c r="J1468" s="5">
        <v>9600</v>
      </c>
      <c r="K1468" s="6">
        <f t="shared" si="58"/>
        <v>1.7742935457212992</v>
      </c>
    </row>
    <row r="1469" spans="1:11" hidden="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H1469" s="5">
        <v>675</v>
      </c>
      <c r="I1469" s="6">
        <v>528.37931032368999</v>
      </c>
      <c r="J1469" s="5">
        <v>4000</v>
      </c>
      <c r="K1469" s="6">
        <f t="shared" si="58"/>
        <v>1.2774913529193428</v>
      </c>
    </row>
    <row r="1470" spans="1:11" hidden="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H1470" s="5">
        <v>1470</v>
      </c>
      <c r="I1470" s="6">
        <v>1162.4344827121247</v>
      </c>
      <c r="J1470" s="5">
        <v>8800</v>
      </c>
      <c r="K1470" s="6">
        <f t="shared" si="58"/>
        <v>1.2645873998595443</v>
      </c>
    </row>
    <row r="1471" spans="1:11" hidden="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H1471" s="5">
        <v>1350</v>
      </c>
      <c r="I1471" s="6">
        <v>528.3915024419166</v>
      </c>
      <c r="J1471" s="5">
        <v>4000</v>
      </c>
      <c r="K1471" s="6">
        <f t="shared" si="58"/>
        <v>2.5549237521063253</v>
      </c>
    </row>
    <row r="1472" spans="1:11" hidden="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H1472" s="5">
        <v>7710</v>
      </c>
      <c r="I1472" s="6">
        <v>3910.1071427007282</v>
      </c>
      <c r="J1472" s="5">
        <v>29260</v>
      </c>
      <c r="K1472" s="6">
        <f t="shared" si="58"/>
        <v>1.9718129756093254</v>
      </c>
    </row>
    <row r="1473" spans="1:11" hidden="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H1473" s="5">
        <v>3300</v>
      </c>
      <c r="I1473" s="6">
        <v>1902.2142856381945</v>
      </c>
      <c r="J1473" s="5">
        <v>14400</v>
      </c>
      <c r="K1473" s="6">
        <f t="shared" si="58"/>
        <v>1.7348203222503122</v>
      </c>
    </row>
    <row r="1474" spans="1:11" hidden="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H1474" s="5">
        <v>3270</v>
      </c>
      <c r="I1474" s="6">
        <v>1162.4642856677858</v>
      </c>
      <c r="J1474" s="5">
        <v>8800</v>
      </c>
      <c r="K1474" s="6">
        <f t="shared" si="58"/>
        <v>2.812989646491828</v>
      </c>
    </row>
    <row r="1475" spans="1:11" hidden="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H1475" s="5">
        <v>480</v>
      </c>
      <c r="I1475" s="6">
        <v>317.03571427303262</v>
      </c>
      <c r="J1475" s="5">
        <v>2400</v>
      </c>
      <c r="K1475" s="6">
        <f t="shared" si="58"/>
        <v>1.5140250085093623</v>
      </c>
    </row>
    <row r="1476" spans="1:11" hidden="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H1476" s="5">
        <v>1875</v>
      </c>
      <c r="I1476" s="6">
        <v>951.10714281875391</v>
      </c>
      <c r="J1476" s="5">
        <v>7200</v>
      </c>
      <c r="K1476" s="6">
        <f t="shared" si="58"/>
        <v>1.9713867298306118</v>
      </c>
    </row>
    <row r="1477" spans="1:11" hidden="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H1477" s="5">
        <v>1140</v>
      </c>
      <c r="I1477" s="6">
        <v>898.26785710660101</v>
      </c>
      <c r="J1477" s="5">
        <v>6800</v>
      </c>
      <c r="K1477" s="6">
        <f t="shared" si="58"/>
        <v>1.2691091983097773</v>
      </c>
    </row>
    <row r="1478" spans="1:11" hidden="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H1478" s="5">
        <v>1650</v>
      </c>
      <c r="I1478" s="6">
        <v>1162.4642856673661</v>
      </c>
      <c r="J1478" s="5">
        <v>8800</v>
      </c>
      <c r="K1478" s="6">
        <f t="shared" si="58"/>
        <v>1.4193984454780404</v>
      </c>
    </row>
    <row r="1479" spans="1:11" hidden="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H1479" s="5">
        <v>780</v>
      </c>
      <c r="I1479" s="6">
        <v>686.91071425798896</v>
      </c>
      <c r="J1479" s="5">
        <v>5200</v>
      </c>
      <c r="K1479" s="6">
        <f t="shared" si="58"/>
        <v>1.1355187563824325</v>
      </c>
    </row>
    <row r="1480" spans="1:11" hidden="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H1480" s="5">
        <v>875</v>
      </c>
      <c r="I1480" s="6">
        <v>845.428571394752</v>
      </c>
      <c r="J1480" s="5">
        <v>6400</v>
      </c>
      <c r="K1480" s="6">
        <f t="shared" si="58"/>
        <v>1.034978033160699</v>
      </c>
    </row>
    <row r="1481" spans="1:11" hidden="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H1481" s="5">
        <v>6950</v>
      </c>
      <c r="I1481" s="6">
        <v>3910.1071427007355</v>
      </c>
      <c r="J1481" s="5">
        <v>29600</v>
      </c>
      <c r="K1481" s="6">
        <f t="shared" ref="K1481:K1543" si="61">+H1481/I1481</f>
        <v>1.7774449001925792</v>
      </c>
    </row>
    <row r="1482" spans="1:11" hidden="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H1482" s="5">
        <v>6150</v>
      </c>
      <c r="I1482" s="6">
        <v>4015.7857141250793</v>
      </c>
      <c r="J1482" s="5">
        <v>30400</v>
      </c>
      <c r="K1482" s="6">
        <f t="shared" si="61"/>
        <v>1.5314562174889113</v>
      </c>
    </row>
    <row r="1483" spans="1:11" hidden="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H1483" s="5">
        <v>7170</v>
      </c>
      <c r="I1483" s="6">
        <v>2747.5751230427709</v>
      </c>
      <c r="J1483" s="5">
        <v>20800</v>
      </c>
      <c r="K1483" s="6">
        <f t="shared" si="61"/>
        <v>2.6095737801191272</v>
      </c>
    </row>
    <row r="1484" spans="1:11" hidden="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H1484" s="5">
        <v>750</v>
      </c>
      <c r="I1484" s="6">
        <v>1056.75862064738</v>
      </c>
      <c r="J1484" s="5">
        <v>9600</v>
      </c>
      <c r="K1484" s="6">
        <f t="shared" si="61"/>
        <v>0.70971741828852375</v>
      </c>
    </row>
    <row r="1485" spans="1:11" hidden="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H1485" s="5">
        <v>0</v>
      </c>
      <c r="I1485" s="6">
        <v>317.02758619421581</v>
      </c>
      <c r="J1485" s="5">
        <v>2640</v>
      </c>
      <c r="K1485" s="6">
        <f t="shared" si="61"/>
        <v>0</v>
      </c>
    </row>
    <row r="1486" spans="1:11" hidden="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H1486" s="5">
        <v>0</v>
      </c>
      <c r="I1486" s="6">
        <v>52.837931032368999</v>
      </c>
      <c r="J1486" s="5">
        <v>440</v>
      </c>
      <c r="K1486" s="6">
        <f t="shared" si="61"/>
        <v>0</v>
      </c>
    </row>
    <row r="1487" spans="1:11" hidden="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H1487" s="5">
        <v>4140</v>
      </c>
      <c r="I1487" s="6">
        <v>3592.9793102011122</v>
      </c>
      <c r="J1487" s="5">
        <v>27820</v>
      </c>
      <c r="K1487" s="6">
        <f t="shared" si="61"/>
        <v>1.1522471026331262</v>
      </c>
    </row>
    <row r="1488" spans="1:11" hidden="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H1488" s="5">
        <v>3030</v>
      </c>
      <c r="I1488" s="6">
        <v>1585.2222221588099</v>
      </c>
      <c r="J1488" s="5">
        <v>11490</v>
      </c>
      <c r="K1488" s="6">
        <f t="shared" si="61"/>
        <v>1.9114039392367603</v>
      </c>
    </row>
    <row r="1489" spans="1:11" hidden="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H1489" s="5">
        <v>775</v>
      </c>
      <c r="I1489" s="6">
        <v>1796.5851851133182</v>
      </c>
      <c r="J1489" s="5">
        <v>13600</v>
      </c>
      <c r="K1489" s="6">
        <f t="shared" si="61"/>
        <v>0.431373923386281</v>
      </c>
    </row>
    <row r="1490" spans="1:11" hidden="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H1490" s="5">
        <v>2340</v>
      </c>
      <c r="I1490" s="6">
        <v>2219.311111022334</v>
      </c>
      <c r="J1490" s="5">
        <v>16800</v>
      </c>
      <c r="K1490" s="6">
        <f t="shared" si="61"/>
        <v>1.0543812394658225</v>
      </c>
    </row>
    <row r="1491" spans="1:11" hidden="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H1491" s="5">
        <v>3150</v>
      </c>
      <c r="I1491" s="6">
        <v>2959.0814813631118</v>
      </c>
      <c r="J1491" s="5">
        <v>22400</v>
      </c>
      <c r="K1491" s="6">
        <f t="shared" si="61"/>
        <v>1.0645195206145324</v>
      </c>
    </row>
    <row r="1492" spans="1:11" hidden="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H1492" s="5">
        <v>1280</v>
      </c>
      <c r="I1492" s="6">
        <v>1912.3542857142861</v>
      </c>
      <c r="J1492" s="5">
        <v>16320</v>
      </c>
      <c r="K1492" s="6">
        <f t="shared" si="61"/>
        <v>0.66933204247867983</v>
      </c>
    </row>
    <row r="1493" spans="1:11" hidden="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H1493" s="5">
        <v>2000</v>
      </c>
      <c r="I1493" s="6">
        <v>2812.2857142428579</v>
      </c>
      <c r="J1493" s="5">
        <v>20000</v>
      </c>
      <c r="K1493" s="6">
        <f t="shared" si="61"/>
        <v>0.71116529514443494</v>
      </c>
    </row>
    <row r="1494" spans="1:11" hidden="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H1494" s="5">
        <v>1650</v>
      </c>
      <c r="I1494" s="6">
        <v>1768.8376470588223</v>
      </c>
      <c r="J1494" s="5">
        <v>12800</v>
      </c>
      <c r="K1494" s="6">
        <f t="shared" si="61"/>
        <v>0.93281596688287216</v>
      </c>
    </row>
    <row r="1495" spans="1:11" hidden="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H1495" s="5">
        <v>2320</v>
      </c>
      <c r="I1495" s="6">
        <v>2263.7999998868127</v>
      </c>
      <c r="J1495" s="5">
        <v>17920</v>
      </c>
      <c r="K1495" s="6">
        <f t="shared" si="61"/>
        <v>1.024825514672673</v>
      </c>
    </row>
    <row r="1496" spans="1:11" hidden="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H1496" s="5">
        <v>750</v>
      </c>
      <c r="I1496" s="6">
        <v>994.97117647058747</v>
      </c>
      <c r="J1496" s="5">
        <v>7200</v>
      </c>
      <c r="K1496" s="6">
        <f t="shared" si="61"/>
        <v>0.75379068030939178</v>
      </c>
    </row>
    <row r="1497" spans="1:11" hidden="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H1497" s="5">
        <v>1230</v>
      </c>
      <c r="I1497" s="6">
        <v>994.97117647058747</v>
      </c>
      <c r="J1497" s="5">
        <v>7920</v>
      </c>
      <c r="K1497" s="6">
        <f t="shared" si="61"/>
        <v>1.2362167157074024</v>
      </c>
    </row>
    <row r="1498" spans="1:11" hidden="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H1498" s="5">
        <v>2450</v>
      </c>
      <c r="I1498" s="6">
        <v>2263.7999998868127</v>
      </c>
      <c r="J1498" s="5">
        <v>17920</v>
      </c>
      <c r="K1498" s="6">
        <f t="shared" si="61"/>
        <v>1.0822510823051936</v>
      </c>
    </row>
    <row r="1499" spans="1:11" hidden="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H1499" s="5">
        <v>7830</v>
      </c>
      <c r="I1499" s="6">
        <v>6727.0499997982479</v>
      </c>
      <c r="J1499" s="5">
        <v>49210</v>
      </c>
      <c r="K1499" s="6">
        <f t="shared" si="61"/>
        <v>1.1639574553830923</v>
      </c>
    </row>
    <row r="1500" spans="1:11" hidden="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H1500" s="5">
        <v>1170</v>
      </c>
      <c r="I1500" s="6">
        <v>994.95</v>
      </c>
      <c r="J1500" s="5">
        <v>7200</v>
      </c>
      <c r="K1500" s="6">
        <f t="shared" si="61"/>
        <v>1.1759384893713252</v>
      </c>
    </row>
    <row r="1501" spans="1:11" hidden="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H1501" s="5">
        <v>1000</v>
      </c>
      <c r="I1501" s="6">
        <v>831.6</v>
      </c>
      <c r="J1501" s="5">
        <v>6300</v>
      </c>
      <c r="K1501" s="6">
        <f t="shared" si="61"/>
        <v>1.2025012025012025</v>
      </c>
    </row>
    <row r="1502" spans="1:11" hidden="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H1502" s="5">
        <v>2600</v>
      </c>
      <c r="I1502" s="6">
        <v>1267.2</v>
      </c>
      <c r="J1502" s="5">
        <v>9600</v>
      </c>
      <c r="K1502" s="6">
        <f t="shared" si="61"/>
        <v>2.0517676767676769</v>
      </c>
    </row>
    <row r="1503" spans="1:11" hidden="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H1503" s="5">
        <v>330</v>
      </c>
      <c r="I1503" s="6">
        <v>316.8</v>
      </c>
      <c r="J1503" s="5">
        <v>2400</v>
      </c>
      <c r="K1503" s="6">
        <f t="shared" si="61"/>
        <v>1.0416666666666665</v>
      </c>
    </row>
    <row r="1504" spans="1:11" hidden="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H1504" s="5">
        <v>7470</v>
      </c>
      <c r="I1504" s="6">
        <v>3603.6</v>
      </c>
      <c r="J1504" s="5">
        <v>27296</v>
      </c>
      <c r="K1504" s="6">
        <f t="shared" si="61"/>
        <v>2.0729270729270728</v>
      </c>
    </row>
    <row r="1505" spans="1:11" hidden="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H1505" s="5">
        <v>3550</v>
      </c>
      <c r="I1505" s="6">
        <v>3682.8</v>
      </c>
      <c r="J1505" s="5">
        <v>27900</v>
      </c>
      <c r="K1505" s="6">
        <f t="shared" si="61"/>
        <v>0.96394048006951227</v>
      </c>
    </row>
    <row r="1506" spans="1:11" hidden="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H1506" s="5">
        <v>2650</v>
      </c>
      <c r="I1506" s="6">
        <v>2376</v>
      </c>
      <c r="J1506" s="5">
        <v>18000</v>
      </c>
      <c r="K1506" s="6">
        <f t="shared" si="61"/>
        <v>1.1153198653198653</v>
      </c>
    </row>
    <row r="1507" spans="1:11" hidden="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H1507" s="5">
        <v>1050</v>
      </c>
      <c r="I1507" s="6">
        <v>950.4</v>
      </c>
      <c r="J1507" s="5">
        <v>7200</v>
      </c>
      <c r="K1507" s="6">
        <f t="shared" si="61"/>
        <v>1.1047979797979799</v>
      </c>
    </row>
    <row r="1508" spans="1:11" hidden="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H1508" s="5">
        <v>1450</v>
      </c>
      <c r="I1508" s="6">
        <v>1346.4</v>
      </c>
      <c r="J1508" s="5">
        <v>10200</v>
      </c>
      <c r="K1508" s="6">
        <f t="shared" si="61"/>
        <v>1.0769459298871062</v>
      </c>
    </row>
    <row r="1509" spans="1:11" hidden="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H1509" s="5">
        <v>4260</v>
      </c>
      <c r="I1509" s="6">
        <v>2851.2</v>
      </c>
      <c r="J1509" s="5">
        <v>21600</v>
      </c>
      <c r="K1509" s="6">
        <f t="shared" si="61"/>
        <v>1.4941077441077442</v>
      </c>
    </row>
    <row r="1510" spans="1:11" hidden="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H1510" s="5">
        <v>2910</v>
      </c>
      <c r="I1510" s="6">
        <v>2138.4</v>
      </c>
      <c r="J1510" s="5">
        <v>16200</v>
      </c>
      <c r="K1510" s="6">
        <f t="shared" si="61"/>
        <v>1.3608305274971941</v>
      </c>
    </row>
    <row r="1511" spans="1:11" hidden="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H1511" s="5">
        <v>1725</v>
      </c>
      <c r="I1511" s="6">
        <v>963.6</v>
      </c>
      <c r="J1511" s="5">
        <v>7570</v>
      </c>
      <c r="K1511" s="6">
        <f t="shared" si="61"/>
        <v>1.790161892901619</v>
      </c>
    </row>
    <row r="1512" spans="1:11" hidden="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H1512" s="5">
        <v>6500</v>
      </c>
      <c r="I1512" s="6">
        <v>3168</v>
      </c>
      <c r="J1512" s="5">
        <v>24000</v>
      </c>
      <c r="K1512" s="6">
        <f t="shared" si="61"/>
        <v>2.0517676767676769</v>
      </c>
    </row>
    <row r="1513" spans="1:11" hidden="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H1513" s="5">
        <v>2970</v>
      </c>
      <c r="I1513" s="6">
        <v>1188</v>
      </c>
      <c r="J1513" s="5">
        <v>9000</v>
      </c>
      <c r="K1513" s="6">
        <f t="shared" si="61"/>
        <v>2.5</v>
      </c>
    </row>
    <row r="1514" spans="1:11" hidden="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H1514" s="5">
        <v>2525</v>
      </c>
      <c r="I1514" s="6">
        <v>2732.4</v>
      </c>
      <c r="J1514" s="5">
        <v>20700</v>
      </c>
      <c r="K1514" s="6">
        <f t="shared" si="61"/>
        <v>0.92409603279168495</v>
      </c>
    </row>
    <row r="1515" spans="1:11" hidden="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H1515" s="5">
        <v>810</v>
      </c>
      <c r="I1515" s="6">
        <v>673.2</v>
      </c>
      <c r="J1515" s="5">
        <v>5100</v>
      </c>
      <c r="K1515" s="6">
        <f t="shared" si="61"/>
        <v>1.2032085561497325</v>
      </c>
    </row>
    <row r="1516" spans="1:11" hidden="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H1516" s="5">
        <v>1160</v>
      </c>
      <c r="I1516" s="6">
        <v>1100.4749999999999</v>
      </c>
      <c r="J1516" s="5">
        <v>8000</v>
      </c>
      <c r="K1516" s="6">
        <f t="shared" si="61"/>
        <v>1.0540902791976192</v>
      </c>
    </row>
    <row r="1517" spans="1:11" hidden="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H1517" s="5">
        <v>1125</v>
      </c>
      <c r="I1517" s="6">
        <v>1287</v>
      </c>
      <c r="J1517" s="5">
        <v>9400</v>
      </c>
      <c r="K1517" s="6">
        <f t="shared" si="61"/>
        <v>0.87412587412587417</v>
      </c>
    </row>
    <row r="1518" spans="1:11" hidden="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H1518" s="5">
        <v>5910</v>
      </c>
      <c r="I1518" s="6">
        <v>2641.14</v>
      </c>
      <c r="J1518" s="5">
        <v>19200</v>
      </c>
      <c r="K1518" s="6">
        <f t="shared" si="61"/>
        <v>2.2376700970035666</v>
      </c>
    </row>
    <row r="1519" spans="1:11" hidden="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H1519" s="5">
        <v>1525</v>
      </c>
      <c r="I1519" s="6">
        <v>2641.14</v>
      </c>
      <c r="J1519" s="5">
        <v>19200</v>
      </c>
      <c r="K1519" s="6">
        <f t="shared" si="61"/>
        <v>0.57740218239093732</v>
      </c>
    </row>
    <row r="1520" spans="1:11" hidden="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H1520" s="5">
        <v>3750</v>
      </c>
      <c r="I1520" s="6">
        <v>1430.6174906250001</v>
      </c>
      <c r="J1520" s="5">
        <v>10400</v>
      </c>
      <c r="K1520" s="6">
        <f t="shared" si="61"/>
        <v>2.6212457379936835</v>
      </c>
    </row>
    <row r="1521" spans="1:11" hidden="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H1521" s="5">
        <v>2160</v>
      </c>
      <c r="I1521" s="6">
        <v>1430.6175000000001</v>
      </c>
      <c r="J1521" s="5">
        <v>10400</v>
      </c>
      <c r="K1521" s="6">
        <f t="shared" si="61"/>
        <v>1.5098375351902238</v>
      </c>
    </row>
    <row r="1522" spans="1:11" hidden="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H1522" s="5">
        <v>4710</v>
      </c>
      <c r="I1522" s="6">
        <v>2861.2350000000001</v>
      </c>
      <c r="J1522" s="5">
        <v>20800</v>
      </c>
      <c r="K1522" s="6">
        <f t="shared" si="61"/>
        <v>1.6461423126726744</v>
      </c>
    </row>
    <row r="1523" spans="1:11" hidden="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H1523" s="5">
        <v>3825</v>
      </c>
      <c r="I1523" s="6">
        <v>3071.9505625000002</v>
      </c>
      <c r="J1523" s="5">
        <v>22400</v>
      </c>
      <c r="K1523" s="6">
        <f t="shared" si="61"/>
        <v>1.2451372254139261</v>
      </c>
    </row>
    <row r="1524" spans="1:11" hidden="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H1524" s="5">
        <v>3140</v>
      </c>
      <c r="I1524" s="6">
        <v>1097.125</v>
      </c>
      <c r="J1524" s="5">
        <v>8000</v>
      </c>
      <c r="K1524" s="6">
        <f t="shared" si="61"/>
        <v>2.8620257491170102</v>
      </c>
    </row>
    <row r="1525" spans="1:11" hidden="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H1525" s="5">
        <v>3040</v>
      </c>
      <c r="I1525" s="6">
        <v>2852.5250000000001</v>
      </c>
      <c r="J1525" s="5">
        <v>20800</v>
      </c>
      <c r="K1525" s="6">
        <f t="shared" si="61"/>
        <v>1.0657224739485192</v>
      </c>
    </row>
    <row r="1526" spans="1:11" hidden="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H1526" s="5">
        <v>3660</v>
      </c>
      <c r="I1526" s="6">
        <v>2633.1</v>
      </c>
      <c r="J1526" s="5">
        <v>19200</v>
      </c>
      <c r="K1526" s="6">
        <f t="shared" si="61"/>
        <v>1.3899965819756182</v>
      </c>
    </row>
    <row r="1527" spans="1:11" hidden="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H1527" s="5">
        <v>3900</v>
      </c>
      <c r="I1527" s="6">
        <v>2633.1</v>
      </c>
      <c r="J1527" s="5">
        <v>19200</v>
      </c>
      <c r="K1527" s="6">
        <f t="shared" si="61"/>
        <v>1.4811438988264785</v>
      </c>
    </row>
    <row r="1528" spans="1:11" hidden="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H1528" s="5">
        <v>5160</v>
      </c>
      <c r="I1528" s="6">
        <v>2852.5250000000001</v>
      </c>
      <c r="J1528" s="5">
        <v>20800</v>
      </c>
      <c r="K1528" s="6">
        <f t="shared" si="61"/>
        <v>1.8089236728863025</v>
      </c>
    </row>
    <row r="1529" spans="1:11" hidden="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H1529" s="5">
        <v>2820</v>
      </c>
      <c r="I1529" s="6">
        <v>2852.5250000000001</v>
      </c>
      <c r="J1529" s="5">
        <v>20800</v>
      </c>
      <c r="K1529" s="6">
        <f t="shared" si="61"/>
        <v>0.98859782122856066</v>
      </c>
    </row>
    <row r="1530" spans="1:11" hidden="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H1530" s="5">
        <v>2700</v>
      </c>
      <c r="I1530" s="6">
        <v>3071.95</v>
      </c>
      <c r="J1530" s="5">
        <v>22400</v>
      </c>
      <c r="K1530" s="6">
        <f t="shared" si="61"/>
        <v>0.87892055534758062</v>
      </c>
    </row>
    <row r="1531" spans="1:11" hidden="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H1531" s="5">
        <v>2825</v>
      </c>
      <c r="I1531" s="6">
        <v>1645.6875</v>
      </c>
      <c r="J1531" s="5">
        <v>12000</v>
      </c>
      <c r="K1531" s="6">
        <f t="shared" si="61"/>
        <v>1.7166078006912004</v>
      </c>
    </row>
    <row r="1532" spans="1:11" hidden="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H1532" s="5">
        <v>8000</v>
      </c>
      <c r="I1532" s="6">
        <v>4121.4642855494085</v>
      </c>
      <c r="J1532" s="5">
        <v>31200</v>
      </c>
      <c r="K1532" s="6">
        <f t="shared" si="61"/>
        <v>1.9410577032171386</v>
      </c>
    </row>
    <row r="1533" spans="1:11" hidden="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H1533" s="5">
        <v>1455</v>
      </c>
      <c r="I1533" s="6">
        <v>1056.7857142434418</v>
      </c>
      <c r="J1533" s="5">
        <v>8000</v>
      </c>
      <c r="K1533" s="6">
        <f t="shared" si="61"/>
        <v>1.3768164921132018</v>
      </c>
    </row>
    <row r="1534" spans="1:11" hidden="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H1534" s="5">
        <v>3720</v>
      </c>
      <c r="I1534" s="6">
        <v>2641.9642856076484</v>
      </c>
      <c r="J1534" s="5">
        <v>19996</v>
      </c>
      <c r="K1534" s="6">
        <f t="shared" si="61"/>
        <v>1.408043257914217</v>
      </c>
    </row>
    <row r="1535" spans="1:11" hidden="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H1535" s="5">
        <v>820</v>
      </c>
      <c r="I1535" s="6">
        <v>528.39285712153003</v>
      </c>
      <c r="J1535" s="5">
        <v>4000</v>
      </c>
      <c r="K1535" s="6">
        <f t="shared" si="61"/>
        <v>1.5518756337226574</v>
      </c>
    </row>
    <row r="1536" spans="1:11" hidden="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H1536" s="5">
        <v>2010</v>
      </c>
      <c r="I1536" s="6">
        <v>1902.2142856375078</v>
      </c>
      <c r="J1536" s="5">
        <v>14400</v>
      </c>
      <c r="K1536" s="6">
        <f t="shared" si="61"/>
        <v>1.0566632871892079</v>
      </c>
    </row>
    <row r="1537" spans="1:11" hidden="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H1537" s="5">
        <v>300</v>
      </c>
      <c r="I1537" s="6">
        <v>634.05652706821195</v>
      </c>
      <c r="J1537" s="5">
        <v>4800</v>
      </c>
      <c r="K1537" s="6">
        <f t="shared" si="61"/>
        <v>0.47314393463806409</v>
      </c>
    </row>
    <row r="1538" spans="1:11" hidden="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H1538" s="5">
        <v>6240</v>
      </c>
      <c r="I1538" s="6">
        <v>4487.9999999102474</v>
      </c>
      <c r="J1538" s="5">
        <v>31740</v>
      </c>
      <c r="K1538" s="6">
        <f t="shared" si="61"/>
        <v>1.3903743315786072</v>
      </c>
    </row>
    <row r="1539" spans="1:11" hidden="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H1539" s="5">
        <v>3150</v>
      </c>
      <c r="I1539" s="6">
        <v>1702.8</v>
      </c>
      <c r="J1539" s="5">
        <v>12900</v>
      </c>
      <c r="K1539" s="6">
        <f t="shared" si="61"/>
        <v>1.8498942917547569</v>
      </c>
    </row>
    <row r="1540" spans="1:11" hidden="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H1540" s="5">
        <v>4680</v>
      </c>
      <c r="I1540" s="6">
        <v>3009.6</v>
      </c>
      <c r="J1540" s="5">
        <v>22800</v>
      </c>
      <c r="K1540" s="6">
        <f t="shared" si="61"/>
        <v>1.5550239234449761</v>
      </c>
    </row>
    <row r="1541" spans="1:11" hidden="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H1541" s="5">
        <v>2280</v>
      </c>
      <c r="I1541" s="6">
        <v>1386</v>
      </c>
      <c r="J1541" s="5">
        <v>10500</v>
      </c>
      <c r="K1541" s="6">
        <f t="shared" si="61"/>
        <v>1.6450216450216451</v>
      </c>
    </row>
    <row r="1542" spans="1:11" hidden="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H1542" s="5">
        <v>2130</v>
      </c>
      <c r="I1542" s="6">
        <v>1386</v>
      </c>
      <c r="J1542" s="5">
        <v>10500</v>
      </c>
      <c r="K1542" s="6">
        <f t="shared" si="61"/>
        <v>1.5367965367965368</v>
      </c>
    </row>
    <row r="1543" spans="1:11" hidden="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H1543" s="5">
        <v>1700</v>
      </c>
      <c r="I1543" s="6">
        <v>1029.5999999999999</v>
      </c>
      <c r="J1543" s="5">
        <v>7800</v>
      </c>
      <c r="K1543" s="6">
        <f t="shared" si="61"/>
        <v>1.6511266511266514</v>
      </c>
    </row>
    <row r="1544" spans="1:11" hidden="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H1544" s="5">
        <v>1375</v>
      </c>
      <c r="I1544" s="6">
        <v>2653.2</v>
      </c>
      <c r="J1544" s="5">
        <v>20100</v>
      </c>
      <c r="K1544" s="6">
        <f t="shared" ref="K1544:K1606" si="63">+H1544/I1544</f>
        <v>0.51824212271973469</v>
      </c>
    </row>
    <row r="1545" spans="1:11" hidden="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H1545" s="5">
        <v>2070</v>
      </c>
      <c r="I1545" s="6">
        <v>1768.8</v>
      </c>
      <c r="J1545" s="5">
        <v>13400</v>
      </c>
      <c r="K1545" s="6">
        <f t="shared" si="63"/>
        <v>1.1702849389416554</v>
      </c>
    </row>
    <row r="1546" spans="1:11" hidden="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H1546" s="5">
        <v>1110</v>
      </c>
      <c r="I1546" s="6">
        <v>1029.5999999999999</v>
      </c>
      <c r="J1546" s="5">
        <v>7800</v>
      </c>
      <c r="K1546" s="6">
        <f t="shared" si="63"/>
        <v>1.0780885780885783</v>
      </c>
    </row>
    <row r="1547" spans="1:11" hidden="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H1547" s="5">
        <v>2150</v>
      </c>
      <c r="I1547" s="6">
        <v>1346.4</v>
      </c>
      <c r="J1547" s="5">
        <v>10200</v>
      </c>
      <c r="K1547" s="6">
        <f t="shared" si="63"/>
        <v>1.5968508615567438</v>
      </c>
    </row>
    <row r="1548" spans="1:11" hidden="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H1548" s="5">
        <v>270</v>
      </c>
      <c r="I1548" s="6">
        <v>440.18999062500001</v>
      </c>
      <c r="J1548" s="5">
        <v>3200</v>
      </c>
      <c r="K1548" s="6">
        <f t="shared" si="63"/>
        <v>0.61337151173438265</v>
      </c>
    </row>
    <row r="1549" spans="1:11" hidden="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H1549" s="5">
        <v>1750</v>
      </c>
      <c r="I1549" s="6">
        <v>880.38</v>
      </c>
      <c r="J1549" s="5">
        <v>6400</v>
      </c>
      <c r="K1549" s="6">
        <f t="shared" si="63"/>
        <v>1.987778004952407</v>
      </c>
    </row>
    <row r="1550" spans="1:11" hidden="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H1550" s="5">
        <v>650</v>
      </c>
      <c r="I1550" s="6">
        <v>330.14249999999998</v>
      </c>
      <c r="J1550" s="5">
        <v>2400</v>
      </c>
      <c r="K1550" s="6">
        <f t="shared" si="63"/>
        <v>1.9688467858576222</v>
      </c>
    </row>
    <row r="1551" spans="1:11" hidden="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H1551" s="5">
        <v>2550</v>
      </c>
      <c r="I1551" s="6">
        <v>1650.7125000000001</v>
      </c>
      <c r="J1551" s="5">
        <v>12000</v>
      </c>
      <c r="K1551" s="6">
        <f t="shared" si="63"/>
        <v>1.5447874781344419</v>
      </c>
    </row>
    <row r="1552" spans="1:11" hidden="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H1552" s="5">
        <v>1120</v>
      </c>
      <c r="I1552" s="6">
        <v>1287.0000000000018</v>
      </c>
      <c r="J1552" s="5">
        <v>9400</v>
      </c>
      <c r="K1552" s="6">
        <f t="shared" si="63"/>
        <v>0.87024087024086905</v>
      </c>
    </row>
    <row r="1553" spans="1:11" hidden="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H1553" s="5">
        <v>2650</v>
      </c>
      <c r="I1553" s="6">
        <v>2641.14</v>
      </c>
      <c r="J1553" s="5">
        <v>19200</v>
      </c>
      <c r="K1553" s="6">
        <f t="shared" si="63"/>
        <v>1.0033546120235959</v>
      </c>
    </row>
    <row r="1554" spans="1:11" hidden="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H1554" s="5">
        <v>2250</v>
      </c>
      <c r="I1554" s="6">
        <v>880.38</v>
      </c>
      <c r="J1554" s="5">
        <v>6400</v>
      </c>
      <c r="K1554" s="6">
        <f t="shared" si="63"/>
        <v>2.5557145777959516</v>
      </c>
    </row>
    <row r="1555" spans="1:11" hidden="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H1555" s="5">
        <v>1820</v>
      </c>
      <c r="I1555" s="6">
        <v>880.38</v>
      </c>
      <c r="J1555" s="5">
        <v>6400</v>
      </c>
      <c r="K1555" s="6">
        <f t="shared" si="63"/>
        <v>2.067289125150503</v>
      </c>
    </row>
    <row r="1556" spans="1:11" hidden="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H1556" s="5">
        <v>510</v>
      </c>
      <c r="I1556" s="6">
        <v>1755.4</v>
      </c>
      <c r="J1556" s="5">
        <v>12800</v>
      </c>
      <c r="K1556" s="6">
        <f t="shared" si="63"/>
        <v>0.29053207246211687</v>
      </c>
    </row>
    <row r="1557" spans="1:11" hidden="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H1557" s="5">
        <v>2860</v>
      </c>
      <c r="I1557" s="6">
        <v>2413.6749943750001</v>
      </c>
      <c r="J1557" s="5">
        <v>17600</v>
      </c>
      <c r="K1557" s="6">
        <f t="shared" si="63"/>
        <v>1.1849151218225931</v>
      </c>
    </row>
    <row r="1558" spans="1:11" hidden="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H1558" s="5">
        <v>2180</v>
      </c>
      <c r="I1558" s="6">
        <v>1645.6875</v>
      </c>
      <c r="J1558" s="5">
        <v>12000</v>
      </c>
      <c r="K1558" s="6">
        <f t="shared" si="63"/>
        <v>1.3246743382325017</v>
      </c>
    </row>
    <row r="1559" spans="1:11" hidden="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H1559" s="5">
        <v>1040</v>
      </c>
      <c r="I1559" s="6">
        <v>726.32013058333712</v>
      </c>
      <c r="J1559" s="5">
        <v>5712</v>
      </c>
      <c r="K1559" s="6">
        <f t="shared" si="63"/>
        <v>1.4318754998085126</v>
      </c>
    </row>
    <row r="1560" spans="1:11" hidden="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H1560" s="5">
        <v>1500</v>
      </c>
      <c r="I1560" s="6">
        <v>924.39958333667107</v>
      </c>
      <c r="J1560" s="5">
        <v>6720</v>
      </c>
      <c r="K1560" s="6">
        <f t="shared" si="63"/>
        <v>1.6226748984304684</v>
      </c>
    </row>
    <row r="1561" spans="1:11" hidden="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H1561" s="5">
        <v>2240</v>
      </c>
      <c r="I1561" s="6">
        <v>1122.485208333339</v>
      </c>
      <c r="J1561" s="5">
        <v>8160</v>
      </c>
      <c r="K1561" s="6">
        <f t="shared" si="63"/>
        <v>1.9955719535279597</v>
      </c>
    </row>
    <row r="1562" spans="1:11" hidden="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H1562" s="5">
        <v>40</v>
      </c>
      <c r="I1562" s="6">
        <v>396.17125000000198</v>
      </c>
      <c r="J1562" s="5">
        <v>2880</v>
      </c>
      <c r="K1562" s="6">
        <f t="shared" si="63"/>
        <v>0.10096643812492653</v>
      </c>
    </row>
    <row r="1563" spans="1:11" hidden="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H1563" s="5">
        <v>1950</v>
      </c>
      <c r="I1563" s="6">
        <v>1535.9749999999999</v>
      </c>
      <c r="J1563" s="5">
        <v>11200</v>
      </c>
      <c r="K1563" s="6">
        <f t="shared" si="63"/>
        <v>1.2695519132798385</v>
      </c>
    </row>
    <row r="1564" spans="1:11" hidden="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H1564" s="5">
        <v>2220</v>
      </c>
      <c r="I1564" s="6">
        <v>1535.9749999999999</v>
      </c>
      <c r="J1564" s="5">
        <v>11200</v>
      </c>
      <c r="K1564" s="6">
        <f t="shared" si="63"/>
        <v>1.4453360243493547</v>
      </c>
    </row>
    <row r="1565" spans="1:11" hidden="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H1565" s="5">
        <v>660</v>
      </c>
      <c r="I1565" s="6">
        <v>594.25687500000299</v>
      </c>
      <c r="J1565" s="5">
        <v>4320</v>
      </c>
      <c r="K1565" s="6">
        <f t="shared" si="63"/>
        <v>1.1106308193741918</v>
      </c>
    </row>
    <row r="1566" spans="1:11" hidden="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H1566" s="5">
        <v>2160</v>
      </c>
      <c r="I1566" s="6">
        <v>2575.1131250013459</v>
      </c>
      <c r="J1566" s="5">
        <v>18720</v>
      </c>
      <c r="K1566" s="6">
        <f t="shared" si="63"/>
        <v>0.83879810134510924</v>
      </c>
    </row>
    <row r="1567" spans="1:11" hidden="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H1567" s="5">
        <v>840</v>
      </c>
      <c r="I1567" s="6">
        <v>528.37931032368999</v>
      </c>
      <c r="J1567" s="5">
        <v>4000</v>
      </c>
      <c r="K1567" s="6">
        <f t="shared" ref="K1567:K1573" si="64">IFERROR(H1567/I1567,"")</f>
        <v>1.5897670169662932</v>
      </c>
    </row>
    <row r="1568" spans="1:11" hidden="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H1568" s="5">
        <v>3000</v>
      </c>
      <c r="I1568" s="6">
        <v>2272.0310343918732</v>
      </c>
      <c r="J1568" s="5">
        <v>17200</v>
      </c>
      <c r="K1568" s="6">
        <f t="shared" si="64"/>
        <v>1.3204044991414361</v>
      </c>
    </row>
    <row r="1569" spans="1:11" hidden="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H1569" s="5">
        <v>1050</v>
      </c>
      <c r="I1569" s="6">
        <v>1162.4344827121224</v>
      </c>
      <c r="J1569" s="5">
        <v>8800</v>
      </c>
      <c r="K1569" s="6">
        <f t="shared" si="64"/>
        <v>0.90327671418539046</v>
      </c>
    </row>
    <row r="1570" spans="1:11" hidden="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H1570" s="5">
        <v>1120</v>
      </c>
      <c r="I1570" s="6">
        <v>1162.4344827121181</v>
      </c>
      <c r="J1570" s="5">
        <v>8800</v>
      </c>
      <c r="K1570" s="6">
        <f t="shared" si="64"/>
        <v>0.96349516179775341</v>
      </c>
    </row>
    <row r="1571" spans="1:11" hidden="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H1571" s="5">
        <v>900</v>
      </c>
      <c r="I1571" s="6">
        <v>1056.7586206473827</v>
      </c>
      <c r="J1571" s="5">
        <v>8000</v>
      </c>
      <c r="K1571" s="6">
        <f t="shared" si="64"/>
        <v>0.85166090194622635</v>
      </c>
    </row>
    <row r="1572" spans="1:11" hidden="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H1572" s="5">
        <v>1020</v>
      </c>
      <c r="I1572" s="6">
        <v>1109.596551679753</v>
      </c>
      <c r="J1572" s="5">
        <v>8400</v>
      </c>
      <c r="K1572" s="6">
        <f t="shared" si="64"/>
        <v>0.91925303702132266</v>
      </c>
    </row>
    <row r="1573" spans="1:11" hidden="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H1573" s="5">
        <v>2125</v>
      </c>
      <c r="I1573" s="6">
        <v>1902.1655171652881</v>
      </c>
      <c r="J1573" s="5">
        <v>14400</v>
      </c>
      <c r="K1573" s="6">
        <f t="shared" si="64"/>
        <v>1.117147788046748</v>
      </c>
    </row>
    <row r="1574" spans="1:11" hidden="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H1574" s="5">
        <v>825</v>
      </c>
      <c r="I1574" s="6">
        <v>951.10714281909407</v>
      </c>
      <c r="J1574" s="5">
        <v>7200</v>
      </c>
      <c r="K1574" s="6">
        <f t="shared" si="63"/>
        <v>0.86741016112515901</v>
      </c>
    </row>
    <row r="1575" spans="1:11" hidden="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H1575" s="5">
        <v>5760</v>
      </c>
      <c r="I1575" s="6">
        <v>3804.4285712763772</v>
      </c>
      <c r="J1575" s="5">
        <v>28800</v>
      </c>
      <c r="K1575" s="6">
        <f t="shared" si="63"/>
        <v>1.5140250085093681</v>
      </c>
    </row>
    <row r="1576" spans="1:11" hidden="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H1576" s="5">
        <v>5340</v>
      </c>
      <c r="I1576" s="6">
        <v>2641.8965516184649</v>
      </c>
      <c r="J1576" s="5">
        <v>20000</v>
      </c>
      <c r="K1576" s="6">
        <f t="shared" si="63"/>
        <v>2.0212752072857043</v>
      </c>
    </row>
    <row r="1577" spans="1:11" hidden="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H1577" s="5">
        <v>11460</v>
      </c>
      <c r="I1577" s="6">
        <v>3592.9793102010913</v>
      </c>
      <c r="J1577" s="5">
        <v>26044</v>
      </c>
      <c r="K1577" s="6">
        <f t="shared" si="63"/>
        <v>3.1895535739554841</v>
      </c>
    </row>
    <row r="1578" spans="1:11" hidden="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H1578" s="5">
        <v>2175</v>
      </c>
      <c r="I1578" s="6">
        <v>1268.1103447768633</v>
      </c>
      <c r="J1578" s="5">
        <v>9600</v>
      </c>
      <c r="K1578" s="6">
        <f t="shared" si="63"/>
        <v>1.7151504275305893</v>
      </c>
    </row>
    <row r="1579" spans="1:11" hidden="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H1579" s="5">
        <v>475</v>
      </c>
      <c r="I1579" s="6">
        <v>528.37931032368999</v>
      </c>
      <c r="J1579" s="5">
        <v>4000</v>
      </c>
      <c r="K1579" s="6">
        <f t="shared" si="63"/>
        <v>0.89897539649879676</v>
      </c>
    </row>
    <row r="1580" spans="1:11" hidden="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H1580" s="5">
        <v>1770</v>
      </c>
      <c r="I1580" s="6">
        <v>1162.4344827121247</v>
      </c>
      <c r="J1580" s="5">
        <v>8800</v>
      </c>
      <c r="K1580" s="6">
        <f t="shared" si="63"/>
        <v>1.5226664610553695</v>
      </c>
    </row>
    <row r="1581" spans="1:11" hidden="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H1581" s="5">
        <v>1140</v>
      </c>
      <c r="I1581" s="6">
        <v>528.3915024419166</v>
      </c>
      <c r="J1581" s="5">
        <v>4000</v>
      </c>
      <c r="K1581" s="6">
        <f t="shared" si="63"/>
        <v>2.1574911684453411</v>
      </c>
    </row>
    <row r="1582" spans="1:11" hidden="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H1582" s="5">
        <v>12000</v>
      </c>
      <c r="I1582" s="6">
        <v>3910.1071427007282</v>
      </c>
      <c r="J1582" s="5">
        <v>29260</v>
      </c>
      <c r="K1582" s="6">
        <f t="shared" si="63"/>
        <v>3.0689696118433081</v>
      </c>
    </row>
    <row r="1583" spans="1:11" hidden="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H1583" s="5">
        <v>2520</v>
      </c>
      <c r="I1583" s="6">
        <v>1902.2142856381945</v>
      </c>
      <c r="J1583" s="5">
        <v>14400</v>
      </c>
      <c r="K1583" s="6">
        <f t="shared" si="63"/>
        <v>1.3247718824456929</v>
      </c>
    </row>
    <row r="1584" spans="1:11" hidden="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H1584" s="5">
        <v>3390</v>
      </c>
      <c r="I1584" s="6">
        <v>1162.4642856677858</v>
      </c>
      <c r="J1584" s="5">
        <v>8800</v>
      </c>
      <c r="K1584" s="6">
        <f t="shared" si="63"/>
        <v>2.9162186243447388</v>
      </c>
    </row>
    <row r="1585" spans="1:11" hidden="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H1585" s="5">
        <v>390</v>
      </c>
      <c r="I1585" s="6">
        <v>317.03571427303262</v>
      </c>
      <c r="J1585" s="5">
        <v>2400</v>
      </c>
      <c r="K1585" s="6">
        <f t="shared" si="63"/>
        <v>1.230145319413857</v>
      </c>
    </row>
    <row r="1586" spans="1:11" hidden="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H1586" s="5">
        <v>1675</v>
      </c>
      <c r="I1586" s="6">
        <v>951.10714281875391</v>
      </c>
      <c r="J1586" s="5">
        <v>7200</v>
      </c>
      <c r="K1586" s="6">
        <f t="shared" si="63"/>
        <v>1.7611054786486799</v>
      </c>
    </row>
    <row r="1587" spans="1:11" hidden="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H1587" s="5">
        <v>1020</v>
      </c>
      <c r="I1587" s="6">
        <v>898.26785710660101</v>
      </c>
      <c r="J1587" s="5">
        <v>6800</v>
      </c>
      <c r="K1587" s="6">
        <f t="shared" si="63"/>
        <v>1.1355187563824323</v>
      </c>
    </row>
    <row r="1588" spans="1:11" hidden="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H1588" s="5">
        <v>1200</v>
      </c>
      <c r="I1588" s="6">
        <v>1162.4642856673661</v>
      </c>
      <c r="J1588" s="5">
        <v>8800</v>
      </c>
      <c r="K1588" s="6">
        <f t="shared" si="63"/>
        <v>1.0322897785294838</v>
      </c>
    </row>
    <row r="1589" spans="1:11" hidden="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H1589" s="5">
        <v>780</v>
      </c>
      <c r="I1589" s="6">
        <v>686.91071425798896</v>
      </c>
      <c r="J1589" s="5">
        <v>5200</v>
      </c>
      <c r="K1589" s="6">
        <f t="shared" si="63"/>
        <v>1.1355187563824325</v>
      </c>
    </row>
    <row r="1590" spans="1:11" hidden="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H1590" s="5">
        <v>1500</v>
      </c>
      <c r="I1590" s="6">
        <v>845.428571394752</v>
      </c>
      <c r="J1590" s="5">
        <v>6400</v>
      </c>
      <c r="K1590" s="6">
        <f t="shared" si="63"/>
        <v>1.7742480568469126</v>
      </c>
    </row>
    <row r="1591" spans="1:11" hidden="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H1591" s="5">
        <v>5925</v>
      </c>
      <c r="I1591" s="6">
        <v>3910.1071427007355</v>
      </c>
      <c r="J1591" s="5">
        <v>29600</v>
      </c>
      <c r="K1591" s="6">
        <f t="shared" si="63"/>
        <v>1.5153037458476306</v>
      </c>
    </row>
    <row r="1592" spans="1:11" hidden="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H1592" s="5">
        <v>5075</v>
      </c>
      <c r="I1592" s="6">
        <v>4015.7857141250793</v>
      </c>
      <c r="J1592" s="5">
        <v>30400</v>
      </c>
      <c r="K1592" s="6">
        <f t="shared" si="63"/>
        <v>1.2637626510172724</v>
      </c>
    </row>
    <row r="1593" spans="1:11" hidden="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H1593" s="5">
        <v>8370</v>
      </c>
      <c r="I1593" s="6">
        <v>2747.5751230427709</v>
      </c>
      <c r="J1593" s="5">
        <v>20800</v>
      </c>
      <c r="K1593" s="6">
        <f t="shared" si="63"/>
        <v>3.04632252992986</v>
      </c>
    </row>
    <row r="1594" spans="1:11" hidden="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H1594" s="5">
        <v>675</v>
      </c>
      <c r="I1594" s="6">
        <v>1056.75862064738</v>
      </c>
      <c r="J1594" s="5">
        <v>9600</v>
      </c>
      <c r="K1594" s="6">
        <f t="shared" si="63"/>
        <v>0.6387456764596714</v>
      </c>
    </row>
    <row r="1595" spans="1:11" hidden="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H1595" s="5">
        <v>0</v>
      </c>
      <c r="I1595" s="6">
        <v>317.02758619421581</v>
      </c>
      <c r="J1595" s="5">
        <v>2640</v>
      </c>
      <c r="K1595" s="6">
        <f t="shared" si="63"/>
        <v>0</v>
      </c>
    </row>
    <row r="1596" spans="1:11" hidden="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H1596" s="5">
        <v>0</v>
      </c>
      <c r="I1596" s="6">
        <v>52.837931032368999</v>
      </c>
      <c r="J1596" s="5">
        <v>440</v>
      </c>
      <c r="K1596" s="6">
        <f t="shared" si="63"/>
        <v>0</v>
      </c>
    </row>
    <row r="1597" spans="1:11" hidden="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H1597" s="5">
        <v>4410</v>
      </c>
      <c r="I1597" s="6">
        <v>3592.9793102011122</v>
      </c>
      <c r="J1597" s="5">
        <v>27820</v>
      </c>
      <c r="K1597" s="6">
        <f t="shared" si="63"/>
        <v>1.2273936528048519</v>
      </c>
    </row>
    <row r="1598" spans="1:11" hidden="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H1598" s="5">
        <v>5370</v>
      </c>
      <c r="I1598" s="6">
        <v>1585.2222221588099</v>
      </c>
      <c r="J1598" s="5">
        <v>11490</v>
      </c>
      <c r="K1598" s="6">
        <f t="shared" si="63"/>
        <v>3.3875376744889119</v>
      </c>
    </row>
    <row r="1599" spans="1:11" hidden="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H1599" s="5">
        <v>1025</v>
      </c>
      <c r="I1599" s="6">
        <v>1796.5851851133182</v>
      </c>
      <c r="J1599" s="5">
        <v>13600</v>
      </c>
      <c r="K1599" s="6">
        <f t="shared" si="63"/>
        <v>0.57052680189798455</v>
      </c>
    </row>
    <row r="1600" spans="1:11" hidden="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H1600" s="5">
        <v>2280</v>
      </c>
      <c r="I1600" s="6">
        <v>2219.311111022334</v>
      </c>
      <c r="J1600" s="5">
        <v>16800</v>
      </c>
      <c r="K1600" s="6">
        <f t="shared" si="63"/>
        <v>1.0273458230692629</v>
      </c>
    </row>
    <row r="1601" spans="1:11" hidden="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H1601" s="5">
        <v>3200</v>
      </c>
      <c r="I1601" s="6">
        <v>2959.0814813631118</v>
      </c>
      <c r="J1601" s="5">
        <v>22400</v>
      </c>
      <c r="K1601" s="6">
        <f t="shared" si="63"/>
        <v>1.0814166558623821</v>
      </c>
    </row>
    <row r="1602" spans="1:11" hidden="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H1602" s="5">
        <v>1560</v>
      </c>
      <c r="I1602" s="6">
        <v>1912.3542857142861</v>
      </c>
      <c r="J1602" s="5">
        <v>16320</v>
      </c>
      <c r="K1602" s="6">
        <f t="shared" si="63"/>
        <v>0.8157484267708911</v>
      </c>
    </row>
    <row r="1603" spans="1:11" hidden="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H1603" s="5">
        <v>1325</v>
      </c>
      <c r="I1603" s="6">
        <v>2812.2857142428579</v>
      </c>
      <c r="J1603" s="5">
        <v>20000</v>
      </c>
      <c r="K1603" s="6">
        <f t="shared" si="63"/>
        <v>0.47114700803318815</v>
      </c>
    </row>
    <row r="1604" spans="1:11" hidden="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H1604" s="5">
        <v>975</v>
      </c>
      <c r="I1604" s="6">
        <v>1768.8376470588223</v>
      </c>
      <c r="J1604" s="5">
        <v>12800</v>
      </c>
      <c r="K1604" s="6">
        <f t="shared" si="63"/>
        <v>0.55120943497624264</v>
      </c>
    </row>
    <row r="1605" spans="1:11" hidden="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H1605" s="5">
        <v>2480</v>
      </c>
      <c r="I1605" s="6">
        <v>2263.7999998868127</v>
      </c>
      <c r="J1605" s="5">
        <v>17920</v>
      </c>
      <c r="K1605" s="6">
        <f t="shared" si="63"/>
        <v>1.0955031363742367</v>
      </c>
    </row>
    <row r="1606" spans="1:11" hidden="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H1606" s="5">
        <v>720</v>
      </c>
      <c r="I1606" s="6">
        <v>994.97117647058747</v>
      </c>
      <c r="J1606" s="5">
        <v>7200</v>
      </c>
      <c r="K1606" s="6">
        <f t="shared" si="63"/>
        <v>0.72363905309701604</v>
      </c>
    </row>
    <row r="1607" spans="1:11" hidden="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H1607" s="5">
        <v>1080</v>
      </c>
      <c r="I1607" s="6">
        <v>994.97117647058747</v>
      </c>
      <c r="J1607" s="5">
        <v>7920</v>
      </c>
      <c r="K1607" s="6">
        <f t="shared" ref="K1607:K1670" si="66">+H1607/I1607</f>
        <v>1.0854585796455241</v>
      </c>
    </row>
    <row r="1608" spans="1:11" hidden="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H1608" s="5">
        <v>1775</v>
      </c>
      <c r="I1608" s="6">
        <v>2263.7999998868127</v>
      </c>
      <c r="J1608" s="5">
        <v>17920</v>
      </c>
      <c r="K1608" s="6">
        <f t="shared" si="66"/>
        <v>0.78407986575172184</v>
      </c>
    </row>
    <row r="1609" spans="1:11" hidden="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H1609" s="5">
        <v>13380</v>
      </c>
      <c r="I1609" s="6">
        <v>6727.0499997982479</v>
      </c>
      <c r="J1609" s="5">
        <v>49210</v>
      </c>
      <c r="K1609" s="6">
        <f t="shared" si="66"/>
        <v>1.9889847705013761</v>
      </c>
    </row>
    <row r="1610" spans="1:11" hidden="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H1610" s="5">
        <v>1050</v>
      </c>
      <c r="I1610" s="6">
        <v>994.95</v>
      </c>
      <c r="J1610" s="5">
        <v>7200</v>
      </c>
      <c r="K1610" s="6">
        <f t="shared" si="66"/>
        <v>1.0553294135383686</v>
      </c>
    </row>
    <row r="1611" spans="1:11" hidden="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H1611" s="5">
        <v>960</v>
      </c>
      <c r="I1611" s="6">
        <v>831.6</v>
      </c>
      <c r="J1611" s="5">
        <v>6300</v>
      </c>
      <c r="K1611" s="6">
        <f t="shared" si="66"/>
        <v>1.1544011544011543</v>
      </c>
    </row>
    <row r="1612" spans="1:11" hidden="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H1612" s="5">
        <v>2575</v>
      </c>
      <c r="I1612" s="6">
        <v>1267.2</v>
      </c>
      <c r="J1612" s="5">
        <v>9600</v>
      </c>
      <c r="K1612" s="6">
        <f t="shared" si="66"/>
        <v>2.0320391414141414</v>
      </c>
    </row>
    <row r="1613" spans="1:11" hidden="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H1613" s="5">
        <v>270</v>
      </c>
      <c r="I1613" s="6">
        <v>316.8</v>
      </c>
      <c r="J1613" s="5">
        <v>2400</v>
      </c>
      <c r="K1613" s="6">
        <f t="shared" si="66"/>
        <v>0.85227272727272729</v>
      </c>
    </row>
    <row r="1614" spans="1:11" hidden="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H1614" s="5">
        <v>10140</v>
      </c>
      <c r="I1614" s="6">
        <v>3603.6</v>
      </c>
      <c r="J1614" s="5">
        <v>27296</v>
      </c>
      <c r="K1614" s="6">
        <f t="shared" si="66"/>
        <v>2.8138528138528138</v>
      </c>
    </row>
    <row r="1615" spans="1:11" hidden="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H1615" s="5">
        <v>3775</v>
      </c>
      <c r="I1615" s="6">
        <v>3682.8</v>
      </c>
      <c r="J1615" s="5">
        <v>27900</v>
      </c>
      <c r="K1615" s="6">
        <f t="shared" si="66"/>
        <v>1.0250352992288476</v>
      </c>
    </row>
    <row r="1616" spans="1:11" hidden="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H1616" s="5">
        <v>2100</v>
      </c>
      <c r="I1616" s="6">
        <v>2376</v>
      </c>
      <c r="J1616" s="5">
        <v>18000</v>
      </c>
      <c r="K1616" s="6">
        <f t="shared" si="66"/>
        <v>0.88383838383838387</v>
      </c>
    </row>
    <row r="1617" spans="1:11" hidden="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H1617" s="5">
        <v>1140</v>
      </c>
      <c r="I1617" s="6">
        <v>950.4</v>
      </c>
      <c r="J1617" s="5">
        <v>7200</v>
      </c>
      <c r="K1617" s="6">
        <f t="shared" si="66"/>
        <v>1.1994949494949496</v>
      </c>
    </row>
    <row r="1618" spans="1:11" hidden="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H1618" s="5">
        <v>1925</v>
      </c>
      <c r="I1618" s="6">
        <v>1346.4</v>
      </c>
      <c r="J1618" s="5">
        <v>10200</v>
      </c>
      <c r="K1618" s="6">
        <f t="shared" si="66"/>
        <v>1.4297385620915031</v>
      </c>
    </row>
    <row r="1619" spans="1:11" hidden="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H1619" s="5">
        <v>5280</v>
      </c>
      <c r="I1619" s="6">
        <v>2851.2</v>
      </c>
      <c r="J1619" s="5">
        <v>21600</v>
      </c>
      <c r="K1619" s="6">
        <f t="shared" si="66"/>
        <v>1.8518518518518519</v>
      </c>
    </row>
    <row r="1620" spans="1:11" hidden="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H1620" s="5">
        <v>2310</v>
      </c>
      <c r="I1620" s="6">
        <v>2138.4</v>
      </c>
      <c r="J1620" s="5">
        <v>16200</v>
      </c>
      <c r="K1620" s="6">
        <f t="shared" si="66"/>
        <v>1.0802469135802468</v>
      </c>
    </row>
    <row r="1621" spans="1:11" hidden="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H1621" s="5">
        <v>900</v>
      </c>
      <c r="I1621" s="6">
        <v>963.6</v>
      </c>
      <c r="J1621" s="5">
        <v>7570</v>
      </c>
      <c r="K1621" s="6">
        <f t="shared" si="66"/>
        <v>0.93399750933997505</v>
      </c>
    </row>
    <row r="1622" spans="1:11" hidden="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H1622" s="5">
        <v>4400</v>
      </c>
      <c r="I1622" s="6">
        <v>3168</v>
      </c>
      <c r="J1622" s="5">
        <v>24000</v>
      </c>
      <c r="K1622" s="6">
        <f t="shared" si="66"/>
        <v>1.3888888888888888</v>
      </c>
    </row>
    <row r="1623" spans="1:11" hidden="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H1623" s="5">
        <v>2550</v>
      </c>
      <c r="I1623" s="6">
        <v>1188</v>
      </c>
      <c r="J1623" s="5">
        <v>9000</v>
      </c>
      <c r="K1623" s="6">
        <f t="shared" si="66"/>
        <v>2.1464646464646466</v>
      </c>
    </row>
    <row r="1624" spans="1:11" hidden="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H1624" s="5">
        <v>2625</v>
      </c>
      <c r="I1624" s="6">
        <v>2732.4</v>
      </c>
      <c r="J1624" s="5">
        <v>20700</v>
      </c>
      <c r="K1624" s="6">
        <f t="shared" si="66"/>
        <v>0.96069389547650419</v>
      </c>
    </row>
    <row r="1625" spans="1:11" hidden="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H1625" s="5">
        <v>840</v>
      </c>
      <c r="I1625" s="6">
        <v>673.2</v>
      </c>
      <c r="J1625" s="5">
        <v>5100</v>
      </c>
      <c r="K1625" s="6">
        <f t="shared" si="66"/>
        <v>1.2477718360071299</v>
      </c>
    </row>
    <row r="1626" spans="1:11" hidden="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H1626" s="5">
        <v>1260</v>
      </c>
      <c r="I1626" s="6">
        <v>1100.4749999999999</v>
      </c>
      <c r="J1626" s="5">
        <v>8000</v>
      </c>
      <c r="K1626" s="6">
        <f t="shared" si="66"/>
        <v>1.1449601308525865</v>
      </c>
    </row>
    <row r="1627" spans="1:11" hidden="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H1627" s="5">
        <v>1900</v>
      </c>
      <c r="I1627" s="6">
        <v>1287</v>
      </c>
      <c r="J1627" s="5">
        <v>9400</v>
      </c>
      <c r="K1627" s="6">
        <f t="shared" si="66"/>
        <v>1.4763014763014763</v>
      </c>
    </row>
    <row r="1628" spans="1:11" hidden="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H1628" s="5">
        <v>7950</v>
      </c>
      <c r="I1628" s="6">
        <v>2641.14</v>
      </c>
      <c r="J1628" s="5">
        <v>19200</v>
      </c>
      <c r="K1628" s="6">
        <f t="shared" si="66"/>
        <v>3.0100638360707879</v>
      </c>
    </row>
    <row r="1629" spans="1:11" hidden="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H1629" s="5">
        <v>3050</v>
      </c>
      <c r="I1629" s="6">
        <v>2641.14</v>
      </c>
      <c r="J1629" s="5">
        <v>19200</v>
      </c>
      <c r="K1629" s="6">
        <f t="shared" si="66"/>
        <v>1.1548043647818746</v>
      </c>
    </row>
    <row r="1630" spans="1:11" hidden="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H1630" s="5">
        <v>4350</v>
      </c>
      <c r="I1630" s="6">
        <v>1430.6174906250001</v>
      </c>
      <c r="J1630" s="5">
        <v>10400</v>
      </c>
      <c r="K1630" s="6">
        <f t="shared" si="66"/>
        <v>3.0406450560726728</v>
      </c>
    </row>
    <row r="1631" spans="1:11" hidden="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H1631" s="5">
        <v>1200</v>
      </c>
      <c r="I1631" s="6">
        <v>1430.6175000000001</v>
      </c>
      <c r="J1631" s="5">
        <v>10400</v>
      </c>
      <c r="K1631" s="6">
        <f t="shared" si="66"/>
        <v>0.83879863066123539</v>
      </c>
    </row>
    <row r="1632" spans="1:11" hidden="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H1632" s="5">
        <v>3570</v>
      </c>
      <c r="I1632" s="6">
        <v>2861.2350000000001</v>
      </c>
      <c r="J1632" s="5">
        <v>20800</v>
      </c>
      <c r="K1632" s="6">
        <f t="shared" si="66"/>
        <v>1.2477129631085877</v>
      </c>
    </row>
    <row r="1633" spans="1:11" hidden="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H1633" s="5">
        <v>3625</v>
      </c>
      <c r="I1633" s="6">
        <v>3071.9505625000002</v>
      </c>
      <c r="J1633" s="5">
        <v>22400</v>
      </c>
      <c r="K1633" s="6">
        <f t="shared" si="66"/>
        <v>1.1800320110131981</v>
      </c>
    </row>
    <row r="1634" spans="1:11" hidden="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H1634" s="5">
        <v>4440</v>
      </c>
      <c r="I1634" s="6">
        <v>1097.125</v>
      </c>
      <c r="J1634" s="5">
        <v>8000</v>
      </c>
      <c r="K1634" s="6">
        <f t="shared" si="66"/>
        <v>4.0469408681781927</v>
      </c>
    </row>
    <row r="1635" spans="1:11" hidden="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H1635" s="5">
        <v>4320</v>
      </c>
      <c r="I1635" s="6">
        <v>2852.5250000000001</v>
      </c>
      <c r="J1635" s="5">
        <v>20800</v>
      </c>
      <c r="K1635" s="6">
        <f t="shared" si="66"/>
        <v>1.5144477261373694</v>
      </c>
    </row>
    <row r="1636" spans="1:11" hidden="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H1636" s="5">
        <v>3030</v>
      </c>
      <c r="I1636" s="6">
        <v>2633.1</v>
      </c>
      <c r="J1636" s="5">
        <v>19200</v>
      </c>
      <c r="K1636" s="6">
        <f t="shared" si="66"/>
        <v>1.15073487524211</v>
      </c>
    </row>
    <row r="1637" spans="1:11" hidden="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H1637" s="5">
        <v>3210</v>
      </c>
      <c r="I1637" s="6">
        <v>2633.1</v>
      </c>
      <c r="J1637" s="5">
        <v>19200</v>
      </c>
      <c r="K1637" s="6">
        <f t="shared" si="66"/>
        <v>1.2190953628802552</v>
      </c>
    </row>
    <row r="1638" spans="1:11" hidden="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H1638" s="5">
        <v>5370</v>
      </c>
      <c r="I1638" s="6">
        <v>2852.5250000000001</v>
      </c>
      <c r="J1638" s="5">
        <v>20800</v>
      </c>
      <c r="K1638" s="6">
        <f t="shared" si="66"/>
        <v>1.8825426595735357</v>
      </c>
    </row>
    <row r="1639" spans="1:11" hidden="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H1639" s="5">
        <v>4980</v>
      </c>
      <c r="I1639" s="6">
        <v>2852.5250000000001</v>
      </c>
      <c r="J1639" s="5">
        <v>20800</v>
      </c>
      <c r="K1639" s="6">
        <f t="shared" si="66"/>
        <v>1.7458216842972454</v>
      </c>
    </row>
    <row r="1640" spans="1:11" hidden="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H1640" s="5">
        <v>3250</v>
      </c>
      <c r="I1640" s="6">
        <v>3071.95</v>
      </c>
      <c r="J1640" s="5">
        <v>22400</v>
      </c>
      <c r="K1640" s="6">
        <f t="shared" si="66"/>
        <v>1.0579599277331988</v>
      </c>
    </row>
    <row r="1641" spans="1:11" hidden="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H1641" s="5">
        <v>2500</v>
      </c>
      <c r="I1641" s="6">
        <v>1645.6875</v>
      </c>
      <c r="J1641" s="5">
        <v>12000</v>
      </c>
      <c r="K1641" s="6">
        <f t="shared" si="66"/>
        <v>1.5191219475143367</v>
      </c>
    </row>
    <row r="1642" spans="1:11" hidden="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H1642" s="5">
        <v>9780</v>
      </c>
      <c r="I1642" s="6">
        <v>4121.4642855494085</v>
      </c>
      <c r="J1642" s="5">
        <v>31200</v>
      </c>
      <c r="K1642" s="6">
        <f t="shared" si="66"/>
        <v>2.372943042182952</v>
      </c>
    </row>
    <row r="1643" spans="1:11" hidden="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H1643" s="5">
        <v>2910</v>
      </c>
      <c r="I1643" s="6">
        <v>1056.7857142434418</v>
      </c>
      <c r="J1643" s="5">
        <v>8000</v>
      </c>
      <c r="K1643" s="6">
        <f t="shared" si="66"/>
        <v>2.7536329842264036</v>
      </c>
    </row>
    <row r="1644" spans="1:11" hidden="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H1644" s="5">
        <v>5160</v>
      </c>
      <c r="I1644" s="6">
        <v>2641.9642856076484</v>
      </c>
      <c r="J1644" s="5">
        <v>19996</v>
      </c>
      <c r="K1644" s="6">
        <f t="shared" si="66"/>
        <v>1.9530922609777848</v>
      </c>
    </row>
    <row r="1645" spans="1:11" hidden="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H1645" s="5">
        <v>1020</v>
      </c>
      <c r="I1645" s="6">
        <v>528.39285712153003</v>
      </c>
      <c r="J1645" s="5">
        <v>4000</v>
      </c>
      <c r="K1645" s="6">
        <f t="shared" si="66"/>
        <v>1.9303818858501349</v>
      </c>
    </row>
    <row r="1646" spans="1:11" hidden="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H1646" s="5">
        <v>1410</v>
      </c>
      <c r="I1646" s="6">
        <v>1902.2142856375078</v>
      </c>
      <c r="J1646" s="5">
        <v>14400</v>
      </c>
      <c r="K1646" s="6">
        <f t="shared" si="66"/>
        <v>0.74124141041631009</v>
      </c>
    </row>
    <row r="1647" spans="1:11" hidden="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H1647" s="5">
        <v>540</v>
      </c>
      <c r="I1647" s="6">
        <v>634.05652706821195</v>
      </c>
      <c r="J1647" s="5">
        <v>4800</v>
      </c>
      <c r="K1647" s="6">
        <f t="shared" si="66"/>
        <v>0.85165908234851539</v>
      </c>
    </row>
    <row r="1648" spans="1:11" hidden="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H1648" s="5">
        <v>8160</v>
      </c>
      <c r="I1648" s="6">
        <v>4487.9999999102474</v>
      </c>
      <c r="J1648" s="5">
        <v>31740</v>
      </c>
      <c r="K1648" s="6">
        <f t="shared" si="66"/>
        <v>1.8181818182181788</v>
      </c>
    </row>
    <row r="1649" spans="1:11" hidden="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H1649" s="5">
        <v>4275</v>
      </c>
      <c r="I1649" s="6">
        <v>1702.8</v>
      </c>
      <c r="J1649" s="5">
        <v>12900</v>
      </c>
      <c r="K1649" s="6">
        <f t="shared" si="66"/>
        <v>2.5105708245243128</v>
      </c>
    </row>
    <row r="1650" spans="1:11" hidden="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H1650" s="5">
        <v>4940</v>
      </c>
      <c r="I1650" s="6">
        <v>3009.6</v>
      </c>
      <c r="J1650" s="5">
        <v>22800</v>
      </c>
      <c r="K1650" s="6">
        <f t="shared" si="66"/>
        <v>1.6414141414141414</v>
      </c>
    </row>
    <row r="1651" spans="1:11" hidden="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H1651" s="5">
        <v>2790</v>
      </c>
      <c r="I1651" s="6">
        <v>1386</v>
      </c>
      <c r="J1651" s="5">
        <v>10500</v>
      </c>
      <c r="K1651" s="6">
        <f t="shared" si="66"/>
        <v>2.0129870129870131</v>
      </c>
    </row>
    <row r="1652" spans="1:11" hidden="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H1652" s="5">
        <v>3000</v>
      </c>
      <c r="I1652" s="6">
        <v>1386</v>
      </c>
      <c r="J1652" s="5">
        <v>10500</v>
      </c>
      <c r="K1652" s="6">
        <f t="shared" si="66"/>
        <v>2.1645021645021645</v>
      </c>
    </row>
    <row r="1653" spans="1:11" hidden="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H1653" s="5">
        <v>2200</v>
      </c>
      <c r="I1653" s="6">
        <v>1029.5999999999999</v>
      </c>
      <c r="J1653" s="5">
        <v>7800</v>
      </c>
      <c r="K1653" s="6">
        <f t="shared" si="66"/>
        <v>2.1367521367521372</v>
      </c>
    </row>
    <row r="1654" spans="1:11" hidden="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H1654" s="5">
        <v>1550</v>
      </c>
      <c r="I1654" s="6">
        <v>2653.2</v>
      </c>
      <c r="J1654" s="5">
        <v>20100</v>
      </c>
      <c r="K1654" s="6">
        <f t="shared" si="66"/>
        <v>0.58420021106588271</v>
      </c>
    </row>
    <row r="1655" spans="1:11" hidden="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H1655" s="5">
        <v>2040</v>
      </c>
      <c r="I1655" s="6">
        <v>1768.8</v>
      </c>
      <c r="J1655" s="5">
        <v>13400</v>
      </c>
      <c r="K1655" s="6">
        <f t="shared" si="66"/>
        <v>1.1533242876526459</v>
      </c>
    </row>
    <row r="1656" spans="1:11" hidden="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H1656" s="5">
        <v>1590</v>
      </c>
      <c r="I1656" s="6">
        <v>1029.5999999999999</v>
      </c>
      <c r="J1656" s="5">
        <v>7800</v>
      </c>
      <c r="K1656" s="6">
        <f t="shared" si="66"/>
        <v>1.5442890442890445</v>
      </c>
    </row>
    <row r="1657" spans="1:11" hidden="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H1657" s="5">
        <v>2975</v>
      </c>
      <c r="I1657" s="6">
        <v>1346.4</v>
      </c>
      <c r="J1657" s="5">
        <v>10200</v>
      </c>
      <c r="K1657" s="6">
        <f t="shared" si="66"/>
        <v>2.2095959595959593</v>
      </c>
    </row>
    <row r="1658" spans="1:11" hidden="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H1658" s="5">
        <v>600</v>
      </c>
      <c r="I1658" s="6">
        <v>440.18999062500001</v>
      </c>
      <c r="J1658" s="5">
        <v>3200</v>
      </c>
      <c r="K1658" s="6">
        <f t="shared" si="66"/>
        <v>1.3630478038541838</v>
      </c>
    </row>
    <row r="1659" spans="1:11" hidden="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H1659" s="5">
        <v>1550</v>
      </c>
      <c r="I1659" s="6">
        <v>880.38</v>
      </c>
      <c r="J1659" s="5">
        <v>6400</v>
      </c>
      <c r="K1659" s="6">
        <f t="shared" si="66"/>
        <v>1.760603375814989</v>
      </c>
    </row>
    <row r="1660" spans="1:11" hidden="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H1660" s="5">
        <v>925</v>
      </c>
      <c r="I1660" s="6">
        <v>330.14249999999998</v>
      </c>
      <c r="J1660" s="5">
        <v>2400</v>
      </c>
      <c r="K1660" s="6">
        <f t="shared" si="66"/>
        <v>2.8018204260281547</v>
      </c>
    </row>
    <row r="1661" spans="1:11" hidden="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H1661" s="5">
        <v>2425</v>
      </c>
      <c r="I1661" s="6">
        <v>1650.7125000000001</v>
      </c>
      <c r="J1661" s="5">
        <v>12000</v>
      </c>
      <c r="K1661" s="6">
        <f t="shared" si="66"/>
        <v>1.4690626017553026</v>
      </c>
    </row>
    <row r="1662" spans="1:11" hidden="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H1662" s="5">
        <v>1820</v>
      </c>
      <c r="I1662" s="6">
        <v>1287.0000000000018</v>
      </c>
      <c r="J1662" s="5">
        <v>9400</v>
      </c>
      <c r="K1662" s="6">
        <f t="shared" si="66"/>
        <v>1.4141414141414121</v>
      </c>
    </row>
    <row r="1663" spans="1:11" hidden="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H1663" s="5">
        <v>2700</v>
      </c>
      <c r="I1663" s="6">
        <v>2641.14</v>
      </c>
      <c r="J1663" s="5">
        <v>19200</v>
      </c>
      <c r="K1663" s="6">
        <f t="shared" si="66"/>
        <v>1.0222858311183807</v>
      </c>
    </row>
    <row r="1664" spans="1:11" hidden="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H1664" s="5">
        <v>2490</v>
      </c>
      <c r="I1664" s="6">
        <v>880.38</v>
      </c>
      <c r="J1664" s="5">
        <v>6400</v>
      </c>
      <c r="K1664" s="6">
        <f t="shared" si="66"/>
        <v>2.8283241327608533</v>
      </c>
    </row>
    <row r="1665" spans="1:11" hidden="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H1665" s="5">
        <v>1720</v>
      </c>
      <c r="I1665" s="6">
        <v>880.38</v>
      </c>
      <c r="J1665" s="5">
        <v>6400</v>
      </c>
      <c r="K1665" s="6">
        <f t="shared" si="66"/>
        <v>1.9537018105817943</v>
      </c>
    </row>
    <row r="1666" spans="1:11" hidden="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H1666" s="5">
        <v>1000</v>
      </c>
      <c r="I1666" s="6">
        <v>1755.4</v>
      </c>
      <c r="J1666" s="5">
        <v>12800</v>
      </c>
      <c r="K1666" s="6">
        <f t="shared" si="66"/>
        <v>0.56967073031787618</v>
      </c>
    </row>
    <row r="1667" spans="1:11" hidden="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H1667" s="5">
        <v>3920</v>
      </c>
      <c r="I1667" s="6">
        <v>2413.6749943750001</v>
      </c>
      <c r="J1667" s="5">
        <v>17600</v>
      </c>
      <c r="K1667" s="6">
        <f t="shared" si="66"/>
        <v>1.6240794676729249</v>
      </c>
    </row>
    <row r="1668" spans="1:11" hidden="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H1668" s="5">
        <v>5200</v>
      </c>
      <c r="I1668" s="6">
        <v>1645.6875</v>
      </c>
      <c r="J1668" s="5">
        <v>12000</v>
      </c>
      <c r="K1668" s="6">
        <f t="shared" si="66"/>
        <v>3.1597736508298202</v>
      </c>
    </row>
    <row r="1669" spans="1:11" hidden="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H1669" s="5">
        <v>1040</v>
      </c>
      <c r="I1669" s="6">
        <v>726.32013058333712</v>
      </c>
      <c r="J1669" s="5">
        <v>5712</v>
      </c>
      <c r="K1669" s="6">
        <f t="shared" si="66"/>
        <v>1.4318754998085126</v>
      </c>
    </row>
    <row r="1670" spans="1:11" hidden="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H1670" s="5">
        <v>2010</v>
      </c>
      <c r="I1670" s="6">
        <v>924.39958333667107</v>
      </c>
      <c r="J1670" s="5">
        <v>6720</v>
      </c>
      <c r="K1670" s="6">
        <f t="shared" si="66"/>
        <v>2.1743843638968277</v>
      </c>
    </row>
    <row r="1671" spans="1:11" hidden="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H1671" s="5">
        <v>2400</v>
      </c>
      <c r="I1671" s="6">
        <v>1122.485208333339</v>
      </c>
      <c r="J1671" s="5">
        <v>8160</v>
      </c>
      <c r="K1671" s="6">
        <f t="shared" ref="K1671:K1733" si="68">+H1671/I1671</f>
        <v>2.1381128073513853</v>
      </c>
    </row>
    <row r="1672" spans="1:11" hidden="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H1672" s="5">
        <v>360</v>
      </c>
      <c r="I1672" s="6">
        <v>396.17125000000198</v>
      </c>
      <c r="J1672" s="5">
        <v>2880</v>
      </c>
      <c r="K1672" s="6">
        <f t="shared" si="68"/>
        <v>0.90869794312433882</v>
      </c>
    </row>
    <row r="1673" spans="1:11" hidden="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H1673" s="5">
        <v>1920</v>
      </c>
      <c r="I1673" s="6">
        <v>1535.9749999999999</v>
      </c>
      <c r="J1673" s="5">
        <v>11200</v>
      </c>
      <c r="K1673" s="6">
        <f t="shared" si="68"/>
        <v>1.2500203453832257</v>
      </c>
    </row>
    <row r="1674" spans="1:11" hidden="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H1674" s="5">
        <v>2820</v>
      </c>
      <c r="I1674" s="6">
        <v>1535.9749999999999</v>
      </c>
      <c r="J1674" s="5">
        <v>11200</v>
      </c>
      <c r="K1674" s="6">
        <f t="shared" si="68"/>
        <v>1.8359673822816127</v>
      </c>
    </row>
    <row r="1675" spans="1:11" hidden="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H1675" s="5">
        <v>1050</v>
      </c>
      <c r="I1675" s="6">
        <v>594.25687500000299</v>
      </c>
      <c r="J1675" s="5">
        <v>4320</v>
      </c>
      <c r="K1675" s="6">
        <f t="shared" si="68"/>
        <v>1.7669126671862143</v>
      </c>
    </row>
    <row r="1676" spans="1:11" hidden="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H1676" s="5">
        <v>2440</v>
      </c>
      <c r="I1676" s="6">
        <v>2575.1131250013459</v>
      </c>
      <c r="J1676" s="5">
        <v>18720</v>
      </c>
      <c r="K1676" s="6">
        <f t="shared" si="68"/>
        <v>0.9475311885565123</v>
      </c>
    </row>
    <row r="1677" spans="1:11" hidden="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H1677" s="5">
        <v>1770</v>
      </c>
      <c r="I1677" s="6">
        <v>528.37931032368999</v>
      </c>
      <c r="J1677" s="5">
        <v>4000</v>
      </c>
      <c r="K1677" s="6">
        <f t="shared" ref="K1677:K1683" si="69">IFERROR(H1677/I1677,"")</f>
        <v>3.3498662143218323</v>
      </c>
    </row>
    <row r="1678" spans="1:11" hidden="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H1678" s="5">
        <v>4050</v>
      </c>
      <c r="I1678" s="6">
        <v>2272.0310343918732</v>
      </c>
      <c r="J1678" s="5">
        <v>17200</v>
      </c>
      <c r="K1678" s="6">
        <f t="shared" si="69"/>
        <v>1.7825460738409387</v>
      </c>
    </row>
    <row r="1679" spans="1:11" hidden="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H1679" s="5">
        <v>1275</v>
      </c>
      <c r="I1679" s="6">
        <v>1162.4344827121224</v>
      </c>
      <c r="J1679" s="5">
        <v>8800</v>
      </c>
      <c r="K1679" s="6">
        <f t="shared" si="69"/>
        <v>1.0968360100822598</v>
      </c>
    </row>
    <row r="1680" spans="1:11" hidden="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H1680" s="5">
        <v>1785</v>
      </c>
      <c r="I1680" s="6">
        <v>1162.4344827121181</v>
      </c>
      <c r="J1680" s="5">
        <v>8800</v>
      </c>
      <c r="K1680" s="6">
        <f t="shared" si="69"/>
        <v>1.5355704141151694</v>
      </c>
    </row>
    <row r="1681" spans="1:11" hidden="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H1681" s="5">
        <v>2760</v>
      </c>
      <c r="I1681" s="6">
        <v>1056.7586206473827</v>
      </c>
      <c r="J1681" s="5">
        <v>8000</v>
      </c>
      <c r="K1681" s="6">
        <f t="shared" si="69"/>
        <v>2.6117600993017609</v>
      </c>
    </row>
    <row r="1682" spans="1:11" hidden="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H1682" s="5">
        <v>2220</v>
      </c>
      <c r="I1682" s="6">
        <v>1109.596551679753</v>
      </c>
      <c r="J1682" s="5">
        <v>8400</v>
      </c>
      <c r="K1682" s="6">
        <f t="shared" si="69"/>
        <v>2.0007271982228789</v>
      </c>
    </row>
    <row r="1683" spans="1:11" hidden="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H1683" s="5">
        <v>2700</v>
      </c>
      <c r="I1683" s="6">
        <v>1902.1655171652881</v>
      </c>
      <c r="J1683" s="5">
        <v>14400</v>
      </c>
      <c r="K1683" s="6">
        <f t="shared" si="69"/>
        <v>1.4194348365770444</v>
      </c>
    </row>
    <row r="1684" spans="1:11" hidden="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H1684" s="5">
        <v>175</v>
      </c>
      <c r="I1684" s="6">
        <v>951.10714281909407</v>
      </c>
      <c r="J1684" s="5">
        <v>7200</v>
      </c>
      <c r="K1684" s="6">
        <f t="shared" si="68"/>
        <v>0.18399609478412463</v>
      </c>
    </row>
    <row r="1685" spans="1:11" hidden="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H1685" s="5">
        <v>6960</v>
      </c>
      <c r="I1685" s="6">
        <v>3804.4285712763772</v>
      </c>
      <c r="J1685" s="5">
        <v>28800</v>
      </c>
      <c r="K1685" s="6">
        <f t="shared" si="68"/>
        <v>1.829446885282153</v>
      </c>
    </row>
    <row r="1686" spans="1:11" hidden="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H1686" s="5">
        <v>8760</v>
      </c>
      <c r="I1686" s="6">
        <v>2641.8965516184649</v>
      </c>
      <c r="J1686" s="5">
        <v>20000</v>
      </c>
      <c r="K1686" s="6">
        <f t="shared" si="68"/>
        <v>3.3157997782439645</v>
      </c>
    </row>
    <row r="1687" spans="1:11" hidden="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H1687" s="5">
        <v>23070</v>
      </c>
      <c r="I1687" s="6">
        <v>3592.9793102010913</v>
      </c>
      <c r="J1687" s="5">
        <v>26044</v>
      </c>
      <c r="K1687" s="6">
        <f t="shared" si="68"/>
        <v>6.4208552313397043</v>
      </c>
    </row>
    <row r="1688" spans="1:11" hidden="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H1688" s="5">
        <v>2300</v>
      </c>
      <c r="I1688" s="6">
        <v>1268.1103447768633</v>
      </c>
      <c r="J1688" s="5">
        <v>9600</v>
      </c>
      <c r="K1688" s="6">
        <f t="shared" si="68"/>
        <v>1.8137222911817725</v>
      </c>
    </row>
    <row r="1689" spans="1:11" hidden="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H1689" s="5">
        <v>800</v>
      </c>
      <c r="I1689" s="6">
        <v>528.37931032368999</v>
      </c>
      <c r="J1689" s="5">
        <v>4000</v>
      </c>
      <c r="K1689" s="6">
        <f t="shared" si="68"/>
        <v>1.5140638256821841</v>
      </c>
    </row>
    <row r="1690" spans="1:11" hidden="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H1690" s="5">
        <v>2490</v>
      </c>
      <c r="I1690" s="6">
        <v>1162.4344827121247</v>
      </c>
      <c r="J1690" s="5">
        <v>8800</v>
      </c>
      <c r="K1690" s="6">
        <f t="shared" si="68"/>
        <v>2.1420562079253505</v>
      </c>
    </row>
    <row r="1691" spans="1:11" hidden="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H1691" s="5">
        <v>1050</v>
      </c>
      <c r="I1691" s="6">
        <v>528.3915024419166</v>
      </c>
      <c r="J1691" s="5">
        <v>4000</v>
      </c>
      <c r="K1691" s="6">
        <f t="shared" si="68"/>
        <v>1.9871629183049195</v>
      </c>
    </row>
    <row r="1692" spans="1:11" hidden="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H1692" s="5">
        <v>26400</v>
      </c>
      <c r="I1692" s="6">
        <v>3910.1071427007282</v>
      </c>
      <c r="J1692" s="5">
        <v>29260</v>
      </c>
      <c r="K1692" s="6">
        <f t="shared" si="68"/>
        <v>6.7517331460552779</v>
      </c>
    </row>
    <row r="1693" spans="1:11" hidden="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H1693" s="5">
        <v>3100</v>
      </c>
      <c r="I1693" s="6">
        <v>1902.2142856381945</v>
      </c>
      <c r="J1693" s="5">
        <v>14400</v>
      </c>
      <c r="K1693" s="6">
        <f t="shared" si="68"/>
        <v>1.6296796966593843</v>
      </c>
    </row>
    <row r="1694" spans="1:11" hidden="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H1694" s="5">
        <v>4680</v>
      </c>
      <c r="I1694" s="6">
        <v>1162.4642856677858</v>
      </c>
      <c r="J1694" s="5">
        <v>8800</v>
      </c>
      <c r="K1694" s="6">
        <f t="shared" si="68"/>
        <v>4.0259301362635336</v>
      </c>
    </row>
    <row r="1695" spans="1:11" hidden="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H1695" s="5">
        <v>690</v>
      </c>
      <c r="I1695" s="6">
        <v>317.03571427303262</v>
      </c>
      <c r="J1695" s="5">
        <v>2400</v>
      </c>
      <c r="K1695" s="6">
        <f t="shared" si="68"/>
        <v>2.1764109497322086</v>
      </c>
    </row>
    <row r="1696" spans="1:11" hidden="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H1696" s="5">
        <v>2425</v>
      </c>
      <c r="I1696" s="6">
        <v>951.10714281875391</v>
      </c>
      <c r="J1696" s="5">
        <v>7200</v>
      </c>
      <c r="K1696" s="6">
        <f t="shared" si="68"/>
        <v>2.5496601705809248</v>
      </c>
    </row>
    <row r="1697" spans="1:11" hidden="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H1697" s="5">
        <v>2070</v>
      </c>
      <c r="I1697" s="6">
        <v>898.26785710660101</v>
      </c>
      <c r="J1697" s="5">
        <v>6800</v>
      </c>
      <c r="K1697" s="6">
        <f t="shared" si="68"/>
        <v>2.3044351232467011</v>
      </c>
    </row>
    <row r="1698" spans="1:11" hidden="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H1698" s="5">
        <v>1925</v>
      </c>
      <c r="I1698" s="6">
        <v>1162.4642856673661</v>
      </c>
      <c r="J1698" s="5">
        <v>8800</v>
      </c>
      <c r="K1698" s="6">
        <f t="shared" si="68"/>
        <v>1.6559648530577138</v>
      </c>
    </row>
    <row r="1699" spans="1:11" hidden="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H1699" s="5">
        <v>1740</v>
      </c>
      <c r="I1699" s="6">
        <v>686.91071425798896</v>
      </c>
      <c r="J1699" s="5">
        <v>5200</v>
      </c>
      <c r="K1699" s="6">
        <f t="shared" si="68"/>
        <v>2.5330803026992723</v>
      </c>
    </row>
    <row r="1700" spans="1:11" hidden="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H1700" s="5">
        <v>3350</v>
      </c>
      <c r="I1700" s="6">
        <v>845.428571394752</v>
      </c>
      <c r="J1700" s="5">
        <v>6400</v>
      </c>
      <c r="K1700" s="6">
        <f t="shared" si="68"/>
        <v>3.9624873269581045</v>
      </c>
    </row>
    <row r="1701" spans="1:11" hidden="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H1701" s="5">
        <v>8975</v>
      </c>
      <c r="I1701" s="6">
        <v>3910.1071427007355</v>
      </c>
      <c r="J1701" s="5">
        <v>29600</v>
      </c>
      <c r="K1701" s="6">
        <f t="shared" si="68"/>
        <v>2.2953335221911364</v>
      </c>
    </row>
    <row r="1702" spans="1:11" hidden="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H1702" s="5">
        <v>6825</v>
      </c>
      <c r="I1702" s="6">
        <v>4015.7857141250793</v>
      </c>
      <c r="J1702" s="5">
        <v>30400</v>
      </c>
      <c r="K1702" s="6">
        <f t="shared" si="68"/>
        <v>1.6995428755059869</v>
      </c>
    </row>
    <row r="1703" spans="1:11" hidden="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H1703" s="5">
        <v>6030</v>
      </c>
      <c r="I1703" s="6">
        <v>2747.5751230427709</v>
      </c>
      <c r="J1703" s="5">
        <v>20800</v>
      </c>
      <c r="K1703" s="6">
        <f t="shared" si="68"/>
        <v>2.1946624677989313</v>
      </c>
    </row>
    <row r="1704" spans="1:11" hidden="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H1704" s="5">
        <v>1100</v>
      </c>
      <c r="I1704" s="6">
        <v>1056.75862064738</v>
      </c>
      <c r="J1704" s="5">
        <v>9600</v>
      </c>
      <c r="K1704" s="6">
        <f t="shared" si="68"/>
        <v>1.0409188801565015</v>
      </c>
    </row>
    <row r="1705" spans="1:11" hidden="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H1705" s="5">
        <v>0</v>
      </c>
      <c r="I1705" s="6">
        <v>317.02758619421581</v>
      </c>
      <c r="J1705" s="5">
        <v>2640</v>
      </c>
      <c r="K1705" s="6">
        <f t="shared" si="68"/>
        <v>0</v>
      </c>
    </row>
    <row r="1706" spans="1:11" hidden="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H1706" s="5">
        <v>0</v>
      </c>
      <c r="I1706" s="6">
        <v>52.837931032368999</v>
      </c>
      <c r="J1706" s="5">
        <v>440</v>
      </c>
      <c r="K1706" s="6">
        <f t="shared" si="68"/>
        <v>0</v>
      </c>
    </row>
    <row r="1707" spans="1:11" hidden="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H1707" s="5">
        <v>7230</v>
      </c>
      <c r="I1707" s="6">
        <v>3592.9793102011122</v>
      </c>
      <c r="J1707" s="5">
        <v>27820</v>
      </c>
      <c r="K1707" s="6">
        <f t="shared" si="68"/>
        <v>2.0122576212650971</v>
      </c>
    </row>
    <row r="1708" spans="1:11" hidden="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H1708" s="5">
        <v>11820</v>
      </c>
      <c r="I1708" s="6">
        <v>1585.2222221588099</v>
      </c>
      <c r="J1708" s="5">
        <v>11490</v>
      </c>
      <c r="K1708" s="6">
        <f t="shared" si="68"/>
        <v>7.4563678421711241</v>
      </c>
    </row>
    <row r="1709" spans="1:11" hidden="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H1709" s="5">
        <v>2925</v>
      </c>
      <c r="I1709" s="6">
        <v>1796.5851851133182</v>
      </c>
      <c r="J1709" s="5">
        <v>13600</v>
      </c>
      <c r="K1709" s="6">
        <f t="shared" si="68"/>
        <v>1.6280886785869315</v>
      </c>
    </row>
    <row r="1710" spans="1:11" hidden="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H1710" s="5">
        <v>7020</v>
      </c>
      <c r="I1710" s="6">
        <v>2219.311111022334</v>
      </c>
      <c r="J1710" s="5">
        <v>16800</v>
      </c>
      <c r="K1710" s="6">
        <f t="shared" si="68"/>
        <v>3.1631437183974676</v>
      </c>
    </row>
    <row r="1711" spans="1:11" hidden="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H1711" s="5">
        <v>5475</v>
      </c>
      <c r="I1711" s="6">
        <v>2959.0814813631118</v>
      </c>
      <c r="J1711" s="5">
        <v>22400</v>
      </c>
      <c r="K1711" s="6">
        <f t="shared" si="68"/>
        <v>1.8502363096395442</v>
      </c>
    </row>
    <row r="1712" spans="1:11" hidden="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H1712" s="5">
        <v>2180</v>
      </c>
      <c r="I1712" s="6">
        <v>1912.3542857142861</v>
      </c>
      <c r="J1712" s="5">
        <v>16320</v>
      </c>
      <c r="K1712" s="6">
        <f t="shared" si="68"/>
        <v>1.1399561348465017</v>
      </c>
    </row>
    <row r="1713" spans="1:11" hidden="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H1713" s="5">
        <v>1175</v>
      </c>
      <c r="I1713" s="6">
        <v>2812.2857142428579</v>
      </c>
      <c r="J1713" s="5">
        <v>20000</v>
      </c>
      <c r="K1713" s="6">
        <f t="shared" si="68"/>
        <v>0.41780961089735552</v>
      </c>
    </row>
    <row r="1714" spans="1:11" hidden="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H1714" s="5">
        <v>3175</v>
      </c>
      <c r="I1714" s="6">
        <v>1768.8376470588223</v>
      </c>
      <c r="J1714" s="5">
        <v>12800</v>
      </c>
      <c r="K1714" s="6">
        <f t="shared" si="68"/>
        <v>1.7949640574867389</v>
      </c>
    </row>
    <row r="1715" spans="1:11" hidden="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H1715" s="5">
        <v>4260</v>
      </c>
      <c r="I1715" s="6">
        <v>2263.7999998868127</v>
      </c>
      <c r="J1715" s="5">
        <v>17920</v>
      </c>
      <c r="K1715" s="6">
        <f t="shared" si="68"/>
        <v>1.8817916778041324</v>
      </c>
    </row>
    <row r="1716" spans="1:11" hidden="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H1716" s="5">
        <v>1680</v>
      </c>
      <c r="I1716" s="6">
        <v>994.97117647058747</v>
      </c>
      <c r="J1716" s="5">
        <v>7200</v>
      </c>
      <c r="K1716" s="6">
        <f t="shared" si="68"/>
        <v>1.6884911238930376</v>
      </c>
    </row>
    <row r="1717" spans="1:11" hidden="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H1717" s="5">
        <v>2160</v>
      </c>
      <c r="I1717" s="6">
        <v>994.97117647058747</v>
      </c>
      <c r="J1717" s="5">
        <v>7920</v>
      </c>
      <c r="K1717" s="6">
        <f t="shared" si="68"/>
        <v>2.1709171592910481</v>
      </c>
    </row>
    <row r="1718" spans="1:11" hidden="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H1718" s="5">
        <v>3150</v>
      </c>
      <c r="I1718" s="6">
        <v>2263.7999998868127</v>
      </c>
      <c r="J1718" s="5">
        <v>17920</v>
      </c>
      <c r="K1718" s="6">
        <f t="shared" si="68"/>
        <v>1.3914656772495346</v>
      </c>
    </row>
    <row r="1719" spans="1:11" hidden="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H1719" s="5">
        <v>28770</v>
      </c>
      <c r="I1719" s="6">
        <v>6727.0499997982479</v>
      </c>
      <c r="J1719" s="5">
        <v>49210</v>
      </c>
      <c r="K1719" s="6">
        <f t="shared" si="68"/>
        <v>4.276763217288833</v>
      </c>
    </row>
    <row r="1720" spans="1:11" hidden="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H1720" s="5">
        <v>1860</v>
      </c>
      <c r="I1720" s="6">
        <v>994.95</v>
      </c>
      <c r="J1720" s="5">
        <v>7200</v>
      </c>
      <c r="K1720" s="6">
        <f t="shared" si="68"/>
        <v>1.8694406754108246</v>
      </c>
    </row>
    <row r="1721" spans="1:11" hidden="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H1721" s="5">
        <v>1660</v>
      </c>
      <c r="I1721" s="6">
        <v>831.6</v>
      </c>
      <c r="J1721" s="5">
        <v>6300</v>
      </c>
      <c r="K1721" s="6">
        <f t="shared" si="68"/>
        <v>1.996151996151996</v>
      </c>
    </row>
    <row r="1722" spans="1:11" hidden="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H1722" s="5">
        <v>4275</v>
      </c>
      <c r="I1722" s="6">
        <v>1267.2</v>
      </c>
      <c r="J1722" s="5">
        <v>9600</v>
      </c>
      <c r="K1722" s="6">
        <f t="shared" si="68"/>
        <v>3.3735795454545454</v>
      </c>
    </row>
    <row r="1723" spans="1:11" hidden="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H1723" s="5">
        <v>960</v>
      </c>
      <c r="I1723" s="6">
        <v>316.8</v>
      </c>
      <c r="J1723" s="5">
        <v>2400</v>
      </c>
      <c r="K1723" s="6">
        <f t="shared" si="68"/>
        <v>3.0303030303030303</v>
      </c>
    </row>
    <row r="1724" spans="1:11" hidden="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H1724" s="5">
        <v>14580</v>
      </c>
      <c r="I1724" s="6">
        <v>3603.6</v>
      </c>
      <c r="J1724" s="5">
        <v>27296</v>
      </c>
      <c r="K1724" s="6">
        <f t="shared" si="68"/>
        <v>4.045954045954046</v>
      </c>
    </row>
    <row r="1725" spans="1:11" hidden="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H1725" s="5">
        <v>6950</v>
      </c>
      <c r="I1725" s="6">
        <v>3682.8</v>
      </c>
      <c r="J1725" s="5">
        <v>27900</v>
      </c>
      <c r="K1725" s="6">
        <f t="shared" si="68"/>
        <v>1.8871510806994678</v>
      </c>
    </row>
    <row r="1726" spans="1:11" hidden="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H1726" s="5">
        <v>3450</v>
      </c>
      <c r="I1726" s="6">
        <v>2376</v>
      </c>
      <c r="J1726" s="5">
        <v>18000</v>
      </c>
      <c r="K1726" s="6">
        <f t="shared" si="68"/>
        <v>1.452020202020202</v>
      </c>
    </row>
    <row r="1727" spans="1:11" hidden="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H1727" s="5">
        <v>2130</v>
      </c>
      <c r="I1727" s="6">
        <v>950.4</v>
      </c>
      <c r="J1727" s="5">
        <v>7200</v>
      </c>
      <c r="K1727" s="6">
        <f t="shared" si="68"/>
        <v>2.2411616161616164</v>
      </c>
    </row>
    <row r="1728" spans="1:11" hidden="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H1728" s="5">
        <v>3325</v>
      </c>
      <c r="I1728" s="6">
        <v>1346.4</v>
      </c>
      <c r="J1728" s="5">
        <v>10200</v>
      </c>
      <c r="K1728" s="6">
        <f t="shared" si="68"/>
        <v>2.4695484254307782</v>
      </c>
    </row>
    <row r="1729" spans="1:11" hidden="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H1729" s="5">
        <v>9960</v>
      </c>
      <c r="I1729" s="6">
        <v>2851.2</v>
      </c>
      <c r="J1729" s="5">
        <v>21600</v>
      </c>
      <c r="K1729" s="6">
        <f t="shared" si="68"/>
        <v>3.4932659932659935</v>
      </c>
    </row>
    <row r="1730" spans="1:11" hidden="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H1730" s="5">
        <v>4530</v>
      </c>
      <c r="I1730" s="6">
        <v>2138.4</v>
      </c>
      <c r="J1730" s="5">
        <v>16200</v>
      </c>
      <c r="K1730" s="6">
        <f t="shared" si="68"/>
        <v>2.1184062850729517</v>
      </c>
    </row>
    <row r="1731" spans="1:11" hidden="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H1731" s="5">
        <v>1825</v>
      </c>
      <c r="I1731" s="6">
        <v>963.6</v>
      </c>
      <c r="J1731" s="5">
        <v>7570</v>
      </c>
      <c r="K1731" s="6">
        <f t="shared" si="68"/>
        <v>1.8939393939393938</v>
      </c>
    </row>
    <row r="1732" spans="1:11" hidden="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H1732" s="5">
        <v>8425</v>
      </c>
      <c r="I1732" s="6">
        <v>3168</v>
      </c>
      <c r="J1732" s="5">
        <v>24000</v>
      </c>
      <c r="K1732" s="6">
        <f t="shared" si="68"/>
        <v>2.6594065656565657</v>
      </c>
    </row>
    <row r="1733" spans="1:11" hidden="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H1733" s="5">
        <v>3300</v>
      </c>
      <c r="I1733" s="6">
        <v>1188</v>
      </c>
      <c r="J1733" s="5">
        <v>9000</v>
      </c>
      <c r="K1733" s="6">
        <f t="shared" si="68"/>
        <v>2.7777777777777777</v>
      </c>
    </row>
    <row r="1734" spans="1:11" hidden="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H1734" s="5">
        <v>6025</v>
      </c>
      <c r="I1734" s="6">
        <v>2732.4</v>
      </c>
      <c r="J1734" s="5">
        <v>20700</v>
      </c>
      <c r="K1734" s="6">
        <f t="shared" ref="K1734:K1786" si="71">+H1734/I1734</f>
        <v>2.2050212267603571</v>
      </c>
    </row>
    <row r="1735" spans="1:11" hidden="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H1735" s="5">
        <v>990</v>
      </c>
      <c r="I1735" s="6">
        <v>673.2</v>
      </c>
      <c r="J1735" s="5">
        <v>5100</v>
      </c>
      <c r="K1735" s="6">
        <f t="shared" si="71"/>
        <v>1.4705882352941175</v>
      </c>
    </row>
    <row r="1736" spans="1:11" hidden="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H1736" s="5">
        <v>800</v>
      </c>
      <c r="I1736" s="6">
        <v>1100.4749999999999</v>
      </c>
      <c r="J1736" s="5">
        <v>8000</v>
      </c>
      <c r="K1736" s="6">
        <f t="shared" si="71"/>
        <v>0.72695881323973743</v>
      </c>
    </row>
    <row r="1737" spans="1:11" hidden="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H1737" s="5">
        <v>3200</v>
      </c>
      <c r="I1737" s="6">
        <v>1287</v>
      </c>
      <c r="J1737" s="5">
        <v>9400</v>
      </c>
      <c r="K1737" s="6">
        <f t="shared" si="71"/>
        <v>2.4864024864024863</v>
      </c>
    </row>
    <row r="1738" spans="1:11" hidden="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H1738" s="5">
        <v>4560</v>
      </c>
      <c r="I1738" s="6">
        <v>2641.14</v>
      </c>
      <c r="J1738" s="5">
        <v>19200</v>
      </c>
      <c r="K1738" s="6">
        <f t="shared" si="71"/>
        <v>1.7265271814443763</v>
      </c>
    </row>
    <row r="1739" spans="1:11" hidden="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H1739" s="5">
        <v>10000</v>
      </c>
      <c r="I1739" s="6">
        <v>2641.14</v>
      </c>
      <c r="J1739" s="5">
        <v>19200</v>
      </c>
      <c r="K1739" s="6">
        <f t="shared" si="71"/>
        <v>3.7862438189569656</v>
      </c>
    </row>
    <row r="1740" spans="1:11" hidden="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H1740" s="5">
        <v>2850</v>
      </c>
      <c r="I1740" s="6">
        <v>1430.6174906250001</v>
      </c>
      <c r="J1740" s="5">
        <v>10400</v>
      </c>
      <c r="K1740" s="6">
        <f t="shared" si="71"/>
        <v>1.9921467608751995</v>
      </c>
    </row>
    <row r="1741" spans="1:11" hidden="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H1741" s="5">
        <v>1350</v>
      </c>
      <c r="I1741" s="6">
        <v>1430.6175000000001</v>
      </c>
      <c r="J1741" s="5">
        <v>10400</v>
      </c>
      <c r="K1741" s="6">
        <f t="shared" si="71"/>
        <v>0.94364845949388987</v>
      </c>
    </row>
    <row r="1742" spans="1:11" hidden="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H1742" s="5">
        <v>3360</v>
      </c>
      <c r="I1742" s="6">
        <v>2861.2350000000001</v>
      </c>
      <c r="J1742" s="5">
        <v>20800</v>
      </c>
      <c r="K1742" s="6">
        <f t="shared" si="71"/>
        <v>1.1743180829257296</v>
      </c>
    </row>
    <row r="1743" spans="1:11" hidden="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H1743" s="5">
        <v>5275</v>
      </c>
      <c r="I1743" s="6">
        <v>3071.9505625000002</v>
      </c>
      <c r="J1743" s="5">
        <v>22400</v>
      </c>
      <c r="K1743" s="6">
        <f t="shared" si="71"/>
        <v>1.7171500298192053</v>
      </c>
    </row>
    <row r="1744" spans="1:11" hidden="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H1744" s="5">
        <v>9120</v>
      </c>
      <c r="I1744" s="6">
        <v>1097.125</v>
      </c>
      <c r="J1744" s="5">
        <v>8000</v>
      </c>
      <c r="K1744" s="6">
        <f t="shared" si="71"/>
        <v>8.3126352967984509</v>
      </c>
    </row>
    <row r="1745" spans="1:11" hidden="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H1745" s="5">
        <v>6880</v>
      </c>
      <c r="I1745" s="6">
        <v>2852.5250000000001</v>
      </c>
      <c r="J1745" s="5">
        <v>20800</v>
      </c>
      <c r="K1745" s="6">
        <f t="shared" si="71"/>
        <v>2.41189823051507</v>
      </c>
    </row>
    <row r="1746" spans="1:11" hidden="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H1746" s="5">
        <v>4590</v>
      </c>
      <c r="I1746" s="6">
        <v>2633.1</v>
      </c>
      <c r="J1746" s="5">
        <v>19200</v>
      </c>
      <c r="K1746" s="6">
        <f t="shared" si="71"/>
        <v>1.7431924347727015</v>
      </c>
    </row>
    <row r="1747" spans="1:11" hidden="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H1747" s="5">
        <v>4530</v>
      </c>
      <c r="I1747" s="6">
        <v>2633.1</v>
      </c>
      <c r="J1747" s="5">
        <v>19200</v>
      </c>
      <c r="K1747" s="6">
        <f t="shared" si="71"/>
        <v>1.7204056055599863</v>
      </c>
    </row>
    <row r="1748" spans="1:11" hidden="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H1748" s="5">
        <v>4800</v>
      </c>
      <c r="I1748" s="6">
        <v>2852.5250000000001</v>
      </c>
      <c r="J1748" s="5">
        <v>20800</v>
      </c>
      <c r="K1748" s="6">
        <f t="shared" si="71"/>
        <v>1.6827196957081882</v>
      </c>
    </row>
    <row r="1749" spans="1:11" hidden="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H1749" s="5">
        <v>10800</v>
      </c>
      <c r="I1749" s="6">
        <v>2852.5250000000001</v>
      </c>
      <c r="J1749" s="5">
        <v>20800</v>
      </c>
      <c r="K1749" s="6">
        <f t="shared" si="71"/>
        <v>3.7861193153434236</v>
      </c>
    </row>
    <row r="1750" spans="1:11" hidden="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H1750" s="5">
        <v>7025</v>
      </c>
      <c r="I1750" s="6">
        <v>3071.95</v>
      </c>
      <c r="J1750" s="5">
        <v>22400</v>
      </c>
      <c r="K1750" s="6">
        <f t="shared" si="71"/>
        <v>2.2868210745617605</v>
      </c>
    </row>
    <row r="1751" spans="1:11" hidden="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H1751" s="5">
        <v>3775</v>
      </c>
      <c r="I1751" s="6">
        <v>1645.6875</v>
      </c>
      <c r="J1751" s="5">
        <v>12000</v>
      </c>
      <c r="K1751" s="6">
        <f t="shared" si="71"/>
        <v>2.2938741407466483</v>
      </c>
    </row>
    <row r="1752" spans="1:11" hidden="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H1752" s="5">
        <v>12120</v>
      </c>
      <c r="I1752" s="6">
        <v>4121.4642855494085</v>
      </c>
      <c r="J1752" s="5">
        <v>31200</v>
      </c>
      <c r="K1752" s="6">
        <f t="shared" si="71"/>
        <v>2.9407024203739649</v>
      </c>
    </row>
    <row r="1753" spans="1:11" hidden="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H1753" s="5">
        <v>1995</v>
      </c>
      <c r="I1753" s="6">
        <v>1056.7857142434418</v>
      </c>
      <c r="J1753" s="5">
        <v>8000</v>
      </c>
      <c r="K1753" s="6">
        <f t="shared" si="71"/>
        <v>1.8877999324851118</v>
      </c>
    </row>
    <row r="1754" spans="1:11" hidden="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H1754" s="5">
        <v>8790</v>
      </c>
      <c r="I1754" s="6">
        <v>2641.9642856076484</v>
      </c>
      <c r="J1754" s="5">
        <v>19996</v>
      </c>
      <c r="K1754" s="6">
        <f t="shared" si="71"/>
        <v>3.3270699562005288</v>
      </c>
    </row>
    <row r="1755" spans="1:11" hidden="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H1755" s="5">
        <v>1380</v>
      </c>
      <c r="I1755" s="6">
        <v>528.39285712153003</v>
      </c>
      <c r="J1755" s="5">
        <v>4000</v>
      </c>
      <c r="K1755" s="6">
        <f t="shared" si="71"/>
        <v>2.6116931396795944</v>
      </c>
    </row>
    <row r="1756" spans="1:11" hidden="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H1756" s="5">
        <v>2640</v>
      </c>
      <c r="I1756" s="6">
        <v>1902.2142856375078</v>
      </c>
      <c r="J1756" s="5">
        <v>14400</v>
      </c>
      <c r="K1756" s="6">
        <f t="shared" si="71"/>
        <v>1.3878562578007507</v>
      </c>
    </row>
    <row r="1757" spans="1:11" hidden="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H1757" s="5">
        <v>980</v>
      </c>
      <c r="I1757" s="6">
        <v>634.05652706821195</v>
      </c>
      <c r="J1757" s="5">
        <v>4800</v>
      </c>
      <c r="K1757" s="6">
        <f t="shared" si="71"/>
        <v>1.5456035198176761</v>
      </c>
    </row>
    <row r="1758" spans="1:11" hidden="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H1758" s="5">
        <v>12140</v>
      </c>
      <c r="I1758" s="6">
        <v>4487.9999999102474</v>
      </c>
      <c r="J1758" s="5">
        <v>31740</v>
      </c>
      <c r="K1758" s="6">
        <f t="shared" si="71"/>
        <v>2.704991087398124</v>
      </c>
    </row>
    <row r="1759" spans="1:11" hidden="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H1759" s="5">
        <v>4525</v>
      </c>
      <c r="I1759" s="6">
        <v>1702.8</v>
      </c>
      <c r="J1759" s="5">
        <v>12900</v>
      </c>
      <c r="K1759" s="6">
        <f t="shared" si="71"/>
        <v>2.6573878318064366</v>
      </c>
    </row>
    <row r="1760" spans="1:11" hidden="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H1760" s="5">
        <v>5720</v>
      </c>
      <c r="I1760" s="6">
        <v>3009.6</v>
      </c>
      <c r="J1760" s="5">
        <v>22800</v>
      </c>
      <c r="K1760" s="6">
        <f t="shared" si="71"/>
        <v>1.9005847953216375</v>
      </c>
    </row>
    <row r="1761" spans="1:11" hidden="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H1761" s="5">
        <v>3000</v>
      </c>
      <c r="I1761" s="6">
        <v>1386</v>
      </c>
      <c r="J1761" s="5">
        <v>10500</v>
      </c>
      <c r="K1761" s="6">
        <f t="shared" si="71"/>
        <v>2.1645021645021645</v>
      </c>
    </row>
    <row r="1762" spans="1:11" hidden="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H1762" s="5">
        <v>3090</v>
      </c>
      <c r="I1762" s="6">
        <v>1386</v>
      </c>
      <c r="J1762" s="5">
        <v>10500</v>
      </c>
      <c r="K1762" s="6">
        <f t="shared" si="71"/>
        <v>2.2294372294372296</v>
      </c>
    </row>
    <row r="1763" spans="1:11" hidden="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H1763" s="5">
        <v>2250</v>
      </c>
      <c r="I1763" s="6">
        <v>1029.5999999999999</v>
      </c>
      <c r="J1763" s="5">
        <v>7800</v>
      </c>
      <c r="K1763" s="6">
        <f t="shared" si="71"/>
        <v>2.1853146853146854</v>
      </c>
    </row>
    <row r="1764" spans="1:11" hidden="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H1764" s="5">
        <v>2525</v>
      </c>
      <c r="I1764" s="6">
        <v>2653.2</v>
      </c>
      <c r="J1764" s="5">
        <v>20100</v>
      </c>
      <c r="K1764" s="6">
        <f t="shared" si="71"/>
        <v>0.95168098899442188</v>
      </c>
    </row>
    <row r="1765" spans="1:11" hidden="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H1765" s="5">
        <v>4770</v>
      </c>
      <c r="I1765" s="6">
        <v>1768.8</v>
      </c>
      <c r="J1765" s="5">
        <v>13400</v>
      </c>
      <c r="K1765" s="6">
        <f t="shared" si="71"/>
        <v>2.6967435549525103</v>
      </c>
    </row>
    <row r="1766" spans="1:11" hidden="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H1766" s="5">
        <v>1755</v>
      </c>
      <c r="I1766" s="6">
        <v>1029.5999999999999</v>
      </c>
      <c r="J1766" s="5">
        <v>7800</v>
      </c>
      <c r="K1766" s="6">
        <f t="shared" si="71"/>
        <v>1.7045454545454546</v>
      </c>
    </row>
    <row r="1767" spans="1:11" hidden="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H1767" s="5">
        <v>4700</v>
      </c>
      <c r="I1767" s="6">
        <v>1346.4</v>
      </c>
      <c r="J1767" s="5">
        <v>10200</v>
      </c>
      <c r="K1767" s="6">
        <f t="shared" si="71"/>
        <v>3.4907902554961376</v>
      </c>
    </row>
    <row r="1768" spans="1:11" hidden="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H1768" s="5">
        <v>900</v>
      </c>
      <c r="I1768" s="6">
        <v>440.18999062500001</v>
      </c>
      <c r="J1768" s="5">
        <v>3200</v>
      </c>
      <c r="K1768" s="6">
        <f t="shared" si="71"/>
        <v>2.0445717057812756</v>
      </c>
    </row>
    <row r="1769" spans="1:11" hidden="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H1769" s="5">
        <v>1550</v>
      </c>
      <c r="I1769" s="6">
        <v>880.38</v>
      </c>
      <c r="J1769" s="5">
        <v>6400</v>
      </c>
      <c r="K1769" s="6">
        <f t="shared" si="71"/>
        <v>1.760603375814989</v>
      </c>
    </row>
    <row r="1770" spans="1:11" hidden="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H1770" s="5">
        <v>750</v>
      </c>
      <c r="I1770" s="6">
        <v>330.14249999999998</v>
      </c>
      <c r="J1770" s="5">
        <v>2400</v>
      </c>
      <c r="K1770" s="6">
        <f t="shared" si="71"/>
        <v>2.2717462913741793</v>
      </c>
    </row>
    <row r="1771" spans="1:11" hidden="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H1771" s="5">
        <v>2200</v>
      </c>
      <c r="I1771" s="6">
        <v>1650.7125000000001</v>
      </c>
      <c r="J1771" s="5">
        <v>12000</v>
      </c>
      <c r="K1771" s="6">
        <f t="shared" si="71"/>
        <v>1.3327578242728517</v>
      </c>
    </row>
    <row r="1772" spans="1:11" hidden="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H1772" s="5">
        <v>3340</v>
      </c>
      <c r="I1772" s="6">
        <v>1287.0000000000018</v>
      </c>
      <c r="J1772" s="5">
        <v>9400</v>
      </c>
      <c r="K1772" s="6">
        <f t="shared" si="71"/>
        <v>2.5951825951825915</v>
      </c>
    </row>
    <row r="1773" spans="1:11" hidden="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H1773" s="5">
        <v>4725</v>
      </c>
      <c r="I1773" s="6">
        <v>2641.14</v>
      </c>
      <c r="J1773" s="5">
        <v>19200</v>
      </c>
      <c r="K1773" s="6">
        <f t="shared" si="71"/>
        <v>1.7890002044571662</v>
      </c>
    </row>
    <row r="1774" spans="1:11" hidden="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H1774" s="5">
        <v>2010</v>
      </c>
      <c r="I1774" s="6">
        <v>880.38</v>
      </c>
      <c r="J1774" s="5">
        <v>6400</v>
      </c>
      <c r="K1774" s="6">
        <f t="shared" si="71"/>
        <v>2.2831050228310503</v>
      </c>
    </row>
    <row r="1775" spans="1:11" hidden="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H1775" s="5">
        <v>1780</v>
      </c>
      <c r="I1775" s="6">
        <v>880.38</v>
      </c>
      <c r="J1775" s="5">
        <v>6400</v>
      </c>
      <c r="K1775" s="6">
        <f t="shared" si="71"/>
        <v>2.0218541993230197</v>
      </c>
    </row>
    <row r="1776" spans="1:11" hidden="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H1776" s="5">
        <v>1520</v>
      </c>
      <c r="I1776" s="6">
        <v>1755.4</v>
      </c>
      <c r="J1776" s="5">
        <v>12800</v>
      </c>
      <c r="K1776" s="6">
        <f t="shared" si="71"/>
        <v>0.8658995100831719</v>
      </c>
    </row>
    <row r="1777" spans="1:11" hidden="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H1777" s="5">
        <v>5080</v>
      </c>
      <c r="I1777" s="6">
        <v>2413.6749943750001</v>
      </c>
      <c r="J1777" s="5">
        <v>17600</v>
      </c>
      <c r="K1777" s="6">
        <f t="shared" si="71"/>
        <v>2.1046744121883822</v>
      </c>
    </row>
    <row r="1778" spans="1:11" hidden="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H1778" s="5">
        <v>7920</v>
      </c>
      <c r="I1778" s="6">
        <v>1645.6875</v>
      </c>
      <c r="J1778" s="5">
        <v>12000</v>
      </c>
      <c r="K1778" s="6">
        <f t="shared" si="71"/>
        <v>4.8125783297254188</v>
      </c>
    </row>
    <row r="1779" spans="1:11" hidden="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H1779" s="5">
        <v>1540</v>
      </c>
      <c r="I1779" s="6">
        <v>726.32013058333712</v>
      </c>
      <c r="J1779" s="5">
        <v>5712</v>
      </c>
      <c r="K1779" s="6">
        <f t="shared" si="71"/>
        <v>2.120277182408759</v>
      </c>
    </row>
    <row r="1780" spans="1:11" hidden="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H1780" s="5">
        <v>2970</v>
      </c>
      <c r="I1780" s="6">
        <v>924.39958333667107</v>
      </c>
      <c r="J1780" s="5">
        <v>6720</v>
      </c>
      <c r="K1780" s="6">
        <f t="shared" si="71"/>
        <v>3.2128962988923275</v>
      </c>
    </row>
    <row r="1781" spans="1:11" hidden="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H1781" s="5">
        <v>2600</v>
      </c>
      <c r="I1781" s="6">
        <v>1122.485208333339</v>
      </c>
      <c r="J1781" s="5">
        <v>8160</v>
      </c>
      <c r="K1781" s="6">
        <f t="shared" si="71"/>
        <v>2.3162888746306676</v>
      </c>
    </row>
    <row r="1782" spans="1:11" hidden="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H1782" s="5">
        <v>320</v>
      </c>
      <c r="I1782" s="6">
        <v>396.17125000000198</v>
      </c>
      <c r="J1782" s="5">
        <v>2880</v>
      </c>
      <c r="K1782" s="6">
        <f t="shared" si="71"/>
        <v>0.80773150499941226</v>
      </c>
    </row>
    <row r="1783" spans="1:11" hidden="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H1783" s="5">
        <v>2610</v>
      </c>
      <c r="I1783" s="6">
        <v>1535.9749999999999</v>
      </c>
      <c r="J1783" s="5">
        <v>11200</v>
      </c>
      <c r="K1783" s="6">
        <f t="shared" si="71"/>
        <v>1.6992464070053224</v>
      </c>
    </row>
    <row r="1784" spans="1:11" hidden="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H1784" s="5">
        <v>2980</v>
      </c>
      <c r="I1784" s="6">
        <v>1535.9749999999999</v>
      </c>
      <c r="J1784" s="5">
        <v>11200</v>
      </c>
      <c r="K1784" s="6">
        <f t="shared" si="71"/>
        <v>1.9401357443968816</v>
      </c>
    </row>
    <row r="1785" spans="1:11" hidden="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H1785" s="5">
        <v>1500</v>
      </c>
      <c r="I1785" s="6">
        <v>594.25687500000299</v>
      </c>
      <c r="J1785" s="5">
        <v>4320</v>
      </c>
      <c r="K1785" s="6">
        <f t="shared" si="71"/>
        <v>2.5241609531231632</v>
      </c>
    </row>
    <row r="1786" spans="1:11" hidden="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H1786" s="5">
        <v>3220</v>
      </c>
      <c r="I1786" s="6">
        <v>2575.1131250013459</v>
      </c>
      <c r="J1786" s="5">
        <v>18720</v>
      </c>
      <c r="K1786" s="6">
        <f t="shared" si="71"/>
        <v>1.2504305029311351</v>
      </c>
    </row>
    <row r="1787" spans="1:11" hidden="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H1787" s="5">
        <v>3240</v>
      </c>
      <c r="I1787" s="6">
        <v>528.37931032368999</v>
      </c>
      <c r="J1787" s="5">
        <v>4000</v>
      </c>
      <c r="K1787" s="6">
        <f t="shared" ref="K1787:K1793" si="73">IFERROR(H1787/I1787,"")</f>
        <v>6.1319584940128458</v>
      </c>
    </row>
    <row r="1788" spans="1:11" hidden="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H1788" s="5">
        <v>4375</v>
      </c>
      <c r="I1788" s="6">
        <v>2272.0310343918732</v>
      </c>
      <c r="J1788" s="5">
        <v>17200</v>
      </c>
      <c r="K1788" s="6">
        <f t="shared" si="73"/>
        <v>1.9255898945812608</v>
      </c>
    </row>
    <row r="1789" spans="1:11" hidden="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H1789" s="5">
        <v>3225</v>
      </c>
      <c r="I1789" s="6">
        <v>1162.4344827121224</v>
      </c>
      <c r="J1789" s="5">
        <v>8800</v>
      </c>
      <c r="K1789" s="6">
        <f t="shared" si="73"/>
        <v>2.7743499078551279</v>
      </c>
    </row>
    <row r="1790" spans="1:11" hidden="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H1790" s="5">
        <v>2590</v>
      </c>
      <c r="I1790" s="6">
        <v>1162.4344827121181</v>
      </c>
      <c r="J1790" s="5">
        <v>8800</v>
      </c>
      <c r="K1790" s="6">
        <f t="shared" si="73"/>
        <v>2.2280825616573048</v>
      </c>
    </row>
    <row r="1791" spans="1:11" hidden="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H1791" s="5">
        <v>5280</v>
      </c>
      <c r="I1791" s="6">
        <v>1056.7586206473827</v>
      </c>
      <c r="J1791" s="5">
        <v>8000</v>
      </c>
      <c r="K1791" s="6">
        <f t="shared" si="73"/>
        <v>4.9964106247511948</v>
      </c>
    </row>
    <row r="1792" spans="1:11" hidden="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H1792" s="5">
        <v>4740</v>
      </c>
      <c r="I1792" s="6">
        <v>1109.596551679753</v>
      </c>
      <c r="J1792" s="5">
        <v>8400</v>
      </c>
      <c r="K1792" s="6">
        <f t="shared" si="73"/>
        <v>4.2718229367461467</v>
      </c>
    </row>
    <row r="1793" spans="1:11" hidden="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H1793" s="5">
        <v>5375</v>
      </c>
      <c r="I1793" s="6">
        <v>1902.1655171652881</v>
      </c>
      <c r="J1793" s="5">
        <v>14400</v>
      </c>
      <c r="K1793" s="6">
        <f t="shared" si="73"/>
        <v>2.8257267580005978</v>
      </c>
    </row>
    <row r="1794" spans="1:11" hidden="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H1794" s="5">
        <v>1075</v>
      </c>
      <c r="I1794" s="6">
        <v>951.10714281909407</v>
      </c>
      <c r="J1794" s="5">
        <v>7200</v>
      </c>
      <c r="K1794" s="6">
        <f t="shared" ref="K1794:K1856" si="74">+H1794/I1794</f>
        <v>1.13026172510248</v>
      </c>
    </row>
    <row r="1795" spans="1:11" hidden="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H1795" s="5">
        <v>10080</v>
      </c>
      <c r="I1795" s="6">
        <v>3804.4285712763772</v>
      </c>
      <c r="J1795" s="5">
        <v>28800</v>
      </c>
      <c r="K1795" s="6">
        <f t="shared" si="74"/>
        <v>2.6495437648913942</v>
      </c>
    </row>
    <row r="1796" spans="1:11" hidden="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H1796" s="5">
        <v>13050</v>
      </c>
      <c r="I1796" s="6">
        <v>2641.8965516184649</v>
      </c>
      <c r="J1796" s="5">
        <v>20000</v>
      </c>
      <c r="K1796" s="6">
        <f t="shared" si="74"/>
        <v>4.9396332312880977</v>
      </c>
    </row>
    <row r="1797" spans="1:11" hidden="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H1797" s="5">
        <v>30840</v>
      </c>
      <c r="I1797" s="6">
        <v>3592.9793102010913</v>
      </c>
      <c r="J1797" s="5">
        <v>26044</v>
      </c>
      <c r="K1797" s="6">
        <f t="shared" si="74"/>
        <v>8.5834059529482651</v>
      </c>
    </row>
    <row r="1798" spans="1:11" hidden="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H1798" s="5">
        <v>2575</v>
      </c>
      <c r="I1798" s="6">
        <v>1268.1103447768633</v>
      </c>
      <c r="J1798" s="5">
        <v>9600</v>
      </c>
      <c r="K1798" s="6">
        <f t="shared" si="74"/>
        <v>2.0305803912143756</v>
      </c>
    </row>
    <row r="1799" spans="1:11" hidden="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H1799" s="5">
        <v>1550</v>
      </c>
      <c r="I1799" s="6">
        <v>528.37931032368999</v>
      </c>
      <c r="J1799" s="5">
        <v>4000</v>
      </c>
      <c r="K1799" s="6">
        <f t="shared" si="74"/>
        <v>2.9334986622592316</v>
      </c>
    </row>
    <row r="1800" spans="1:11" hidden="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H1800" s="5">
        <v>3120</v>
      </c>
      <c r="I1800" s="6">
        <v>1162.4344827121247</v>
      </c>
      <c r="J1800" s="5">
        <v>8800</v>
      </c>
      <c r="K1800" s="6">
        <f t="shared" si="74"/>
        <v>2.6840222364365833</v>
      </c>
    </row>
    <row r="1801" spans="1:11" hidden="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H1801" s="5">
        <v>1260</v>
      </c>
      <c r="I1801" s="6">
        <v>528.3915024419166</v>
      </c>
      <c r="J1801" s="5">
        <v>4000</v>
      </c>
      <c r="K1801" s="6">
        <f t="shared" si="74"/>
        <v>2.3845955019659035</v>
      </c>
    </row>
    <row r="1802" spans="1:11" hidden="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H1802" s="5">
        <v>29430</v>
      </c>
      <c r="I1802" s="6">
        <v>3910.1071427007282</v>
      </c>
      <c r="J1802" s="5">
        <v>29260</v>
      </c>
      <c r="K1802" s="6">
        <f t="shared" si="74"/>
        <v>7.526647973045713</v>
      </c>
    </row>
    <row r="1803" spans="1:11" hidden="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H1803" s="5">
        <v>3400</v>
      </c>
      <c r="I1803" s="6">
        <v>1902.2142856381945</v>
      </c>
      <c r="J1803" s="5">
        <v>14400</v>
      </c>
      <c r="K1803" s="6">
        <f t="shared" si="74"/>
        <v>1.7873906350457762</v>
      </c>
    </row>
    <row r="1804" spans="1:11" hidden="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H1804" s="5">
        <v>5250</v>
      </c>
      <c r="I1804" s="6">
        <v>1162.4642856677858</v>
      </c>
      <c r="J1804" s="5">
        <v>8800</v>
      </c>
      <c r="K1804" s="6">
        <f t="shared" si="74"/>
        <v>4.5162677810648608</v>
      </c>
    </row>
    <row r="1805" spans="1:11" hidden="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H1805" s="5">
        <v>1320</v>
      </c>
      <c r="I1805" s="6">
        <v>317.03571427303262</v>
      </c>
      <c r="J1805" s="5">
        <v>2400</v>
      </c>
      <c r="K1805" s="6">
        <f t="shared" si="74"/>
        <v>4.1635687734007467</v>
      </c>
    </row>
    <row r="1806" spans="1:11" hidden="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H1806" s="5">
        <v>2100</v>
      </c>
      <c r="I1806" s="6">
        <v>951.10714281875391</v>
      </c>
      <c r="J1806" s="5">
        <v>7200</v>
      </c>
      <c r="K1806" s="6">
        <f t="shared" si="74"/>
        <v>2.2079531374102852</v>
      </c>
    </row>
    <row r="1807" spans="1:11" hidden="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H1807" s="5">
        <v>3150</v>
      </c>
      <c r="I1807" s="6">
        <v>898.26785710660101</v>
      </c>
      <c r="J1807" s="5">
        <v>6800</v>
      </c>
      <c r="K1807" s="6">
        <f t="shared" si="74"/>
        <v>3.5067491005928058</v>
      </c>
    </row>
    <row r="1808" spans="1:11" hidden="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H1808" s="5">
        <v>4400</v>
      </c>
      <c r="I1808" s="6">
        <v>1162.4642856673661</v>
      </c>
      <c r="J1808" s="5">
        <v>8800</v>
      </c>
      <c r="K1808" s="6">
        <f t="shared" si="74"/>
        <v>3.7850625212747744</v>
      </c>
    </row>
    <row r="1809" spans="1:11" hidden="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H1809" s="5">
        <v>2760</v>
      </c>
      <c r="I1809" s="6">
        <v>686.91071425798896</v>
      </c>
      <c r="J1809" s="5">
        <v>5200</v>
      </c>
      <c r="K1809" s="6">
        <f t="shared" si="74"/>
        <v>4.0179894456609144</v>
      </c>
    </row>
    <row r="1810" spans="1:11" hidden="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H1810" s="5">
        <v>3975</v>
      </c>
      <c r="I1810" s="6">
        <v>845.428571394752</v>
      </c>
      <c r="J1810" s="5">
        <v>6400</v>
      </c>
      <c r="K1810" s="6">
        <f t="shared" si="74"/>
        <v>4.7017573506443187</v>
      </c>
    </row>
    <row r="1811" spans="1:11" hidden="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H1811" s="5">
        <v>7500</v>
      </c>
      <c r="I1811" s="6">
        <v>3910.1071427007355</v>
      </c>
      <c r="J1811" s="5">
        <v>29600</v>
      </c>
      <c r="K1811" s="6">
        <f t="shared" si="74"/>
        <v>1.9181060074020639</v>
      </c>
    </row>
    <row r="1812" spans="1:11" hidden="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H1812" s="5">
        <v>11475</v>
      </c>
      <c r="I1812" s="6">
        <v>4015.7857141250793</v>
      </c>
      <c r="J1812" s="5">
        <v>30400</v>
      </c>
      <c r="K1812" s="6">
        <f t="shared" si="74"/>
        <v>2.8574731862902856</v>
      </c>
    </row>
    <row r="1813" spans="1:11" hidden="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H1813" s="5">
        <v>8040</v>
      </c>
      <c r="I1813" s="6">
        <v>2747.5751230427709</v>
      </c>
      <c r="J1813" s="5">
        <v>20800</v>
      </c>
      <c r="K1813" s="6">
        <f t="shared" si="74"/>
        <v>2.9262166237319085</v>
      </c>
    </row>
    <row r="1814" spans="1:11" hidden="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H1814" s="5">
        <v>1500</v>
      </c>
      <c r="I1814" s="6">
        <v>1056.75862064738</v>
      </c>
      <c r="J1814" s="5">
        <v>9600</v>
      </c>
      <c r="K1814" s="6">
        <f t="shared" si="74"/>
        <v>1.4194348365770475</v>
      </c>
    </row>
    <row r="1815" spans="1:11" hidden="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H1815" s="5">
        <v>0</v>
      </c>
      <c r="I1815" s="6">
        <v>317.02758619421581</v>
      </c>
      <c r="J1815" s="5">
        <v>2640</v>
      </c>
      <c r="K1815" s="6">
        <f t="shared" si="74"/>
        <v>0</v>
      </c>
    </row>
    <row r="1816" spans="1:11" hidden="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H1816" s="5">
        <v>0</v>
      </c>
      <c r="I1816" s="6">
        <v>52.837931032368999</v>
      </c>
      <c r="J1816" s="5">
        <v>440</v>
      </c>
      <c r="K1816" s="6">
        <f t="shared" si="74"/>
        <v>0</v>
      </c>
    </row>
    <row r="1817" spans="1:11" hidden="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H1817" s="5">
        <v>11370</v>
      </c>
      <c r="I1817" s="6">
        <v>3592.9793102011122</v>
      </c>
      <c r="J1817" s="5">
        <v>27820</v>
      </c>
      <c r="K1817" s="6">
        <f t="shared" si="74"/>
        <v>3.1645047238982236</v>
      </c>
    </row>
    <row r="1818" spans="1:11" hidden="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H1818" s="5">
        <v>19500</v>
      </c>
      <c r="I1818" s="6">
        <v>1585.2222221588099</v>
      </c>
      <c r="J1818" s="5">
        <v>11490</v>
      </c>
      <c r="K1818" s="6">
        <f t="shared" si="74"/>
        <v>12.301114460434595</v>
      </c>
    </row>
    <row r="1819" spans="1:11" hidden="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H1819" s="5">
        <v>4075</v>
      </c>
      <c r="I1819" s="6">
        <v>1796.5851851133182</v>
      </c>
      <c r="J1819" s="5">
        <v>13600</v>
      </c>
      <c r="K1819" s="6">
        <f t="shared" si="74"/>
        <v>2.2681919197407678</v>
      </c>
    </row>
    <row r="1820" spans="1:11" hidden="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H1820" s="5">
        <v>11790</v>
      </c>
      <c r="I1820" s="6">
        <v>2219.311111022334</v>
      </c>
      <c r="J1820" s="5">
        <v>16800</v>
      </c>
      <c r="K1820" s="6">
        <f t="shared" si="74"/>
        <v>5.312459321923952</v>
      </c>
    </row>
    <row r="1821" spans="1:11" hidden="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H1821" s="5">
        <v>9450</v>
      </c>
      <c r="I1821" s="6">
        <v>2959.0814813631118</v>
      </c>
      <c r="J1821" s="5">
        <v>22400</v>
      </c>
      <c r="K1821" s="6">
        <f t="shared" si="74"/>
        <v>3.1935585618435969</v>
      </c>
    </row>
    <row r="1822" spans="1:11" hidden="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H1822" s="5">
        <v>3120</v>
      </c>
      <c r="I1822" s="6">
        <v>1912.3542857142861</v>
      </c>
      <c r="J1822" s="5">
        <v>16320</v>
      </c>
      <c r="K1822" s="6">
        <f t="shared" si="74"/>
        <v>1.6314968535417822</v>
      </c>
    </row>
    <row r="1823" spans="1:11" hidden="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H1823" s="5">
        <v>2500</v>
      </c>
      <c r="I1823" s="6">
        <v>2812.2857142428579</v>
      </c>
      <c r="J1823" s="5">
        <v>20000</v>
      </c>
      <c r="K1823" s="6">
        <f t="shared" si="74"/>
        <v>0.88895661893054367</v>
      </c>
    </row>
    <row r="1824" spans="1:11" hidden="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H1824" s="5">
        <v>6975</v>
      </c>
      <c r="I1824" s="6">
        <v>1768.8376470588223</v>
      </c>
      <c r="J1824" s="5">
        <v>12800</v>
      </c>
      <c r="K1824" s="6">
        <f t="shared" si="74"/>
        <v>3.943267496368505</v>
      </c>
    </row>
    <row r="1825" spans="1:11" hidden="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H1825" s="5">
        <v>8800</v>
      </c>
      <c r="I1825" s="6">
        <v>2263.7999998868127</v>
      </c>
      <c r="J1825" s="5">
        <v>17920</v>
      </c>
      <c r="K1825" s="6">
        <f t="shared" si="74"/>
        <v>3.8872691935860013</v>
      </c>
    </row>
    <row r="1826" spans="1:11" hidden="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H1826" s="5">
        <v>3420</v>
      </c>
      <c r="I1826" s="6">
        <v>994.97117647058747</v>
      </c>
      <c r="J1826" s="5">
        <v>7200</v>
      </c>
      <c r="K1826" s="6">
        <f t="shared" si="74"/>
        <v>3.4372855022108264</v>
      </c>
    </row>
    <row r="1827" spans="1:11" hidden="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H1827" s="5">
        <v>3330</v>
      </c>
      <c r="I1827" s="6">
        <v>994.97117647058747</v>
      </c>
      <c r="J1827" s="5">
        <v>7920</v>
      </c>
      <c r="K1827" s="6">
        <f t="shared" si="74"/>
        <v>3.3468306205736993</v>
      </c>
    </row>
    <row r="1828" spans="1:11" hidden="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H1828" s="5">
        <v>4375</v>
      </c>
      <c r="I1828" s="6">
        <v>2263.7999998868127</v>
      </c>
      <c r="J1828" s="5">
        <v>17920</v>
      </c>
      <c r="K1828" s="6">
        <f t="shared" si="74"/>
        <v>1.9325912184021312</v>
      </c>
    </row>
    <row r="1829" spans="1:11" hidden="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H1829" s="5">
        <v>48030</v>
      </c>
      <c r="I1829" s="6">
        <v>6727.0499997982479</v>
      </c>
      <c r="J1829" s="5">
        <v>49210</v>
      </c>
      <c r="K1829" s="6">
        <f t="shared" si="74"/>
        <v>7.1398309811047156</v>
      </c>
    </row>
    <row r="1830" spans="1:11" hidden="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H1830" s="5">
        <v>3480</v>
      </c>
      <c r="I1830" s="6">
        <v>994.95</v>
      </c>
      <c r="J1830" s="5">
        <v>7200</v>
      </c>
      <c r="K1830" s="6">
        <f t="shared" si="74"/>
        <v>3.4976631991557361</v>
      </c>
    </row>
    <row r="1831" spans="1:11" hidden="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H1831" s="5">
        <v>2640</v>
      </c>
      <c r="I1831" s="6">
        <v>831.6</v>
      </c>
      <c r="J1831" s="5">
        <v>6300</v>
      </c>
      <c r="K1831" s="6">
        <f t="shared" si="74"/>
        <v>3.1746031746031744</v>
      </c>
    </row>
    <row r="1832" spans="1:11" hidden="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H1832" s="5">
        <v>6075</v>
      </c>
      <c r="I1832" s="6">
        <v>1267.2</v>
      </c>
      <c r="J1832" s="5">
        <v>9600</v>
      </c>
      <c r="K1832" s="6">
        <f t="shared" si="74"/>
        <v>4.7940340909090908</v>
      </c>
    </row>
    <row r="1833" spans="1:11" hidden="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H1833" s="5">
        <v>2370</v>
      </c>
      <c r="I1833" s="6">
        <v>316.8</v>
      </c>
      <c r="J1833" s="5">
        <v>2400</v>
      </c>
      <c r="K1833" s="6">
        <f t="shared" si="74"/>
        <v>7.4810606060606055</v>
      </c>
    </row>
    <row r="1834" spans="1:11" hidden="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H1834" s="5">
        <v>12660</v>
      </c>
      <c r="I1834" s="6">
        <v>3603.6</v>
      </c>
      <c r="J1834" s="5">
        <v>27296</v>
      </c>
      <c r="K1834" s="6">
        <f t="shared" si="74"/>
        <v>3.5131535131535134</v>
      </c>
    </row>
    <row r="1835" spans="1:11" hidden="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H1835" s="5">
        <v>9650</v>
      </c>
      <c r="I1835" s="6">
        <v>3682.8</v>
      </c>
      <c r="J1835" s="5">
        <v>27900</v>
      </c>
      <c r="K1835" s="6">
        <f t="shared" si="74"/>
        <v>2.6202889106114911</v>
      </c>
    </row>
    <row r="1836" spans="1:11" hidden="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H1836" s="5">
        <v>7575</v>
      </c>
      <c r="I1836" s="6">
        <v>2376</v>
      </c>
      <c r="J1836" s="5">
        <v>18000</v>
      </c>
      <c r="K1836" s="6">
        <f t="shared" si="74"/>
        <v>3.1881313131313131</v>
      </c>
    </row>
    <row r="1837" spans="1:11" hidden="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H1837" s="5">
        <v>3300</v>
      </c>
      <c r="I1837" s="6">
        <v>950.4</v>
      </c>
      <c r="J1837" s="5">
        <v>7200</v>
      </c>
      <c r="K1837" s="6">
        <f t="shared" si="74"/>
        <v>3.4722222222222223</v>
      </c>
    </row>
    <row r="1838" spans="1:11" hidden="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H1838" s="5">
        <v>5600</v>
      </c>
      <c r="I1838" s="6">
        <v>1346.4</v>
      </c>
      <c r="J1838" s="5">
        <v>10200</v>
      </c>
      <c r="K1838" s="6">
        <f t="shared" si="74"/>
        <v>4.1592394533570998</v>
      </c>
    </row>
    <row r="1839" spans="1:11" hidden="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H1839" s="5">
        <v>17610</v>
      </c>
      <c r="I1839" s="6">
        <v>2851.2</v>
      </c>
      <c r="J1839" s="5">
        <v>21600</v>
      </c>
      <c r="K1839" s="6">
        <f t="shared" si="74"/>
        <v>6.1763468013468019</v>
      </c>
    </row>
    <row r="1840" spans="1:11" hidden="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H1840" s="5">
        <v>8190</v>
      </c>
      <c r="I1840" s="6">
        <v>2138.4</v>
      </c>
      <c r="J1840" s="5">
        <v>16200</v>
      </c>
      <c r="K1840" s="6">
        <f t="shared" si="74"/>
        <v>3.82996632996633</v>
      </c>
    </row>
    <row r="1841" spans="1:11" hidden="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H1841" s="5">
        <v>3525</v>
      </c>
      <c r="I1841" s="6">
        <v>963.6</v>
      </c>
      <c r="J1841" s="5">
        <v>7570</v>
      </c>
      <c r="K1841" s="6">
        <f t="shared" si="74"/>
        <v>3.6581569115815689</v>
      </c>
    </row>
    <row r="1842" spans="1:11" hidden="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H1842" s="5">
        <v>12325</v>
      </c>
      <c r="I1842" s="6">
        <v>3168</v>
      </c>
      <c r="J1842" s="5">
        <v>24000</v>
      </c>
      <c r="K1842" s="6">
        <f t="shared" si="74"/>
        <v>3.8904671717171717</v>
      </c>
    </row>
    <row r="1843" spans="1:11" hidden="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H1843" s="5">
        <v>5070</v>
      </c>
      <c r="I1843" s="6">
        <v>1188</v>
      </c>
      <c r="J1843" s="5">
        <v>9000</v>
      </c>
      <c r="K1843" s="6">
        <f t="shared" si="74"/>
        <v>4.2676767676767673</v>
      </c>
    </row>
    <row r="1844" spans="1:11" hidden="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H1844" s="5">
        <v>8050</v>
      </c>
      <c r="I1844" s="6">
        <v>2732.4</v>
      </c>
      <c r="J1844" s="5">
        <v>20700</v>
      </c>
      <c r="K1844" s="6">
        <f t="shared" si="74"/>
        <v>2.9461279461279459</v>
      </c>
    </row>
    <row r="1845" spans="1:11" hidden="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H1845" s="5">
        <v>1410</v>
      </c>
      <c r="I1845" s="6">
        <v>673.2</v>
      </c>
      <c r="J1845" s="5">
        <v>5100</v>
      </c>
      <c r="K1845" s="6">
        <f t="shared" si="74"/>
        <v>2.0944741532976825</v>
      </c>
    </row>
    <row r="1846" spans="1:11" hidden="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H1846" s="5">
        <v>1320</v>
      </c>
      <c r="I1846" s="6">
        <v>1100.4749999999999</v>
      </c>
      <c r="J1846" s="5">
        <v>8000</v>
      </c>
      <c r="K1846" s="6">
        <f t="shared" si="74"/>
        <v>1.1994820418455667</v>
      </c>
    </row>
    <row r="1847" spans="1:11" hidden="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H1847" s="5">
        <v>5750</v>
      </c>
      <c r="I1847" s="6">
        <v>1287</v>
      </c>
      <c r="J1847" s="5">
        <v>9400</v>
      </c>
      <c r="K1847" s="6">
        <f t="shared" si="74"/>
        <v>4.4677544677544674</v>
      </c>
    </row>
    <row r="1848" spans="1:11" hidden="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H1848" s="5">
        <v>5130</v>
      </c>
      <c r="I1848" s="6">
        <v>2641.14</v>
      </c>
      <c r="J1848" s="5">
        <v>19200</v>
      </c>
      <c r="K1848" s="6">
        <f t="shared" si="74"/>
        <v>1.9423430791249234</v>
      </c>
    </row>
    <row r="1849" spans="1:11" hidden="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H1849" s="5">
        <v>21825</v>
      </c>
      <c r="I1849" s="6">
        <v>2641.14</v>
      </c>
      <c r="J1849" s="5">
        <v>19200</v>
      </c>
      <c r="K1849" s="6">
        <f t="shared" si="74"/>
        <v>8.2634771348735772</v>
      </c>
    </row>
    <row r="1850" spans="1:11" hidden="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H1850" s="5">
        <v>2670</v>
      </c>
      <c r="I1850" s="6">
        <v>1430.6174906250001</v>
      </c>
      <c r="J1850" s="5">
        <v>10400</v>
      </c>
      <c r="K1850" s="6">
        <f t="shared" si="74"/>
        <v>1.8663269654515027</v>
      </c>
    </row>
    <row r="1851" spans="1:11" hidden="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H1851" s="5">
        <v>2790</v>
      </c>
      <c r="I1851" s="6">
        <v>1430.6175000000001</v>
      </c>
      <c r="J1851" s="5">
        <v>10400</v>
      </c>
      <c r="K1851" s="6">
        <f t="shared" si="74"/>
        <v>1.9502068162873722</v>
      </c>
    </row>
    <row r="1852" spans="1:11" hidden="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H1852" s="5">
        <v>5130</v>
      </c>
      <c r="I1852" s="6">
        <v>2861.2350000000001</v>
      </c>
      <c r="J1852" s="5">
        <v>20800</v>
      </c>
      <c r="K1852" s="6">
        <f t="shared" si="74"/>
        <v>1.7929320730383906</v>
      </c>
    </row>
    <row r="1853" spans="1:11" hidden="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H1853" s="5">
        <v>10625</v>
      </c>
      <c r="I1853" s="6">
        <v>3071.9505625000002</v>
      </c>
      <c r="J1853" s="5">
        <v>22400</v>
      </c>
      <c r="K1853" s="6">
        <f t="shared" si="74"/>
        <v>3.4587145150386838</v>
      </c>
    </row>
    <row r="1854" spans="1:11" hidden="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H1854" s="5">
        <v>9380</v>
      </c>
      <c r="I1854" s="6">
        <v>1097.125</v>
      </c>
      <c r="J1854" s="5">
        <v>8000</v>
      </c>
      <c r="K1854" s="6">
        <f t="shared" si="74"/>
        <v>8.5496183206106871</v>
      </c>
    </row>
    <row r="1855" spans="1:11" hidden="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H1855" s="5">
        <v>11060</v>
      </c>
      <c r="I1855" s="6">
        <v>2852.5250000000001</v>
      </c>
      <c r="J1855" s="5">
        <v>20800</v>
      </c>
      <c r="K1855" s="6">
        <f t="shared" si="74"/>
        <v>3.8772666321942837</v>
      </c>
    </row>
    <row r="1856" spans="1:11" hidden="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H1856" s="5">
        <v>9510</v>
      </c>
      <c r="I1856" s="6">
        <v>2633.1</v>
      </c>
      <c r="J1856" s="5">
        <v>19200</v>
      </c>
      <c r="K1856" s="6">
        <f t="shared" si="74"/>
        <v>3.6117124302153356</v>
      </c>
    </row>
    <row r="1857" spans="1:11" hidden="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H1857" s="5">
        <v>9180</v>
      </c>
      <c r="I1857" s="6">
        <v>2633.1</v>
      </c>
      <c r="J1857" s="5">
        <v>19200</v>
      </c>
      <c r="K1857" s="6">
        <f t="shared" ref="K1857:K1920" si="76">+H1857/I1857</f>
        <v>3.4863848695454029</v>
      </c>
    </row>
    <row r="1858" spans="1:11" hidden="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H1858" s="5">
        <v>3660</v>
      </c>
      <c r="I1858" s="6">
        <v>2852.5250000000001</v>
      </c>
      <c r="J1858" s="5">
        <v>20800</v>
      </c>
      <c r="K1858" s="6">
        <f t="shared" si="76"/>
        <v>1.2830737679774935</v>
      </c>
    </row>
    <row r="1859" spans="1:11" hidden="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H1859" s="5">
        <v>21510</v>
      </c>
      <c r="I1859" s="6">
        <v>2852.5250000000001</v>
      </c>
      <c r="J1859" s="5">
        <v>20800</v>
      </c>
      <c r="K1859" s="6">
        <f t="shared" si="76"/>
        <v>7.5406876363923185</v>
      </c>
    </row>
    <row r="1860" spans="1:11" hidden="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H1860" s="5">
        <v>10050</v>
      </c>
      <c r="I1860" s="6">
        <v>3071.95</v>
      </c>
      <c r="J1860" s="5">
        <v>22400</v>
      </c>
      <c r="K1860" s="6">
        <f t="shared" si="76"/>
        <v>3.2715376226826609</v>
      </c>
    </row>
    <row r="1861" spans="1:11" hidden="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H1861" s="5">
        <v>2950</v>
      </c>
      <c r="I1861" s="6">
        <v>1645.6875</v>
      </c>
      <c r="J1861" s="5">
        <v>12000</v>
      </c>
      <c r="K1861" s="6">
        <f t="shared" si="76"/>
        <v>1.7925638980669174</v>
      </c>
    </row>
    <row r="1862" spans="1:11" hidden="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H1862" s="5">
        <v>12240</v>
      </c>
      <c r="I1862" s="6">
        <v>4121.4642855494085</v>
      </c>
      <c r="J1862" s="5">
        <v>31200</v>
      </c>
      <c r="K1862" s="6">
        <f t="shared" si="76"/>
        <v>2.969818285922222</v>
      </c>
    </row>
    <row r="1863" spans="1:11" hidden="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H1863" s="5">
        <v>1935</v>
      </c>
      <c r="I1863" s="6">
        <v>1056.7857142434418</v>
      </c>
      <c r="J1863" s="5">
        <v>8000</v>
      </c>
      <c r="K1863" s="6">
        <f t="shared" si="76"/>
        <v>1.8310239946660105</v>
      </c>
    </row>
    <row r="1864" spans="1:11" hidden="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H1864" s="5">
        <v>12060</v>
      </c>
      <c r="I1864" s="6">
        <v>2641.9642856076484</v>
      </c>
      <c r="J1864" s="5">
        <v>19996</v>
      </c>
      <c r="K1864" s="6">
        <f t="shared" si="76"/>
        <v>4.5647854006573807</v>
      </c>
    </row>
    <row r="1865" spans="1:11" hidden="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H1865" s="5">
        <v>2280</v>
      </c>
      <c r="I1865" s="6">
        <v>528.39285712153003</v>
      </c>
      <c r="J1865" s="5">
        <v>4000</v>
      </c>
      <c r="K1865" s="6">
        <f t="shared" si="76"/>
        <v>4.3149712742532422</v>
      </c>
    </row>
    <row r="1866" spans="1:11" hidden="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H1866" s="5">
        <v>6270</v>
      </c>
      <c r="I1866" s="6">
        <v>1902.2142856375078</v>
      </c>
      <c r="J1866" s="5">
        <v>14400</v>
      </c>
      <c r="K1866" s="6">
        <f t="shared" si="76"/>
        <v>3.2961586122767832</v>
      </c>
    </row>
    <row r="1867" spans="1:11" hidden="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H1867" s="5">
        <v>1340</v>
      </c>
      <c r="I1867" s="6">
        <v>634.05652706821195</v>
      </c>
      <c r="J1867" s="5">
        <v>4800</v>
      </c>
      <c r="K1867" s="6">
        <f t="shared" si="76"/>
        <v>2.113376241383353</v>
      </c>
    </row>
    <row r="1868" spans="1:11" hidden="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H1868" s="5">
        <v>14080</v>
      </c>
      <c r="I1868" s="6">
        <v>4487.9999999102474</v>
      </c>
      <c r="J1868" s="5">
        <v>31740</v>
      </c>
      <c r="K1868" s="6">
        <f t="shared" si="76"/>
        <v>3.1372549020235243</v>
      </c>
    </row>
    <row r="1869" spans="1:11" hidden="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H1869" s="5">
        <v>7150</v>
      </c>
      <c r="I1869" s="6">
        <v>1702.8</v>
      </c>
      <c r="J1869" s="5">
        <v>12900</v>
      </c>
      <c r="K1869" s="6">
        <f t="shared" si="76"/>
        <v>4.1989664082687339</v>
      </c>
    </row>
    <row r="1870" spans="1:11" hidden="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H1870" s="5">
        <v>8740</v>
      </c>
      <c r="I1870" s="6">
        <v>3009.6</v>
      </c>
      <c r="J1870" s="5">
        <v>22800</v>
      </c>
      <c r="K1870" s="6">
        <f t="shared" si="76"/>
        <v>2.904040404040404</v>
      </c>
    </row>
    <row r="1871" spans="1:11" hidden="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H1871" s="5">
        <v>3840</v>
      </c>
      <c r="I1871" s="6">
        <v>1386</v>
      </c>
      <c r="J1871" s="5">
        <v>10500</v>
      </c>
      <c r="K1871" s="6">
        <f t="shared" si="76"/>
        <v>2.7705627705627704</v>
      </c>
    </row>
    <row r="1872" spans="1:11" hidden="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H1872" s="5">
        <v>4380</v>
      </c>
      <c r="I1872" s="6">
        <v>1386</v>
      </c>
      <c r="J1872" s="5">
        <v>10500</v>
      </c>
      <c r="K1872" s="6">
        <f t="shared" si="76"/>
        <v>3.16017316017316</v>
      </c>
    </row>
    <row r="1873" spans="1:11" hidden="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H1873" s="5">
        <v>2950</v>
      </c>
      <c r="I1873" s="6">
        <v>1029.5999999999999</v>
      </c>
      <c r="J1873" s="5">
        <v>7800</v>
      </c>
      <c r="K1873" s="6">
        <f t="shared" si="76"/>
        <v>2.8651903651903656</v>
      </c>
    </row>
    <row r="1874" spans="1:11" hidden="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H1874" s="5">
        <v>4775</v>
      </c>
      <c r="I1874" s="6">
        <v>2653.2</v>
      </c>
      <c r="J1874" s="5">
        <v>20100</v>
      </c>
      <c r="K1874" s="6">
        <f t="shared" si="76"/>
        <v>1.7997135534448969</v>
      </c>
    </row>
    <row r="1875" spans="1:11" hidden="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H1875" s="5">
        <v>5520</v>
      </c>
      <c r="I1875" s="6">
        <v>1768.8</v>
      </c>
      <c r="J1875" s="5">
        <v>13400</v>
      </c>
      <c r="K1875" s="6">
        <f t="shared" si="76"/>
        <v>3.1207598371777476</v>
      </c>
    </row>
    <row r="1876" spans="1:11" hidden="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H1876" s="5">
        <v>3180</v>
      </c>
      <c r="I1876" s="6">
        <v>1029.5999999999999</v>
      </c>
      <c r="J1876" s="5">
        <v>7800</v>
      </c>
      <c r="K1876" s="6">
        <f t="shared" si="76"/>
        <v>3.0885780885780889</v>
      </c>
    </row>
    <row r="1877" spans="1:11" hidden="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H1877" s="5">
        <v>5800</v>
      </c>
      <c r="I1877" s="6">
        <v>1346.4</v>
      </c>
      <c r="J1877" s="5">
        <v>10200</v>
      </c>
      <c r="K1877" s="6">
        <f t="shared" si="76"/>
        <v>4.307783719548425</v>
      </c>
    </row>
    <row r="1878" spans="1:11" hidden="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H1878" s="5">
        <v>960</v>
      </c>
      <c r="I1878" s="6">
        <v>440.18999062500001</v>
      </c>
      <c r="J1878" s="5">
        <v>3200</v>
      </c>
      <c r="K1878" s="6">
        <f t="shared" si="76"/>
        <v>2.1808764861666941</v>
      </c>
    </row>
    <row r="1879" spans="1:11" hidden="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H1879" s="5">
        <v>1900</v>
      </c>
      <c r="I1879" s="6">
        <v>880.38</v>
      </c>
      <c r="J1879" s="5">
        <v>6400</v>
      </c>
      <c r="K1879" s="6">
        <f t="shared" si="76"/>
        <v>2.1581589768054705</v>
      </c>
    </row>
    <row r="1880" spans="1:11" hidden="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H1880" s="5">
        <v>725</v>
      </c>
      <c r="I1880" s="6">
        <v>330.14249999999998</v>
      </c>
      <c r="J1880" s="5">
        <v>2400</v>
      </c>
      <c r="K1880" s="6">
        <f t="shared" si="76"/>
        <v>2.1960214149950401</v>
      </c>
    </row>
    <row r="1881" spans="1:11" hidden="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H1881" s="5">
        <v>3200</v>
      </c>
      <c r="I1881" s="6">
        <v>1650.7125000000001</v>
      </c>
      <c r="J1881" s="5">
        <v>12000</v>
      </c>
      <c r="K1881" s="6">
        <f t="shared" si="76"/>
        <v>1.9385568353059663</v>
      </c>
    </row>
    <row r="1882" spans="1:11" hidden="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H1882" s="5">
        <v>5900</v>
      </c>
      <c r="I1882" s="6">
        <v>1287.0000000000018</v>
      </c>
      <c r="J1882" s="5">
        <v>9400</v>
      </c>
      <c r="K1882" s="6">
        <f t="shared" si="76"/>
        <v>4.5843045843045775</v>
      </c>
    </row>
    <row r="1883" spans="1:11" hidden="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H1883" s="5">
        <v>10350</v>
      </c>
      <c r="I1883" s="6">
        <v>2641.14</v>
      </c>
      <c r="J1883" s="5">
        <v>19200</v>
      </c>
      <c r="K1883" s="6">
        <f t="shared" si="76"/>
        <v>3.9187623526204596</v>
      </c>
    </row>
    <row r="1884" spans="1:11" hidden="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H1884" s="5">
        <v>2670</v>
      </c>
      <c r="I1884" s="6">
        <v>880.38</v>
      </c>
      <c r="J1884" s="5">
        <v>6400</v>
      </c>
      <c r="K1884" s="6">
        <f t="shared" si="76"/>
        <v>3.0327812989845295</v>
      </c>
    </row>
    <row r="1885" spans="1:11" hidden="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H1885" s="5">
        <v>2720</v>
      </c>
      <c r="I1885" s="6">
        <v>880.38</v>
      </c>
      <c r="J1885" s="5">
        <v>6400</v>
      </c>
      <c r="K1885" s="6">
        <f t="shared" si="76"/>
        <v>3.0895749562688839</v>
      </c>
    </row>
    <row r="1886" spans="1:11" hidden="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H1886" s="5">
        <v>1610</v>
      </c>
      <c r="I1886" s="6">
        <v>1755.4</v>
      </c>
      <c r="J1886" s="5">
        <v>12800</v>
      </c>
      <c r="K1886" s="6">
        <f t="shared" si="76"/>
        <v>0.91716987581178078</v>
      </c>
    </row>
    <row r="1887" spans="1:11" hidden="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H1887" s="5">
        <v>8120</v>
      </c>
      <c r="I1887" s="6">
        <v>2413.6749943750001</v>
      </c>
      <c r="J1887" s="5">
        <v>17600</v>
      </c>
      <c r="K1887" s="6">
        <f t="shared" si="76"/>
        <v>3.3641646116082016</v>
      </c>
    </row>
    <row r="1888" spans="1:11" hidden="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H1888" s="5">
        <v>7380</v>
      </c>
      <c r="I1888" s="6">
        <v>1645.6875</v>
      </c>
      <c r="J1888" s="5">
        <v>12000</v>
      </c>
      <c r="K1888" s="6">
        <f t="shared" si="76"/>
        <v>4.4844479890623221</v>
      </c>
    </row>
    <row r="1889" spans="1:11" hidden="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H1889" s="5">
        <v>1860</v>
      </c>
      <c r="I1889" s="6">
        <v>726.32013058333712</v>
      </c>
      <c r="J1889" s="5">
        <v>5712</v>
      </c>
      <c r="K1889" s="6">
        <f t="shared" si="76"/>
        <v>2.5608542592729169</v>
      </c>
    </row>
    <row r="1890" spans="1:11" hidden="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H1890" s="5">
        <v>2640</v>
      </c>
      <c r="I1890" s="6">
        <v>924.39958333667107</v>
      </c>
      <c r="J1890" s="5">
        <v>6720</v>
      </c>
      <c r="K1890" s="6">
        <f t="shared" si="76"/>
        <v>2.8559078212376243</v>
      </c>
    </row>
    <row r="1891" spans="1:11" hidden="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H1891" s="5">
        <v>3140</v>
      </c>
      <c r="I1891" s="6">
        <v>1122.485208333339</v>
      </c>
      <c r="J1891" s="5">
        <v>8160</v>
      </c>
      <c r="K1891" s="6">
        <f t="shared" si="76"/>
        <v>2.797364256284729</v>
      </c>
    </row>
    <row r="1892" spans="1:11" hidden="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H1892" s="5">
        <v>400</v>
      </c>
      <c r="I1892" s="6">
        <v>396.17125000000198</v>
      </c>
      <c r="J1892" s="5">
        <v>2880</v>
      </c>
      <c r="K1892" s="6">
        <f t="shared" si="76"/>
        <v>1.0096643812492654</v>
      </c>
    </row>
    <row r="1893" spans="1:11" hidden="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H1893" s="5">
        <v>5310</v>
      </c>
      <c r="I1893" s="6">
        <v>1535.9749999999999</v>
      </c>
      <c r="J1893" s="5">
        <v>11200</v>
      </c>
      <c r="K1893" s="6">
        <f t="shared" si="76"/>
        <v>3.4570875177004834</v>
      </c>
    </row>
    <row r="1894" spans="1:11" hidden="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H1894" s="5">
        <v>5040</v>
      </c>
      <c r="I1894" s="6">
        <v>1535.9749999999999</v>
      </c>
      <c r="J1894" s="5">
        <v>11200</v>
      </c>
      <c r="K1894" s="6">
        <f t="shared" si="76"/>
        <v>3.2813034066309674</v>
      </c>
    </row>
    <row r="1895" spans="1:11" hidden="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H1895" s="5">
        <v>1650</v>
      </c>
      <c r="I1895" s="6">
        <v>594.25687500000299</v>
      </c>
      <c r="J1895" s="5">
        <v>4320</v>
      </c>
      <c r="K1895" s="6">
        <f t="shared" si="76"/>
        <v>2.7765770484354797</v>
      </c>
    </row>
    <row r="1896" spans="1:11" hidden="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H1896" s="5">
        <v>4800</v>
      </c>
      <c r="I1896" s="6">
        <v>2575.1131250013459</v>
      </c>
      <c r="J1896" s="5">
        <v>18720</v>
      </c>
      <c r="K1896" s="6">
        <f t="shared" si="76"/>
        <v>1.8639957807669094</v>
      </c>
    </row>
    <row r="1897" spans="1:11" hidden="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H1897" s="5">
        <v>2400</v>
      </c>
      <c r="I1897" s="6">
        <v>528.37931032368999</v>
      </c>
      <c r="J1897" s="5">
        <v>4000</v>
      </c>
      <c r="K1897" s="6">
        <f t="shared" ref="K1897:K1903" si="77">IFERROR(H1897/I1897,"")</f>
        <v>4.5421914770465524</v>
      </c>
    </row>
    <row r="1898" spans="1:11" hidden="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H1898" s="5">
        <v>3700</v>
      </c>
      <c r="I1898" s="6">
        <v>2272.0310343918732</v>
      </c>
      <c r="J1898" s="5">
        <v>17200</v>
      </c>
      <c r="K1898" s="6">
        <f t="shared" si="77"/>
        <v>1.6284988822744377</v>
      </c>
    </row>
    <row r="1899" spans="1:11" hidden="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H1899" s="5">
        <v>4600</v>
      </c>
      <c r="I1899" s="6">
        <v>1162.4344827121224</v>
      </c>
      <c r="J1899" s="5">
        <v>8800</v>
      </c>
      <c r="K1899" s="6">
        <f t="shared" si="77"/>
        <v>3.9572122716693294</v>
      </c>
    </row>
    <row r="1900" spans="1:11" hidden="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H1900" s="5">
        <v>2940</v>
      </c>
      <c r="I1900" s="6">
        <v>1162.4344827121181</v>
      </c>
      <c r="J1900" s="5">
        <v>8800</v>
      </c>
      <c r="K1900" s="6">
        <f t="shared" si="77"/>
        <v>2.5291747997191028</v>
      </c>
    </row>
    <row r="1901" spans="1:11" hidden="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H1901" s="5">
        <v>4560</v>
      </c>
      <c r="I1901" s="6">
        <v>1056.7586206473827</v>
      </c>
      <c r="J1901" s="5">
        <v>8000</v>
      </c>
      <c r="K1901" s="6">
        <f t="shared" si="77"/>
        <v>4.3150819031942138</v>
      </c>
    </row>
    <row r="1902" spans="1:11" hidden="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H1902" s="5">
        <v>4530</v>
      </c>
      <c r="I1902" s="6">
        <v>1109.596551679753</v>
      </c>
      <c r="J1902" s="5">
        <v>8400</v>
      </c>
      <c r="K1902" s="6">
        <f t="shared" si="77"/>
        <v>4.0825649585358743</v>
      </c>
    </row>
    <row r="1903" spans="1:11" hidden="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H1903" s="5">
        <v>6650</v>
      </c>
      <c r="I1903" s="6">
        <v>1902.1655171652881</v>
      </c>
      <c r="J1903" s="5">
        <v>14400</v>
      </c>
      <c r="K1903" s="6">
        <f t="shared" si="77"/>
        <v>3.4960154308286469</v>
      </c>
    </row>
    <row r="1904" spans="1:11" hidden="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H1904" s="5">
        <v>2400</v>
      </c>
      <c r="I1904" s="6">
        <v>951.10714281909407</v>
      </c>
      <c r="J1904" s="5">
        <v>7200</v>
      </c>
      <c r="K1904" s="6">
        <f t="shared" si="76"/>
        <v>2.5233750141822808</v>
      </c>
    </row>
    <row r="1905" spans="1:11" hidden="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H1905" s="5">
        <v>14430</v>
      </c>
      <c r="I1905" s="6">
        <v>3804.4285712763772</v>
      </c>
      <c r="J1905" s="5">
        <v>28800</v>
      </c>
      <c r="K1905" s="6">
        <f t="shared" si="76"/>
        <v>3.7929480681927399</v>
      </c>
    </row>
    <row r="1906" spans="1:11" hidden="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H1906" s="5">
        <v>11640</v>
      </c>
      <c r="I1906" s="6">
        <v>2641.8965516184649</v>
      </c>
      <c r="J1906" s="5">
        <v>20000</v>
      </c>
      <c r="K1906" s="6">
        <f t="shared" si="76"/>
        <v>4.4059257327351311</v>
      </c>
    </row>
    <row r="1907" spans="1:11" hidden="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H1907" s="5">
        <v>21060</v>
      </c>
      <c r="I1907" s="6">
        <v>3592.9793102010913</v>
      </c>
      <c r="J1907" s="5">
        <v>26044</v>
      </c>
      <c r="K1907" s="6">
        <f t="shared" si="76"/>
        <v>5.8614309133946332</v>
      </c>
    </row>
    <row r="1908" spans="1:11" hidden="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H1908" s="5">
        <v>2125</v>
      </c>
      <c r="I1908" s="6">
        <v>1268.1103447768633</v>
      </c>
      <c r="J1908" s="5">
        <v>9600</v>
      </c>
      <c r="K1908" s="6">
        <f t="shared" si="76"/>
        <v>1.675721682070116</v>
      </c>
    </row>
    <row r="1909" spans="1:11" hidden="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H1909" s="5">
        <v>2825</v>
      </c>
      <c r="I1909" s="6">
        <v>528.37931032368999</v>
      </c>
      <c r="J1909" s="5">
        <v>4000</v>
      </c>
      <c r="K1909" s="6">
        <f t="shared" si="76"/>
        <v>5.3465378844402123</v>
      </c>
    </row>
    <row r="1910" spans="1:11" hidden="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H1910" s="5">
        <v>4200</v>
      </c>
      <c r="I1910" s="6">
        <v>1162.4344827121247</v>
      </c>
      <c r="J1910" s="5">
        <v>8800</v>
      </c>
      <c r="K1910" s="6">
        <f t="shared" si="76"/>
        <v>3.6131068567415547</v>
      </c>
    </row>
    <row r="1911" spans="1:11" hidden="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H1911" s="5">
        <v>1260</v>
      </c>
      <c r="I1911" s="6">
        <v>528.3915024419166</v>
      </c>
      <c r="J1911" s="5">
        <v>4000</v>
      </c>
      <c r="K1911" s="6">
        <f t="shared" si="76"/>
        <v>2.3845955019659035</v>
      </c>
    </row>
    <row r="1912" spans="1:11" hidden="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H1912" s="5">
        <v>21660</v>
      </c>
      <c r="I1912" s="6">
        <v>3910.1071427007282</v>
      </c>
      <c r="J1912" s="5">
        <v>29260</v>
      </c>
      <c r="K1912" s="6">
        <f t="shared" si="76"/>
        <v>5.5394901493771709</v>
      </c>
    </row>
    <row r="1913" spans="1:11" hidden="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H1913" s="5">
        <v>3480</v>
      </c>
      <c r="I1913" s="6">
        <v>1902.2142856381945</v>
      </c>
      <c r="J1913" s="5">
        <v>14400</v>
      </c>
      <c r="K1913" s="6">
        <f t="shared" si="76"/>
        <v>1.8294468852821475</v>
      </c>
    </row>
    <row r="1914" spans="1:11" hidden="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H1914" s="5">
        <v>2790</v>
      </c>
      <c r="I1914" s="6">
        <v>1162.4642856677858</v>
      </c>
      <c r="J1914" s="5">
        <v>8800</v>
      </c>
      <c r="K1914" s="6">
        <f t="shared" si="76"/>
        <v>2.4000737350801833</v>
      </c>
    </row>
    <row r="1915" spans="1:11" hidden="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H1915" s="5">
        <v>1890</v>
      </c>
      <c r="I1915" s="6">
        <v>317.03571427303262</v>
      </c>
      <c r="J1915" s="5">
        <v>2400</v>
      </c>
      <c r="K1915" s="6">
        <f t="shared" si="76"/>
        <v>5.9614734710056148</v>
      </c>
    </row>
    <row r="1916" spans="1:11" hidden="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H1916" s="5">
        <v>1925</v>
      </c>
      <c r="I1916" s="6">
        <v>951.10714281875391</v>
      </c>
      <c r="J1916" s="5">
        <v>7200</v>
      </c>
      <c r="K1916" s="6">
        <f t="shared" si="76"/>
        <v>2.0239570426260949</v>
      </c>
    </row>
    <row r="1917" spans="1:11" hidden="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H1917" s="5">
        <v>2430</v>
      </c>
      <c r="I1917" s="6">
        <v>898.26785710660101</v>
      </c>
      <c r="J1917" s="5">
        <v>6800</v>
      </c>
      <c r="K1917" s="6">
        <f t="shared" si="76"/>
        <v>2.705206449028736</v>
      </c>
    </row>
    <row r="1918" spans="1:11" hidden="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H1918" s="5">
        <v>4125</v>
      </c>
      <c r="I1918" s="6">
        <v>1162.4642856673661</v>
      </c>
      <c r="J1918" s="5">
        <v>8800</v>
      </c>
      <c r="K1918" s="6">
        <f t="shared" si="76"/>
        <v>3.548496113695101</v>
      </c>
    </row>
    <row r="1919" spans="1:11" hidden="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H1919" s="5">
        <v>3750</v>
      </c>
      <c r="I1919" s="6">
        <v>686.91071425798896</v>
      </c>
      <c r="J1919" s="5">
        <v>5200</v>
      </c>
      <c r="K1919" s="6">
        <f t="shared" si="76"/>
        <v>5.4592247903001558</v>
      </c>
    </row>
    <row r="1920" spans="1:11" hidden="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H1920" s="5">
        <v>2400</v>
      </c>
      <c r="I1920" s="6">
        <v>845.428571394752</v>
      </c>
      <c r="J1920" s="5">
        <v>6400</v>
      </c>
      <c r="K1920" s="6">
        <f t="shared" si="76"/>
        <v>2.8387968909550603</v>
      </c>
    </row>
    <row r="1921" spans="1:11" hidden="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H1921" s="5">
        <v>8275</v>
      </c>
      <c r="I1921" s="6">
        <v>3910.1071427007355</v>
      </c>
      <c r="J1921" s="5">
        <v>29600</v>
      </c>
      <c r="K1921" s="6">
        <f t="shared" ref="K1921:K1983" si="79">+H1921/I1921</f>
        <v>2.1163102948336103</v>
      </c>
    </row>
    <row r="1922" spans="1:11" hidden="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H1922" s="5">
        <v>15575</v>
      </c>
      <c r="I1922" s="6">
        <v>4015.7857141250793</v>
      </c>
      <c r="J1922" s="5">
        <v>30400</v>
      </c>
      <c r="K1922" s="6">
        <f t="shared" si="79"/>
        <v>3.8784439979495597</v>
      </c>
    </row>
    <row r="1923" spans="1:11" hidden="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H1923" s="5">
        <v>8610</v>
      </c>
      <c r="I1923" s="6">
        <v>2747.5751230427709</v>
      </c>
      <c r="J1923" s="5">
        <v>20800</v>
      </c>
      <c r="K1923" s="6">
        <f t="shared" si="79"/>
        <v>3.1336722798920063</v>
      </c>
    </row>
    <row r="1924" spans="1:11" hidden="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H1924" s="5">
        <v>1850</v>
      </c>
      <c r="I1924" s="6">
        <v>1056.75862064738</v>
      </c>
      <c r="J1924" s="5">
        <v>9600</v>
      </c>
      <c r="K1924" s="6">
        <f t="shared" si="79"/>
        <v>1.7506362984450252</v>
      </c>
    </row>
    <row r="1925" spans="1:11" hidden="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H1925" s="5">
        <v>0</v>
      </c>
      <c r="I1925" s="6">
        <v>317.02758619421581</v>
      </c>
      <c r="J1925" s="5">
        <v>2640</v>
      </c>
      <c r="K1925" s="6">
        <f t="shared" si="79"/>
        <v>0</v>
      </c>
    </row>
    <row r="1926" spans="1:11" hidden="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H1926" s="5">
        <v>0</v>
      </c>
      <c r="I1926" s="6">
        <v>52.837931032368999</v>
      </c>
      <c r="J1926" s="5">
        <v>440</v>
      </c>
      <c r="K1926" s="6">
        <f t="shared" si="79"/>
        <v>0</v>
      </c>
    </row>
    <row r="1927" spans="1:11" hidden="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H1927" s="5">
        <v>19470</v>
      </c>
      <c r="I1927" s="6">
        <v>3592.9793102011122</v>
      </c>
      <c r="J1927" s="5">
        <v>27820</v>
      </c>
      <c r="K1927" s="6">
        <f t="shared" si="79"/>
        <v>5.4189012290499923</v>
      </c>
    </row>
    <row r="1928" spans="1:11" hidden="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H1928" s="5">
        <v>10350</v>
      </c>
      <c r="I1928" s="6">
        <v>1585.2222221588099</v>
      </c>
      <c r="J1928" s="5">
        <v>11490</v>
      </c>
      <c r="K1928" s="6">
        <f t="shared" si="79"/>
        <v>6.5290530597691312</v>
      </c>
    </row>
    <row r="1929" spans="1:11" hidden="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H1929" s="5">
        <v>4150</v>
      </c>
      <c r="I1929" s="6">
        <v>1796.5851851133182</v>
      </c>
      <c r="J1929" s="5">
        <v>13600</v>
      </c>
      <c r="K1929" s="6">
        <f t="shared" si="79"/>
        <v>2.3099377832942789</v>
      </c>
    </row>
    <row r="1930" spans="1:11" hidden="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H1930" s="5">
        <v>7530</v>
      </c>
      <c r="I1930" s="6">
        <v>2219.311111022334</v>
      </c>
      <c r="J1930" s="5">
        <v>16800</v>
      </c>
      <c r="K1930" s="6">
        <f t="shared" si="79"/>
        <v>3.3929447577682237</v>
      </c>
    </row>
    <row r="1931" spans="1:11" hidden="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H1931" s="5">
        <v>12500</v>
      </c>
      <c r="I1931" s="6">
        <v>2959.0814813631118</v>
      </c>
      <c r="J1931" s="5">
        <v>22400</v>
      </c>
      <c r="K1931" s="6">
        <f t="shared" si="79"/>
        <v>4.2242838119624295</v>
      </c>
    </row>
    <row r="1932" spans="1:11" hidden="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H1932" s="5">
        <v>2180</v>
      </c>
      <c r="I1932" s="6">
        <v>1912.3542857142861</v>
      </c>
      <c r="J1932" s="5">
        <v>16320</v>
      </c>
      <c r="K1932" s="6">
        <f t="shared" si="79"/>
        <v>1.1399561348465017</v>
      </c>
    </row>
    <row r="1933" spans="1:11" hidden="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H1933" s="5">
        <v>7950</v>
      </c>
      <c r="I1933" s="6">
        <v>2812.2857142428579</v>
      </c>
      <c r="J1933" s="5">
        <v>20000</v>
      </c>
      <c r="K1933" s="6">
        <f t="shared" si="79"/>
        <v>2.8268820481991286</v>
      </c>
    </row>
    <row r="1934" spans="1:11" hidden="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H1934" s="5">
        <v>11350</v>
      </c>
      <c r="I1934" s="6">
        <v>1768.8376470588223</v>
      </c>
      <c r="J1934" s="5">
        <v>12800</v>
      </c>
      <c r="K1934" s="6">
        <f t="shared" si="79"/>
        <v>6.4166431661336967</v>
      </c>
    </row>
    <row r="1935" spans="1:11" hidden="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H1935" s="5">
        <v>11080</v>
      </c>
      <c r="I1935" s="6">
        <v>2263.7999998868127</v>
      </c>
      <c r="J1935" s="5">
        <v>17920</v>
      </c>
      <c r="K1935" s="6">
        <f t="shared" si="79"/>
        <v>4.8944253028332838</v>
      </c>
    </row>
    <row r="1936" spans="1:11" hidden="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H1936" s="5">
        <v>3870</v>
      </c>
      <c r="I1936" s="6">
        <v>994.97117647058747</v>
      </c>
      <c r="J1936" s="5">
        <v>7200</v>
      </c>
      <c r="K1936" s="6">
        <f t="shared" si="79"/>
        <v>3.8895599103964615</v>
      </c>
    </row>
    <row r="1937" spans="1:11" hidden="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H1937" s="5">
        <v>4380</v>
      </c>
      <c r="I1937" s="6">
        <v>994.97117647058747</v>
      </c>
      <c r="J1937" s="5">
        <v>7920</v>
      </c>
      <c r="K1937" s="6">
        <f t="shared" si="79"/>
        <v>4.4021375730068479</v>
      </c>
    </row>
    <row r="1938" spans="1:11" hidden="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H1938" s="5">
        <v>7625</v>
      </c>
      <c r="I1938" s="6">
        <v>2263.7999998868127</v>
      </c>
      <c r="J1938" s="5">
        <v>17920</v>
      </c>
      <c r="K1938" s="6">
        <f t="shared" si="79"/>
        <v>3.3682304092151432</v>
      </c>
    </row>
    <row r="1939" spans="1:11" hidden="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H1939" s="5">
        <v>40800</v>
      </c>
      <c r="I1939" s="6">
        <v>6727.0499997982479</v>
      </c>
      <c r="J1939" s="5">
        <v>49210</v>
      </c>
      <c r="K1939" s="6">
        <f t="shared" si="79"/>
        <v>6.0650656678965724</v>
      </c>
    </row>
    <row r="1940" spans="1:11" hidden="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H1940" s="5">
        <v>3120</v>
      </c>
      <c r="I1940" s="6">
        <v>994.95</v>
      </c>
      <c r="J1940" s="5">
        <v>7200</v>
      </c>
      <c r="K1940" s="6">
        <f t="shared" si="79"/>
        <v>3.1358359716568671</v>
      </c>
    </row>
    <row r="1941" spans="1:11" hidden="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H1941" s="5">
        <v>3040</v>
      </c>
      <c r="I1941" s="6">
        <v>831.6</v>
      </c>
      <c r="J1941" s="5">
        <v>6300</v>
      </c>
      <c r="K1941" s="6">
        <f t="shared" si="79"/>
        <v>3.6556036556036555</v>
      </c>
    </row>
    <row r="1942" spans="1:11" hidden="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H1942" s="5">
        <v>6575</v>
      </c>
      <c r="I1942" s="6">
        <v>1267.2</v>
      </c>
      <c r="J1942" s="5">
        <v>9600</v>
      </c>
      <c r="K1942" s="6">
        <f t="shared" si="79"/>
        <v>5.1886047979797976</v>
      </c>
    </row>
    <row r="1943" spans="1:11" hidden="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H1943" s="5">
        <v>1830</v>
      </c>
      <c r="I1943" s="6">
        <v>316.8</v>
      </c>
      <c r="J1943" s="5">
        <v>2400</v>
      </c>
      <c r="K1943" s="6">
        <f t="shared" si="79"/>
        <v>5.7765151515151514</v>
      </c>
    </row>
    <row r="1944" spans="1:11" hidden="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H1944" s="5">
        <v>15240</v>
      </c>
      <c r="I1944" s="6">
        <v>3603.6</v>
      </c>
      <c r="J1944" s="5">
        <v>27296</v>
      </c>
      <c r="K1944" s="6">
        <f t="shared" si="79"/>
        <v>4.2291042291042293</v>
      </c>
    </row>
    <row r="1945" spans="1:11" hidden="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H1945" s="5">
        <v>12475</v>
      </c>
      <c r="I1945" s="6">
        <v>3682.8</v>
      </c>
      <c r="J1945" s="5">
        <v>27900</v>
      </c>
      <c r="K1945" s="6">
        <f t="shared" si="79"/>
        <v>3.3873683067231455</v>
      </c>
    </row>
    <row r="1946" spans="1:11" hidden="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H1946" s="5">
        <v>12925</v>
      </c>
      <c r="I1946" s="6">
        <v>2376</v>
      </c>
      <c r="J1946" s="5">
        <v>18000</v>
      </c>
      <c r="K1946" s="6">
        <f t="shared" si="79"/>
        <v>5.4398148148148149</v>
      </c>
    </row>
    <row r="1947" spans="1:11" hidden="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H1947" s="5">
        <v>2910</v>
      </c>
      <c r="I1947" s="6">
        <v>950.4</v>
      </c>
      <c r="J1947" s="5">
        <v>7200</v>
      </c>
      <c r="K1947" s="6">
        <f t="shared" si="79"/>
        <v>3.0618686868686869</v>
      </c>
    </row>
    <row r="1948" spans="1:11" hidden="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H1948" s="5">
        <v>7825</v>
      </c>
      <c r="I1948" s="6">
        <v>1346.4</v>
      </c>
      <c r="J1948" s="5">
        <v>10200</v>
      </c>
      <c r="K1948" s="6">
        <f t="shared" si="79"/>
        <v>5.8117944147355907</v>
      </c>
    </row>
    <row r="1949" spans="1:11" hidden="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H1949" s="5">
        <v>10890</v>
      </c>
      <c r="I1949" s="6">
        <v>2851.2</v>
      </c>
      <c r="J1949" s="5">
        <v>21600</v>
      </c>
      <c r="K1949" s="6">
        <f t="shared" si="79"/>
        <v>3.8194444444444446</v>
      </c>
    </row>
    <row r="1950" spans="1:11" hidden="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H1950" s="5">
        <v>5190</v>
      </c>
      <c r="I1950" s="6">
        <v>2138.4</v>
      </c>
      <c r="J1950" s="5">
        <v>16200</v>
      </c>
      <c r="K1950" s="6">
        <f t="shared" si="79"/>
        <v>2.4270482603815937</v>
      </c>
    </row>
    <row r="1951" spans="1:11" hidden="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H1951" s="5">
        <v>3675</v>
      </c>
      <c r="I1951" s="6">
        <v>963.6</v>
      </c>
      <c r="J1951" s="5">
        <v>7570</v>
      </c>
      <c r="K1951" s="6">
        <f t="shared" si="79"/>
        <v>3.8138231631382316</v>
      </c>
    </row>
    <row r="1952" spans="1:11" hidden="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H1952" s="5">
        <v>13650</v>
      </c>
      <c r="I1952" s="6">
        <v>3168</v>
      </c>
      <c r="J1952" s="5">
        <v>24000</v>
      </c>
      <c r="K1952" s="6">
        <f t="shared" si="79"/>
        <v>4.3087121212121211</v>
      </c>
    </row>
    <row r="1953" spans="1:11" hidden="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H1953" s="5">
        <v>4020</v>
      </c>
      <c r="I1953" s="6">
        <v>1188</v>
      </c>
      <c r="J1953" s="5">
        <v>9000</v>
      </c>
      <c r="K1953" s="6">
        <f t="shared" si="79"/>
        <v>3.3838383838383836</v>
      </c>
    </row>
    <row r="1954" spans="1:11" hidden="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H1954" s="5">
        <v>10200</v>
      </c>
      <c r="I1954" s="6">
        <v>2732.4</v>
      </c>
      <c r="J1954" s="5">
        <v>20700</v>
      </c>
      <c r="K1954" s="6">
        <f t="shared" si="79"/>
        <v>3.7329819938515589</v>
      </c>
    </row>
    <row r="1955" spans="1:11" hidden="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H1955" s="5">
        <v>2010</v>
      </c>
      <c r="I1955" s="6">
        <v>673.2</v>
      </c>
      <c r="J1955" s="5">
        <v>5100</v>
      </c>
      <c r="K1955" s="6">
        <f t="shared" si="79"/>
        <v>2.9857397504456324</v>
      </c>
    </row>
    <row r="1956" spans="1:11" hidden="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H1956" s="5">
        <v>2980</v>
      </c>
      <c r="I1956" s="6">
        <v>1100.4749999999999</v>
      </c>
      <c r="J1956" s="5">
        <v>8000</v>
      </c>
      <c r="K1956" s="6">
        <f t="shared" si="79"/>
        <v>2.7079215793180218</v>
      </c>
    </row>
    <row r="1957" spans="1:11" hidden="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H1957" s="5">
        <v>5925</v>
      </c>
      <c r="I1957" s="6">
        <v>1287</v>
      </c>
      <c r="J1957" s="5">
        <v>9400</v>
      </c>
      <c r="K1957" s="6">
        <f t="shared" si="79"/>
        <v>4.6037296037296036</v>
      </c>
    </row>
    <row r="1958" spans="1:11" hidden="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H1958" s="5">
        <v>13020</v>
      </c>
      <c r="I1958" s="6">
        <v>2641.14</v>
      </c>
      <c r="J1958" s="5">
        <v>19200</v>
      </c>
      <c r="K1958" s="6">
        <f t="shared" si="79"/>
        <v>4.929689452281969</v>
      </c>
    </row>
    <row r="1959" spans="1:11" hidden="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H1959" s="5">
        <v>21150</v>
      </c>
      <c r="I1959" s="6">
        <v>2641.14</v>
      </c>
      <c r="J1959" s="5">
        <v>19200</v>
      </c>
      <c r="K1959" s="6">
        <f t="shared" si="79"/>
        <v>8.0079056770939818</v>
      </c>
    </row>
    <row r="1960" spans="1:11" hidden="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H1960" s="5">
        <v>5190</v>
      </c>
      <c r="I1960" s="6">
        <v>1430.6174906250001</v>
      </c>
      <c r="J1960" s="5">
        <v>10400</v>
      </c>
      <c r="K1960" s="6">
        <f t="shared" si="79"/>
        <v>3.627804101383258</v>
      </c>
    </row>
    <row r="1961" spans="1:11" hidden="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H1961" s="5">
        <v>4290</v>
      </c>
      <c r="I1961" s="6">
        <v>1430.6175000000001</v>
      </c>
      <c r="J1961" s="5">
        <v>10400</v>
      </c>
      <c r="K1961" s="6">
        <f t="shared" si="79"/>
        <v>2.9987051046139164</v>
      </c>
    </row>
    <row r="1962" spans="1:11" hidden="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H1962" s="5">
        <v>6150</v>
      </c>
      <c r="I1962" s="6">
        <v>2861.2350000000001</v>
      </c>
      <c r="J1962" s="5">
        <v>20800</v>
      </c>
      <c r="K1962" s="6">
        <f t="shared" si="79"/>
        <v>2.1494214910694156</v>
      </c>
    </row>
    <row r="1963" spans="1:11" hidden="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H1963" s="5">
        <v>9150</v>
      </c>
      <c r="I1963" s="6">
        <v>3071.9505625000002</v>
      </c>
      <c r="J1963" s="5">
        <v>22400</v>
      </c>
      <c r="K1963" s="6">
        <f t="shared" si="79"/>
        <v>2.9785635588333137</v>
      </c>
    </row>
    <row r="1964" spans="1:11" hidden="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H1964" s="5">
        <v>7240</v>
      </c>
      <c r="I1964" s="6">
        <v>1097.125</v>
      </c>
      <c r="J1964" s="5">
        <v>8000</v>
      </c>
      <c r="K1964" s="6">
        <f t="shared" si="79"/>
        <v>6.5990657400022785</v>
      </c>
    </row>
    <row r="1965" spans="1:11" hidden="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H1965" s="5">
        <v>9960</v>
      </c>
      <c r="I1965" s="6">
        <v>2852.5250000000001</v>
      </c>
      <c r="J1965" s="5">
        <v>20800</v>
      </c>
      <c r="K1965" s="6">
        <f t="shared" si="79"/>
        <v>3.4916433685944908</v>
      </c>
    </row>
    <row r="1966" spans="1:11" hidden="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H1966" s="5">
        <v>12660</v>
      </c>
      <c r="I1966" s="6">
        <v>2633.1</v>
      </c>
      <c r="J1966" s="5">
        <v>19200</v>
      </c>
      <c r="K1966" s="6">
        <f t="shared" si="79"/>
        <v>4.8080209638828757</v>
      </c>
    </row>
    <row r="1967" spans="1:11" hidden="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H1967" s="5">
        <v>12030</v>
      </c>
      <c r="I1967" s="6">
        <v>2633.1</v>
      </c>
      <c r="J1967" s="5">
        <v>19200</v>
      </c>
      <c r="K1967" s="6">
        <f t="shared" si="79"/>
        <v>4.5687592571493676</v>
      </c>
    </row>
    <row r="1968" spans="1:11" hidden="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H1968" s="5">
        <v>7500</v>
      </c>
      <c r="I1968" s="6">
        <v>2852.5250000000001</v>
      </c>
      <c r="J1968" s="5">
        <v>20800</v>
      </c>
      <c r="K1968" s="6">
        <f t="shared" si="79"/>
        <v>2.6292495245440444</v>
      </c>
    </row>
    <row r="1969" spans="1:11" hidden="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H1969" s="5">
        <v>18870</v>
      </c>
      <c r="I1969" s="6">
        <v>2852.5250000000001</v>
      </c>
      <c r="J1969" s="5">
        <v>20800</v>
      </c>
      <c r="K1969" s="6">
        <f t="shared" si="79"/>
        <v>6.6151918037528157</v>
      </c>
    </row>
    <row r="1970" spans="1:11" hidden="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H1970" s="5">
        <v>9500</v>
      </c>
      <c r="I1970" s="6">
        <v>3071.95</v>
      </c>
      <c r="J1970" s="5">
        <v>22400</v>
      </c>
      <c r="K1970" s="6">
        <f t="shared" si="79"/>
        <v>3.0924982502970426</v>
      </c>
    </row>
    <row r="1971" spans="1:11" hidden="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H1971" s="5">
        <v>1775</v>
      </c>
      <c r="I1971" s="6">
        <v>1645.6875</v>
      </c>
      <c r="J1971" s="5">
        <v>12000</v>
      </c>
      <c r="K1971" s="6">
        <f t="shared" si="79"/>
        <v>1.078576582735179</v>
      </c>
    </row>
    <row r="1972" spans="1:11" hidden="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H1972" s="5">
        <v>9040</v>
      </c>
      <c r="I1972" s="6">
        <v>4121.4642855494085</v>
      </c>
      <c r="J1972" s="5">
        <v>31200</v>
      </c>
      <c r="K1972" s="6">
        <f t="shared" si="79"/>
        <v>2.1933952046353666</v>
      </c>
    </row>
    <row r="1973" spans="1:11" hidden="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H1973" s="5">
        <v>1665</v>
      </c>
      <c r="I1973" s="6">
        <v>1056.7857142434418</v>
      </c>
      <c r="J1973" s="5">
        <v>8000</v>
      </c>
      <c r="K1973" s="6">
        <f t="shared" si="79"/>
        <v>1.5755322744800557</v>
      </c>
    </row>
    <row r="1974" spans="1:11" hidden="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H1974" s="5">
        <v>10500</v>
      </c>
      <c r="I1974" s="6">
        <v>2641.9642856076484</v>
      </c>
      <c r="J1974" s="5">
        <v>19996</v>
      </c>
      <c r="K1974" s="6">
        <f t="shared" si="79"/>
        <v>3.9743156473385155</v>
      </c>
    </row>
    <row r="1975" spans="1:11" hidden="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H1975" s="5">
        <v>1660</v>
      </c>
      <c r="I1975" s="6">
        <v>528.39285712153003</v>
      </c>
      <c r="J1975" s="5">
        <v>4000</v>
      </c>
      <c r="K1975" s="6">
        <f t="shared" si="79"/>
        <v>3.1416018926580627</v>
      </c>
    </row>
    <row r="1976" spans="1:11" hidden="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H1976" s="5">
        <v>3900</v>
      </c>
      <c r="I1976" s="6">
        <v>1902.2142856375078</v>
      </c>
      <c r="J1976" s="5">
        <v>14400</v>
      </c>
      <c r="K1976" s="6">
        <f t="shared" si="79"/>
        <v>2.0502421990238364</v>
      </c>
    </row>
    <row r="1977" spans="1:11" hidden="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H1977" s="5">
        <v>1560</v>
      </c>
      <c r="I1977" s="6">
        <v>634.05652706821195</v>
      </c>
      <c r="J1977" s="5">
        <v>4800</v>
      </c>
      <c r="K1977" s="6">
        <f t="shared" si="79"/>
        <v>2.4603484601179333</v>
      </c>
    </row>
    <row r="1978" spans="1:11" hidden="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H1978" s="5">
        <v>19100</v>
      </c>
      <c r="I1978" s="6">
        <v>4487.9999999102474</v>
      </c>
      <c r="J1978" s="5">
        <v>31740</v>
      </c>
      <c r="K1978" s="6">
        <f t="shared" si="79"/>
        <v>4.2557932264665705</v>
      </c>
    </row>
    <row r="1979" spans="1:11" hidden="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H1979" s="5">
        <v>4150</v>
      </c>
      <c r="I1979" s="6">
        <v>1702.8</v>
      </c>
      <c r="J1979" s="5">
        <v>12900</v>
      </c>
      <c r="K1979" s="6">
        <f t="shared" si="79"/>
        <v>2.4371623208832514</v>
      </c>
    </row>
    <row r="1980" spans="1:11" hidden="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H1980" s="5">
        <v>9360</v>
      </c>
      <c r="I1980" s="6">
        <v>3009.6</v>
      </c>
      <c r="J1980" s="5">
        <v>22800</v>
      </c>
      <c r="K1980" s="6">
        <f t="shared" si="79"/>
        <v>3.1100478468899522</v>
      </c>
    </row>
    <row r="1981" spans="1:11" hidden="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H1981" s="5">
        <v>3990</v>
      </c>
      <c r="I1981" s="6">
        <v>1386</v>
      </c>
      <c r="J1981" s="5">
        <v>10500</v>
      </c>
      <c r="K1981" s="6">
        <f t="shared" si="79"/>
        <v>2.8787878787878789</v>
      </c>
    </row>
    <row r="1982" spans="1:11" hidden="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H1982" s="5">
        <v>4170</v>
      </c>
      <c r="I1982" s="6">
        <v>1386</v>
      </c>
      <c r="J1982" s="5">
        <v>10500</v>
      </c>
      <c r="K1982" s="6">
        <f t="shared" si="79"/>
        <v>3.0086580086580086</v>
      </c>
    </row>
    <row r="1983" spans="1:11" hidden="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H1983" s="5">
        <v>1775</v>
      </c>
      <c r="I1983" s="6">
        <v>1029.5999999999999</v>
      </c>
      <c r="J1983" s="5">
        <v>7800</v>
      </c>
      <c r="K1983" s="6">
        <f t="shared" si="79"/>
        <v>1.7239704739704742</v>
      </c>
    </row>
    <row r="1984" spans="1:11" hidden="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H1984" s="5">
        <v>6400</v>
      </c>
      <c r="I1984" s="6">
        <v>2653.2</v>
      </c>
      <c r="J1984" s="5">
        <v>20100</v>
      </c>
      <c r="K1984" s="6">
        <f t="shared" ref="K1984:K2046" si="81">+H1984/I1984</f>
        <v>2.4121815166591287</v>
      </c>
    </row>
    <row r="1985" spans="1:11" hidden="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H1985" s="5">
        <v>5130</v>
      </c>
      <c r="I1985" s="6">
        <v>1768.8</v>
      </c>
      <c r="J1985" s="5">
        <v>13400</v>
      </c>
      <c r="K1985" s="6">
        <f t="shared" si="81"/>
        <v>2.9002713704206244</v>
      </c>
    </row>
    <row r="1986" spans="1:11" hidden="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H1986" s="5">
        <v>3195</v>
      </c>
      <c r="I1986" s="6">
        <v>1029.5999999999999</v>
      </c>
      <c r="J1986" s="5">
        <v>7800</v>
      </c>
      <c r="K1986" s="6">
        <f t="shared" si="81"/>
        <v>3.1031468531468533</v>
      </c>
    </row>
    <row r="1987" spans="1:11" hidden="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H1987" s="5">
        <v>3950</v>
      </c>
      <c r="I1987" s="6">
        <v>1346.4</v>
      </c>
      <c r="J1987" s="5">
        <v>10200</v>
      </c>
      <c r="K1987" s="6">
        <f t="shared" si="81"/>
        <v>2.9337492572786688</v>
      </c>
    </row>
    <row r="1988" spans="1:11" hidden="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H1988" s="5">
        <v>810</v>
      </c>
      <c r="I1988" s="6">
        <v>440.18999062500001</v>
      </c>
      <c r="J1988" s="5">
        <v>3200</v>
      </c>
      <c r="K1988" s="6">
        <f t="shared" si="81"/>
        <v>1.840114535203148</v>
      </c>
    </row>
    <row r="1989" spans="1:11" hidden="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H1989" s="5">
        <v>1650</v>
      </c>
      <c r="I1989" s="6">
        <v>880.38</v>
      </c>
      <c r="J1989" s="5">
        <v>6400</v>
      </c>
      <c r="K1989" s="6">
        <f t="shared" si="81"/>
        <v>1.874190690383698</v>
      </c>
    </row>
    <row r="1990" spans="1:11" hidden="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H1990" s="5">
        <v>650</v>
      </c>
      <c r="I1990" s="6">
        <v>330.14249999999998</v>
      </c>
      <c r="J1990" s="5">
        <v>2400</v>
      </c>
      <c r="K1990" s="6">
        <f t="shared" si="81"/>
        <v>1.9688467858576222</v>
      </c>
    </row>
    <row r="1991" spans="1:11" hidden="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H1991" s="5">
        <v>2625</v>
      </c>
      <c r="I1991" s="6">
        <v>1650.7125000000001</v>
      </c>
      <c r="J1991" s="5">
        <v>12000</v>
      </c>
      <c r="K1991" s="6">
        <f t="shared" si="81"/>
        <v>1.5902224039619255</v>
      </c>
    </row>
    <row r="1992" spans="1:11" hidden="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H1992" s="5">
        <v>4940</v>
      </c>
      <c r="I1992" s="6">
        <v>1287.0000000000018</v>
      </c>
      <c r="J1992" s="5">
        <v>9400</v>
      </c>
      <c r="K1992" s="6">
        <f t="shared" si="81"/>
        <v>3.8383838383838329</v>
      </c>
    </row>
    <row r="1993" spans="1:11" hidden="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H1993" s="5">
        <v>8525</v>
      </c>
      <c r="I1993" s="6">
        <v>2641.14</v>
      </c>
      <c r="J1993" s="5">
        <v>19200</v>
      </c>
      <c r="K1993" s="6">
        <f t="shared" si="81"/>
        <v>3.2277728556608132</v>
      </c>
    </row>
    <row r="1994" spans="1:11" hidden="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H1994" s="5">
        <v>2400</v>
      </c>
      <c r="I1994" s="6">
        <v>880.38</v>
      </c>
      <c r="J1994" s="5">
        <v>6400</v>
      </c>
      <c r="K1994" s="6">
        <f t="shared" si="81"/>
        <v>2.7260955496490151</v>
      </c>
    </row>
    <row r="1995" spans="1:11" hidden="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H1995" s="5">
        <v>2460</v>
      </c>
      <c r="I1995" s="6">
        <v>880.38</v>
      </c>
      <c r="J1995" s="5">
        <v>6400</v>
      </c>
      <c r="K1995" s="6">
        <f t="shared" si="81"/>
        <v>2.7942479383902405</v>
      </c>
    </row>
    <row r="1996" spans="1:11" hidden="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H1996" s="5">
        <v>670</v>
      </c>
      <c r="I1996" s="6">
        <v>1755.4</v>
      </c>
      <c r="J1996" s="5">
        <v>12800</v>
      </c>
      <c r="K1996" s="6">
        <f t="shared" si="81"/>
        <v>0.38167938931297707</v>
      </c>
    </row>
    <row r="1997" spans="1:11" hidden="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H1997" s="5">
        <v>7220</v>
      </c>
      <c r="I1997" s="6">
        <v>2413.6749943750001</v>
      </c>
      <c r="J1997" s="5">
        <v>17600</v>
      </c>
      <c r="K1997" s="6">
        <f t="shared" si="81"/>
        <v>2.9912892236220707</v>
      </c>
    </row>
    <row r="1998" spans="1:11" hidden="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H1998" s="5">
        <v>4520</v>
      </c>
      <c r="I1998" s="6">
        <v>1645.6875</v>
      </c>
      <c r="J1998" s="5">
        <v>12000</v>
      </c>
      <c r="K1998" s="6">
        <f t="shared" si="81"/>
        <v>2.7465724811059209</v>
      </c>
    </row>
    <row r="1999" spans="1:11" hidden="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H1999" s="5">
        <v>1780</v>
      </c>
      <c r="I1999" s="6">
        <v>726.32013058333712</v>
      </c>
      <c r="J1999" s="5">
        <v>5712</v>
      </c>
      <c r="K1999" s="6">
        <f t="shared" si="81"/>
        <v>2.4507099900568772</v>
      </c>
    </row>
    <row r="2000" spans="1:11" hidden="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H2000" s="5">
        <v>2400</v>
      </c>
      <c r="I2000" s="6">
        <v>924.39958333667107</v>
      </c>
      <c r="J2000" s="5">
        <v>6720</v>
      </c>
      <c r="K2000" s="6">
        <f t="shared" si="81"/>
        <v>2.5962798374887495</v>
      </c>
    </row>
    <row r="2001" spans="1:11" hidden="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H2001" s="5">
        <v>2800</v>
      </c>
      <c r="I2001" s="6">
        <v>1122.485208333339</v>
      </c>
      <c r="J2001" s="5">
        <v>8160</v>
      </c>
      <c r="K2001" s="6">
        <f t="shared" si="81"/>
        <v>2.4944649419099494</v>
      </c>
    </row>
    <row r="2002" spans="1:11" hidden="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H2002" s="5">
        <v>480</v>
      </c>
      <c r="I2002" s="6">
        <v>396.17125000000198</v>
      </c>
      <c r="J2002" s="5">
        <v>2880</v>
      </c>
      <c r="K2002" s="6">
        <f t="shared" si="81"/>
        <v>1.2115972574991183</v>
      </c>
    </row>
    <row r="2003" spans="1:11" hidden="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H2003" s="5">
        <v>3360</v>
      </c>
      <c r="I2003" s="6">
        <v>1535.9749999999999</v>
      </c>
      <c r="J2003" s="5">
        <v>11200</v>
      </c>
      <c r="K2003" s="6">
        <f t="shared" si="81"/>
        <v>2.1875356044206451</v>
      </c>
    </row>
    <row r="2004" spans="1:11" hidden="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H2004" s="5">
        <v>3500</v>
      </c>
      <c r="I2004" s="6">
        <v>1535.9749999999999</v>
      </c>
      <c r="J2004" s="5">
        <v>11200</v>
      </c>
      <c r="K2004" s="6">
        <f t="shared" si="81"/>
        <v>2.2786829212715052</v>
      </c>
    </row>
    <row r="2005" spans="1:11" hidden="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H2005" s="5">
        <v>1500</v>
      </c>
      <c r="I2005" s="6">
        <v>594.25687500000299</v>
      </c>
      <c r="J2005" s="5">
        <v>4320</v>
      </c>
      <c r="K2005" s="6">
        <f t="shared" si="81"/>
        <v>2.5241609531231632</v>
      </c>
    </row>
    <row r="2006" spans="1:11" hidden="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H2006" s="5">
        <v>5440</v>
      </c>
      <c r="I2006" s="6">
        <v>2575.1131250013459</v>
      </c>
      <c r="J2006" s="5">
        <v>18720</v>
      </c>
      <c r="K2006" s="6">
        <f t="shared" si="81"/>
        <v>2.112528551535831</v>
      </c>
    </row>
    <row r="2007" spans="1:11" hidden="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H2007" s="5">
        <v>1260</v>
      </c>
      <c r="I2007" s="6">
        <v>528.37931032368999</v>
      </c>
      <c r="J2007" s="5">
        <v>4000</v>
      </c>
      <c r="K2007" s="6">
        <f t="shared" ref="K2007:K2013" si="82">IFERROR(H2007/I2007,"")</f>
        <v>2.3846505254494397</v>
      </c>
    </row>
    <row r="2008" spans="1:11" hidden="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H2008" s="5">
        <v>3450</v>
      </c>
      <c r="I2008" s="6">
        <v>2272.0310343918732</v>
      </c>
      <c r="J2008" s="5">
        <v>17200</v>
      </c>
      <c r="K2008" s="6">
        <f t="shared" si="82"/>
        <v>1.5184651740126514</v>
      </c>
    </row>
    <row r="2009" spans="1:11" hidden="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H2009" s="5">
        <v>2100</v>
      </c>
      <c r="I2009" s="6">
        <v>1162.4344827121224</v>
      </c>
      <c r="J2009" s="5">
        <v>8800</v>
      </c>
      <c r="K2009" s="6">
        <f t="shared" si="82"/>
        <v>1.8065534283707809</v>
      </c>
    </row>
    <row r="2010" spans="1:11" hidden="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H2010" s="5">
        <v>1575</v>
      </c>
      <c r="I2010" s="6">
        <v>1162.4344827121181</v>
      </c>
      <c r="J2010" s="5">
        <v>8800</v>
      </c>
      <c r="K2010" s="6">
        <f t="shared" si="82"/>
        <v>1.3549150712780906</v>
      </c>
    </row>
    <row r="2011" spans="1:11" hidden="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H2011" s="5">
        <v>2760</v>
      </c>
      <c r="I2011" s="6">
        <v>1056.7586206473827</v>
      </c>
      <c r="J2011" s="5">
        <v>8000</v>
      </c>
      <c r="K2011" s="6">
        <f t="shared" si="82"/>
        <v>2.6117600993017609</v>
      </c>
    </row>
    <row r="2012" spans="1:11" hidden="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H2012" s="5">
        <v>4010</v>
      </c>
      <c r="I2012" s="6">
        <v>1109.596551679753</v>
      </c>
      <c r="J2012" s="5">
        <v>8400</v>
      </c>
      <c r="K2012" s="6">
        <f t="shared" si="82"/>
        <v>3.6139261553485333</v>
      </c>
    </row>
    <row r="2013" spans="1:11" hidden="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H2013" s="5">
        <v>3500</v>
      </c>
      <c r="I2013" s="6">
        <v>1902.1655171652881</v>
      </c>
      <c r="J2013" s="5">
        <v>14400</v>
      </c>
      <c r="K2013" s="6">
        <f t="shared" si="82"/>
        <v>1.8400081214887614</v>
      </c>
    </row>
    <row r="2014" spans="1:11" hidden="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H2014" s="5">
        <v>1925</v>
      </c>
      <c r="I2014" s="6">
        <v>951.10714281909407</v>
      </c>
      <c r="J2014" s="5">
        <v>7200</v>
      </c>
      <c r="K2014" s="6">
        <f t="shared" si="81"/>
        <v>2.023957042625371</v>
      </c>
    </row>
    <row r="2015" spans="1:11" hidden="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H2015" s="5">
        <v>6990</v>
      </c>
      <c r="I2015" s="6">
        <v>3804.4285712763772</v>
      </c>
      <c r="J2015" s="5">
        <v>28800</v>
      </c>
      <c r="K2015" s="6">
        <f t="shared" si="81"/>
        <v>1.8373324322014728</v>
      </c>
    </row>
    <row r="2016" spans="1:11" hidden="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H2016" s="5">
        <v>5370</v>
      </c>
      <c r="I2016" s="6">
        <v>2641.8965516184649</v>
      </c>
      <c r="J2016" s="5">
        <v>20000</v>
      </c>
      <c r="K2016" s="6">
        <f t="shared" si="81"/>
        <v>2.0326306859783205</v>
      </c>
    </row>
    <row r="2017" spans="1:11" hidden="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H2017" s="5">
        <v>10830</v>
      </c>
      <c r="I2017" s="6">
        <v>3592.9793102010913</v>
      </c>
      <c r="J2017" s="5">
        <v>26044</v>
      </c>
      <c r="K2017" s="6">
        <f t="shared" si="81"/>
        <v>3.01421162355479</v>
      </c>
    </row>
    <row r="2018" spans="1:11" hidden="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H2018" s="5">
        <v>2275</v>
      </c>
      <c r="I2018" s="6">
        <v>1268.1103447768633</v>
      </c>
      <c r="J2018" s="5">
        <v>9600</v>
      </c>
      <c r="K2018" s="6">
        <f t="shared" si="81"/>
        <v>1.7940079184515358</v>
      </c>
    </row>
    <row r="2019" spans="1:11" hidden="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H2019" s="5">
        <v>1075</v>
      </c>
      <c r="I2019" s="6">
        <v>528.37931032368999</v>
      </c>
      <c r="J2019" s="5">
        <v>4000</v>
      </c>
      <c r="K2019" s="6">
        <f t="shared" si="81"/>
        <v>2.0345232657604346</v>
      </c>
    </row>
    <row r="2020" spans="1:11" hidden="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H2020" s="5">
        <v>2250</v>
      </c>
      <c r="I2020" s="6">
        <v>1162.4344827121247</v>
      </c>
      <c r="J2020" s="5">
        <v>8800</v>
      </c>
      <c r="K2020" s="6">
        <f t="shared" si="81"/>
        <v>1.93559295896869</v>
      </c>
    </row>
    <row r="2021" spans="1:11" hidden="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H2021" s="5">
        <v>1620</v>
      </c>
      <c r="I2021" s="6">
        <v>528.3915024419166</v>
      </c>
      <c r="J2021" s="5">
        <v>4000</v>
      </c>
      <c r="K2021" s="6">
        <f t="shared" si="81"/>
        <v>3.0659085025275901</v>
      </c>
    </row>
    <row r="2022" spans="1:11" hidden="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H2022" s="5">
        <v>12030</v>
      </c>
      <c r="I2022" s="6">
        <v>3910.1071427007282</v>
      </c>
      <c r="J2022" s="5">
        <v>29260</v>
      </c>
      <c r="K2022" s="6">
        <f t="shared" si="81"/>
        <v>3.0766420358729163</v>
      </c>
    </row>
    <row r="2023" spans="1:11" hidden="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H2023" s="5">
        <v>2860</v>
      </c>
      <c r="I2023" s="6">
        <v>1902.2142856381945</v>
      </c>
      <c r="J2023" s="5">
        <v>14400</v>
      </c>
      <c r="K2023" s="6">
        <f t="shared" si="81"/>
        <v>1.5035109459502707</v>
      </c>
    </row>
    <row r="2024" spans="1:11" hidden="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H2024" s="5">
        <v>1710</v>
      </c>
      <c r="I2024" s="6">
        <v>1162.4642856677858</v>
      </c>
      <c r="J2024" s="5">
        <v>8800</v>
      </c>
      <c r="K2024" s="6">
        <f t="shared" si="81"/>
        <v>1.4710129344039833</v>
      </c>
    </row>
    <row r="2025" spans="1:11" hidden="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H2025" s="5">
        <v>750</v>
      </c>
      <c r="I2025" s="6">
        <v>317.03571427303262</v>
      </c>
      <c r="J2025" s="5">
        <v>2400</v>
      </c>
      <c r="K2025" s="6">
        <f t="shared" si="81"/>
        <v>2.3656640757958787</v>
      </c>
    </row>
    <row r="2026" spans="1:11" hidden="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H2026" s="5">
        <v>1325</v>
      </c>
      <c r="I2026" s="6">
        <v>951.10714281875391</v>
      </c>
      <c r="J2026" s="5">
        <v>7200</v>
      </c>
      <c r="K2026" s="6">
        <f t="shared" si="81"/>
        <v>1.3931132890802991</v>
      </c>
    </row>
    <row r="2027" spans="1:11" hidden="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H2027" s="5">
        <v>990</v>
      </c>
      <c r="I2027" s="6">
        <v>898.26785710660101</v>
      </c>
      <c r="J2027" s="5">
        <v>6800</v>
      </c>
      <c r="K2027" s="6">
        <f t="shared" si="81"/>
        <v>1.1021211459005962</v>
      </c>
    </row>
    <row r="2028" spans="1:11" hidden="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H2028" s="5">
        <v>1850</v>
      </c>
      <c r="I2028" s="6">
        <v>1162.4642856673661</v>
      </c>
      <c r="J2028" s="5">
        <v>8800</v>
      </c>
      <c r="K2028" s="6">
        <f t="shared" si="81"/>
        <v>1.591446741899621</v>
      </c>
    </row>
    <row r="2029" spans="1:11" hidden="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H2029" s="5">
        <v>2370</v>
      </c>
      <c r="I2029" s="6">
        <v>686.91071425798896</v>
      </c>
      <c r="J2029" s="5">
        <v>5200</v>
      </c>
      <c r="K2029" s="6">
        <f t="shared" si="81"/>
        <v>3.4502300674696986</v>
      </c>
    </row>
    <row r="2030" spans="1:11" hidden="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H2030" s="5">
        <v>1100</v>
      </c>
      <c r="I2030" s="6">
        <v>845.428571394752</v>
      </c>
      <c r="J2030" s="5">
        <v>6400</v>
      </c>
      <c r="K2030" s="6">
        <f t="shared" si="81"/>
        <v>1.3011152416877358</v>
      </c>
    </row>
    <row r="2031" spans="1:11" hidden="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H2031" s="5">
        <v>6100</v>
      </c>
      <c r="I2031" s="6">
        <v>3910.1071427007355</v>
      </c>
      <c r="J2031" s="5">
        <v>29600</v>
      </c>
      <c r="K2031" s="6">
        <f t="shared" si="81"/>
        <v>1.560059552687012</v>
      </c>
    </row>
    <row r="2032" spans="1:11" hidden="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H2032" s="5">
        <v>7375</v>
      </c>
      <c r="I2032" s="6">
        <v>4015.7857141250793</v>
      </c>
      <c r="J2032" s="5">
        <v>30400</v>
      </c>
      <c r="K2032" s="6">
        <f t="shared" si="81"/>
        <v>1.8365023746310114</v>
      </c>
    </row>
    <row r="2033" spans="1:11" hidden="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H2033" s="5">
        <v>10650</v>
      </c>
      <c r="I2033" s="6">
        <v>2747.5751230427709</v>
      </c>
      <c r="J2033" s="5">
        <v>20800</v>
      </c>
      <c r="K2033" s="6">
        <f t="shared" si="81"/>
        <v>3.8761451545702519</v>
      </c>
    </row>
    <row r="2034" spans="1:11" hidden="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H2034" s="5">
        <v>1225</v>
      </c>
      <c r="I2034" s="6">
        <v>1056.75862064738</v>
      </c>
      <c r="J2034" s="5">
        <v>9600</v>
      </c>
      <c r="K2034" s="6">
        <f t="shared" si="81"/>
        <v>1.1592051165379222</v>
      </c>
    </row>
    <row r="2035" spans="1:11" hidden="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H2035" s="5">
        <v>0</v>
      </c>
      <c r="I2035" s="6">
        <v>317.02758619421581</v>
      </c>
      <c r="J2035" s="5">
        <v>2640</v>
      </c>
      <c r="K2035" s="6">
        <f t="shared" si="81"/>
        <v>0</v>
      </c>
    </row>
    <row r="2036" spans="1:11" hidden="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H2036" s="5">
        <v>0</v>
      </c>
      <c r="I2036" s="6">
        <v>52.837931032368999</v>
      </c>
      <c r="J2036" s="5">
        <v>440</v>
      </c>
      <c r="K2036" s="6">
        <f t="shared" si="81"/>
        <v>0</v>
      </c>
    </row>
    <row r="2037" spans="1:11" hidden="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H2037" s="5">
        <v>14610</v>
      </c>
      <c r="I2037" s="6">
        <v>3592.9793102011122</v>
      </c>
      <c r="J2037" s="5">
        <v>27820</v>
      </c>
      <c r="K2037" s="6">
        <f t="shared" si="81"/>
        <v>4.0662633259589311</v>
      </c>
    </row>
    <row r="2038" spans="1:11" hidden="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H2038" s="5">
        <v>6630</v>
      </c>
      <c r="I2038" s="6">
        <v>1585.2222221588099</v>
      </c>
      <c r="J2038" s="5">
        <v>11490</v>
      </c>
      <c r="K2038" s="6">
        <f t="shared" si="81"/>
        <v>4.1823789165477629</v>
      </c>
    </row>
    <row r="2039" spans="1:11" hidden="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H2039" s="5">
        <v>2450</v>
      </c>
      <c r="I2039" s="6">
        <v>1796.5851851133182</v>
      </c>
      <c r="J2039" s="5">
        <v>13600</v>
      </c>
      <c r="K2039" s="6">
        <f t="shared" si="81"/>
        <v>1.3636982094146948</v>
      </c>
    </row>
    <row r="2040" spans="1:11" hidden="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H2040" s="5">
        <v>3960</v>
      </c>
      <c r="I2040" s="6">
        <v>2219.311111022334</v>
      </c>
      <c r="J2040" s="5">
        <v>16800</v>
      </c>
      <c r="K2040" s="6">
        <f t="shared" si="81"/>
        <v>1.7843374821729303</v>
      </c>
    </row>
    <row r="2041" spans="1:11" hidden="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H2041" s="5">
        <v>6025</v>
      </c>
      <c r="I2041" s="6">
        <v>2959.0814813631118</v>
      </c>
      <c r="J2041" s="5">
        <v>22400</v>
      </c>
      <c r="K2041" s="6">
        <f t="shared" si="81"/>
        <v>2.036104797365891</v>
      </c>
    </row>
    <row r="2042" spans="1:11" hidden="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H2042" s="5">
        <v>1420</v>
      </c>
      <c r="I2042" s="6">
        <v>1912.3542857142861</v>
      </c>
      <c r="J2042" s="5">
        <v>16320</v>
      </c>
      <c r="K2042" s="6">
        <f t="shared" si="81"/>
        <v>0.74254023462478547</v>
      </c>
    </row>
    <row r="2043" spans="1:11" hidden="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H2043" s="5">
        <v>3825</v>
      </c>
      <c r="I2043" s="6">
        <v>2812.2857142428579</v>
      </c>
      <c r="J2043" s="5">
        <v>20000</v>
      </c>
      <c r="K2043" s="6">
        <f t="shared" si="81"/>
        <v>1.3601036269637319</v>
      </c>
    </row>
    <row r="2044" spans="1:11" hidden="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H2044" s="5">
        <v>4550</v>
      </c>
      <c r="I2044" s="6">
        <v>1768.8376470588223</v>
      </c>
      <c r="J2044" s="5">
        <v>12800</v>
      </c>
      <c r="K2044" s="6">
        <f t="shared" si="81"/>
        <v>2.5723106965557991</v>
      </c>
    </row>
    <row r="2045" spans="1:11" hidden="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H2045" s="5">
        <v>4800</v>
      </c>
      <c r="I2045" s="6">
        <v>2263.7999998868127</v>
      </c>
      <c r="J2045" s="5">
        <v>17920</v>
      </c>
      <c r="K2045" s="6">
        <f t="shared" si="81"/>
        <v>2.1203286510469099</v>
      </c>
    </row>
    <row r="2046" spans="1:11" hidden="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H2046" s="5">
        <v>780</v>
      </c>
      <c r="I2046" s="6">
        <v>994.97117647058747</v>
      </c>
      <c r="J2046" s="5">
        <v>7200</v>
      </c>
      <c r="K2046" s="6">
        <f t="shared" si="81"/>
        <v>0.78394230752176741</v>
      </c>
    </row>
    <row r="2047" spans="1:11" hidden="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H2047" s="5">
        <v>1780</v>
      </c>
      <c r="I2047" s="6">
        <v>994.97117647058747</v>
      </c>
      <c r="J2047" s="5">
        <v>7920</v>
      </c>
      <c r="K2047" s="6">
        <f t="shared" ref="K2047:K2110" si="84">+H2047/I2047</f>
        <v>1.7889965479342897</v>
      </c>
    </row>
    <row r="2048" spans="1:11" hidden="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H2048" s="5">
        <v>3225</v>
      </c>
      <c r="I2048" s="6">
        <v>2263.7999998868127</v>
      </c>
      <c r="J2048" s="5">
        <v>17920</v>
      </c>
      <c r="K2048" s="6">
        <f t="shared" si="84"/>
        <v>1.4245958124221425</v>
      </c>
    </row>
    <row r="2049" spans="1:11" hidden="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H2049" s="5">
        <v>19350</v>
      </c>
      <c r="I2049" s="6">
        <v>6727.0499997982479</v>
      </c>
      <c r="J2049" s="5">
        <v>49210</v>
      </c>
      <c r="K2049" s="6">
        <f t="shared" si="84"/>
        <v>2.8764465851421246</v>
      </c>
    </row>
    <row r="2050" spans="1:11" hidden="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H2050" s="5">
        <v>2700</v>
      </c>
      <c r="I2050" s="6">
        <v>994.95</v>
      </c>
      <c r="J2050" s="5">
        <v>7200</v>
      </c>
      <c r="K2050" s="6">
        <f t="shared" si="84"/>
        <v>2.7137042062415198</v>
      </c>
    </row>
    <row r="2051" spans="1:11" hidden="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H2051" s="5">
        <v>1540</v>
      </c>
      <c r="I2051" s="6">
        <v>831.6</v>
      </c>
      <c r="J2051" s="5">
        <v>6300</v>
      </c>
      <c r="K2051" s="6">
        <f t="shared" si="84"/>
        <v>1.8518518518518519</v>
      </c>
    </row>
    <row r="2052" spans="1:11" hidden="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H2052" s="5">
        <v>4425</v>
      </c>
      <c r="I2052" s="6">
        <v>1267.2</v>
      </c>
      <c r="J2052" s="5">
        <v>9600</v>
      </c>
      <c r="K2052" s="6">
        <f t="shared" si="84"/>
        <v>3.4919507575757573</v>
      </c>
    </row>
    <row r="2053" spans="1:11" hidden="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H2053" s="5">
        <v>1200</v>
      </c>
      <c r="I2053" s="6">
        <v>316.8</v>
      </c>
      <c r="J2053" s="5">
        <v>2400</v>
      </c>
      <c r="K2053" s="6">
        <f t="shared" si="84"/>
        <v>3.7878787878787876</v>
      </c>
    </row>
    <row r="2054" spans="1:11" hidden="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H2054" s="5">
        <v>12750</v>
      </c>
      <c r="I2054" s="6">
        <v>3603.6</v>
      </c>
      <c r="J2054" s="5">
        <v>27296</v>
      </c>
      <c r="K2054" s="6">
        <f t="shared" si="84"/>
        <v>3.5381285381285381</v>
      </c>
    </row>
    <row r="2055" spans="1:11" hidden="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H2055" s="5">
        <v>6025</v>
      </c>
      <c r="I2055" s="6">
        <v>3682.8</v>
      </c>
      <c r="J2055" s="5">
        <v>27900</v>
      </c>
      <c r="K2055" s="6">
        <f t="shared" si="84"/>
        <v>1.6359834908222004</v>
      </c>
    </row>
    <row r="2056" spans="1:11" hidden="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H2056" s="5">
        <v>4875</v>
      </c>
      <c r="I2056" s="6">
        <v>2376</v>
      </c>
      <c r="J2056" s="5">
        <v>18000</v>
      </c>
      <c r="K2056" s="6">
        <f t="shared" si="84"/>
        <v>2.0517676767676769</v>
      </c>
    </row>
    <row r="2057" spans="1:11" hidden="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H2057" s="5">
        <v>1410</v>
      </c>
      <c r="I2057" s="6">
        <v>950.4</v>
      </c>
      <c r="J2057" s="5">
        <v>7200</v>
      </c>
      <c r="K2057" s="6">
        <f t="shared" si="84"/>
        <v>1.4835858585858586</v>
      </c>
    </row>
    <row r="2058" spans="1:11" hidden="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H2058" s="5">
        <v>3200</v>
      </c>
      <c r="I2058" s="6">
        <v>1346.4</v>
      </c>
      <c r="J2058" s="5">
        <v>10200</v>
      </c>
      <c r="K2058" s="6">
        <f t="shared" si="84"/>
        <v>2.3767082590611999</v>
      </c>
    </row>
    <row r="2059" spans="1:11" hidden="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H2059" s="5">
        <v>4410</v>
      </c>
      <c r="I2059" s="6">
        <v>2851.2</v>
      </c>
      <c r="J2059" s="5">
        <v>21600</v>
      </c>
      <c r="K2059" s="6">
        <f t="shared" si="84"/>
        <v>1.5467171717171717</v>
      </c>
    </row>
    <row r="2060" spans="1:11" hidden="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H2060" s="5">
        <v>2310</v>
      </c>
      <c r="I2060" s="6">
        <v>2138.4</v>
      </c>
      <c r="J2060" s="5">
        <v>16200</v>
      </c>
      <c r="K2060" s="6">
        <f t="shared" si="84"/>
        <v>1.0802469135802468</v>
      </c>
    </row>
    <row r="2061" spans="1:11" hidden="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H2061" s="5">
        <v>1825</v>
      </c>
      <c r="I2061" s="6">
        <v>963.6</v>
      </c>
      <c r="J2061" s="5">
        <v>7570</v>
      </c>
      <c r="K2061" s="6">
        <f t="shared" si="84"/>
        <v>1.8939393939393938</v>
      </c>
    </row>
    <row r="2062" spans="1:11" hidden="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H2062" s="5">
        <v>6450</v>
      </c>
      <c r="I2062" s="6">
        <v>3168</v>
      </c>
      <c r="J2062" s="5">
        <v>24000</v>
      </c>
      <c r="K2062" s="6">
        <f t="shared" si="84"/>
        <v>2.0359848484848486</v>
      </c>
    </row>
    <row r="2063" spans="1:11" hidden="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H2063" s="5">
        <v>2610</v>
      </c>
      <c r="I2063" s="6">
        <v>1188</v>
      </c>
      <c r="J2063" s="5">
        <v>9000</v>
      </c>
      <c r="K2063" s="6">
        <f t="shared" si="84"/>
        <v>2.1969696969696968</v>
      </c>
    </row>
    <row r="2064" spans="1:11" hidden="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H2064" s="5">
        <v>4650</v>
      </c>
      <c r="I2064" s="6">
        <v>2732.4</v>
      </c>
      <c r="J2064" s="5">
        <v>20700</v>
      </c>
      <c r="K2064" s="6">
        <f t="shared" si="84"/>
        <v>1.701800614844093</v>
      </c>
    </row>
    <row r="2065" spans="1:11" hidden="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H2065" s="5">
        <v>780</v>
      </c>
      <c r="I2065" s="6">
        <v>673.2</v>
      </c>
      <c r="J2065" s="5">
        <v>5100</v>
      </c>
      <c r="K2065" s="6">
        <f t="shared" si="84"/>
        <v>1.1586452762923349</v>
      </c>
    </row>
    <row r="2066" spans="1:11" hidden="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H2066" s="5">
        <v>2260</v>
      </c>
      <c r="I2066" s="6">
        <v>1100.4749999999999</v>
      </c>
      <c r="J2066" s="5">
        <v>8000</v>
      </c>
      <c r="K2066" s="6">
        <f t="shared" si="84"/>
        <v>2.0536586474022585</v>
      </c>
    </row>
    <row r="2067" spans="1:11" hidden="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H2067" s="5">
        <v>2650</v>
      </c>
      <c r="I2067" s="6">
        <v>1287</v>
      </c>
      <c r="J2067" s="5">
        <v>9400</v>
      </c>
      <c r="K2067" s="6">
        <f t="shared" si="84"/>
        <v>2.0590520590520591</v>
      </c>
    </row>
    <row r="2068" spans="1:11" hidden="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H2068" s="5">
        <v>8880</v>
      </c>
      <c r="I2068" s="6">
        <v>2641.14</v>
      </c>
      <c r="J2068" s="5">
        <v>19200</v>
      </c>
      <c r="K2068" s="6">
        <f t="shared" si="84"/>
        <v>3.3621845112337856</v>
      </c>
    </row>
    <row r="2069" spans="1:11" hidden="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H2069" s="5">
        <v>7650</v>
      </c>
      <c r="I2069" s="6">
        <v>2641.14</v>
      </c>
      <c r="J2069" s="5">
        <v>19200</v>
      </c>
      <c r="K2069" s="6">
        <f t="shared" si="84"/>
        <v>2.8964765215020787</v>
      </c>
    </row>
    <row r="2070" spans="1:11" hidden="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H2070" s="5">
        <v>6570</v>
      </c>
      <c r="I2070" s="6">
        <v>1430.6174906250001</v>
      </c>
      <c r="J2070" s="5">
        <v>10400</v>
      </c>
      <c r="K2070" s="6">
        <f t="shared" si="84"/>
        <v>4.5924225329649335</v>
      </c>
    </row>
    <row r="2071" spans="1:11" hidden="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H2071" s="5">
        <v>2220</v>
      </c>
      <c r="I2071" s="6">
        <v>1430.6175000000001</v>
      </c>
      <c r="J2071" s="5">
        <v>10400</v>
      </c>
      <c r="K2071" s="6">
        <f t="shared" si="84"/>
        <v>1.5517774667232855</v>
      </c>
    </row>
    <row r="2072" spans="1:11" hidden="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H2072" s="5">
        <v>3780</v>
      </c>
      <c r="I2072" s="6">
        <v>2861.2350000000001</v>
      </c>
      <c r="J2072" s="5">
        <v>20800</v>
      </c>
      <c r="K2072" s="6">
        <f t="shared" si="84"/>
        <v>1.3211078432914458</v>
      </c>
    </row>
    <row r="2073" spans="1:11" hidden="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H2073" s="5">
        <v>5800</v>
      </c>
      <c r="I2073" s="6">
        <v>3071.9505625000002</v>
      </c>
      <c r="J2073" s="5">
        <v>22400</v>
      </c>
      <c r="K2073" s="6">
        <f t="shared" si="84"/>
        <v>1.8880512176211168</v>
      </c>
    </row>
    <row r="2074" spans="1:11" hidden="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H2074" s="5">
        <v>3760</v>
      </c>
      <c r="I2074" s="6">
        <v>1097.125</v>
      </c>
      <c r="J2074" s="5">
        <v>8000</v>
      </c>
      <c r="K2074" s="6">
        <f t="shared" si="84"/>
        <v>3.4271391135923435</v>
      </c>
    </row>
    <row r="2075" spans="1:11" hidden="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H2075" s="5">
        <v>5300</v>
      </c>
      <c r="I2075" s="6">
        <v>2852.5250000000001</v>
      </c>
      <c r="J2075" s="5">
        <v>20800</v>
      </c>
      <c r="K2075" s="6">
        <f t="shared" si="84"/>
        <v>1.8580029973444578</v>
      </c>
    </row>
    <row r="2076" spans="1:11" hidden="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H2076" s="5">
        <v>5460</v>
      </c>
      <c r="I2076" s="6">
        <v>2633.1</v>
      </c>
      <c r="J2076" s="5">
        <v>19200</v>
      </c>
      <c r="K2076" s="6">
        <f t="shared" si="84"/>
        <v>2.0736014583570697</v>
      </c>
    </row>
    <row r="2077" spans="1:11" hidden="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H2077" s="5">
        <v>5700</v>
      </c>
      <c r="I2077" s="6">
        <v>2633.1</v>
      </c>
      <c r="J2077" s="5">
        <v>19200</v>
      </c>
      <c r="K2077" s="6">
        <f t="shared" si="84"/>
        <v>2.1647487752079297</v>
      </c>
    </row>
    <row r="2078" spans="1:11" hidden="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H2078" s="5">
        <v>9540</v>
      </c>
      <c r="I2078" s="6">
        <v>2852.5250000000001</v>
      </c>
      <c r="J2078" s="5">
        <v>20800</v>
      </c>
      <c r="K2078" s="6">
        <f t="shared" si="84"/>
        <v>3.3444053952200243</v>
      </c>
    </row>
    <row r="2079" spans="1:11" hidden="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H2079" s="5">
        <v>11490</v>
      </c>
      <c r="I2079" s="6">
        <v>2852.5250000000001</v>
      </c>
      <c r="J2079" s="5">
        <v>20800</v>
      </c>
      <c r="K2079" s="6">
        <f t="shared" si="84"/>
        <v>4.0280102716014756</v>
      </c>
    </row>
    <row r="2080" spans="1:11" hidden="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H2080" s="5">
        <v>5900</v>
      </c>
      <c r="I2080" s="6">
        <v>3071.95</v>
      </c>
      <c r="J2080" s="5">
        <v>22400</v>
      </c>
      <c r="K2080" s="6">
        <f t="shared" si="84"/>
        <v>1.9206041765002686</v>
      </c>
    </row>
    <row r="2081" spans="1:11" hidden="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H2081" s="5">
        <v>2600</v>
      </c>
      <c r="I2081" s="6">
        <v>1645.6875</v>
      </c>
      <c r="J2081" s="5">
        <v>12000</v>
      </c>
      <c r="K2081" s="6">
        <f t="shared" si="84"/>
        <v>1.5798868254149101</v>
      </c>
    </row>
    <row r="2082" spans="1:11" hidden="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H2082" s="5">
        <v>16700</v>
      </c>
      <c r="I2082" s="6">
        <v>4121.4642855494085</v>
      </c>
      <c r="J2082" s="5">
        <v>31200</v>
      </c>
      <c r="K2082" s="6">
        <f t="shared" si="84"/>
        <v>4.0519579554657765</v>
      </c>
    </row>
    <row r="2083" spans="1:11" hidden="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H2083" s="5">
        <v>1725</v>
      </c>
      <c r="I2083" s="6">
        <v>1056.7857142434418</v>
      </c>
      <c r="J2083" s="5">
        <v>8000</v>
      </c>
      <c r="K2083" s="6">
        <f t="shared" si="84"/>
        <v>1.6323082122991568</v>
      </c>
    </row>
    <row r="2084" spans="1:11" hidden="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H2084" s="5">
        <v>10860</v>
      </c>
      <c r="I2084" s="6">
        <v>2641.9642856076484</v>
      </c>
      <c r="J2084" s="5">
        <v>19996</v>
      </c>
      <c r="K2084" s="6">
        <f t="shared" si="84"/>
        <v>4.1105778981044079</v>
      </c>
    </row>
    <row r="2085" spans="1:11" hidden="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H2085" s="5">
        <v>2460</v>
      </c>
      <c r="I2085" s="6">
        <v>528.39285712153003</v>
      </c>
      <c r="J2085" s="5">
        <v>4000</v>
      </c>
      <c r="K2085" s="6">
        <f t="shared" si="84"/>
        <v>4.6556269011679721</v>
      </c>
    </row>
    <row r="2086" spans="1:11" hidden="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H2086" s="5">
        <v>6090</v>
      </c>
      <c r="I2086" s="6">
        <v>1902.2142856375078</v>
      </c>
      <c r="J2086" s="5">
        <v>14400</v>
      </c>
      <c r="K2086" s="6">
        <f t="shared" si="84"/>
        <v>3.2015320492449137</v>
      </c>
    </row>
    <row r="2087" spans="1:11" hidden="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H2087" s="5">
        <v>1580</v>
      </c>
      <c r="I2087" s="6">
        <v>634.05652706821195</v>
      </c>
      <c r="J2087" s="5">
        <v>4800</v>
      </c>
      <c r="K2087" s="6">
        <f t="shared" si="84"/>
        <v>2.4918913890938041</v>
      </c>
    </row>
    <row r="2088" spans="1:11" hidden="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H2088" s="5">
        <v>19700</v>
      </c>
      <c r="I2088" s="6">
        <v>4487.9999999102474</v>
      </c>
      <c r="J2088" s="5">
        <v>31740</v>
      </c>
      <c r="K2088" s="6">
        <f t="shared" si="84"/>
        <v>4.3894830660414366</v>
      </c>
    </row>
    <row r="2089" spans="1:11" hidden="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H2089" s="5">
        <v>3875</v>
      </c>
      <c r="I2089" s="6">
        <v>1702.8</v>
      </c>
      <c r="J2089" s="5">
        <v>12900</v>
      </c>
      <c r="K2089" s="6">
        <f t="shared" si="84"/>
        <v>2.2756636128729153</v>
      </c>
    </row>
    <row r="2090" spans="1:11" hidden="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H2090" s="5">
        <v>10280</v>
      </c>
      <c r="I2090" s="6">
        <v>3009.6</v>
      </c>
      <c r="J2090" s="5">
        <v>22800</v>
      </c>
      <c r="K2090" s="6">
        <f t="shared" si="84"/>
        <v>3.4157363104731528</v>
      </c>
    </row>
    <row r="2091" spans="1:11" hidden="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H2091" s="5">
        <v>5550</v>
      </c>
      <c r="I2091" s="6">
        <v>1386</v>
      </c>
      <c r="J2091" s="5">
        <v>10500</v>
      </c>
      <c r="K2091" s="6">
        <f t="shared" si="84"/>
        <v>4.0043290043290041</v>
      </c>
    </row>
    <row r="2092" spans="1:11" hidden="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H2092" s="5">
        <v>5640</v>
      </c>
      <c r="I2092" s="6">
        <v>1386</v>
      </c>
      <c r="J2092" s="5">
        <v>10500</v>
      </c>
      <c r="K2092" s="6">
        <f t="shared" si="84"/>
        <v>4.0692640692640696</v>
      </c>
    </row>
    <row r="2093" spans="1:11" hidden="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H2093" s="5">
        <v>2025</v>
      </c>
      <c r="I2093" s="6">
        <v>1029.5999999999999</v>
      </c>
      <c r="J2093" s="5">
        <v>7800</v>
      </c>
      <c r="K2093" s="6">
        <f t="shared" si="84"/>
        <v>1.9667832167832169</v>
      </c>
    </row>
    <row r="2094" spans="1:11" hidden="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H2094" s="5">
        <v>6150</v>
      </c>
      <c r="I2094" s="6">
        <v>2653.2</v>
      </c>
      <c r="J2094" s="5">
        <v>20100</v>
      </c>
      <c r="K2094" s="6">
        <f t="shared" si="84"/>
        <v>2.3179556761646314</v>
      </c>
    </row>
    <row r="2095" spans="1:11" hidden="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H2095" s="5">
        <v>6600</v>
      </c>
      <c r="I2095" s="6">
        <v>1768.8</v>
      </c>
      <c r="J2095" s="5">
        <v>13400</v>
      </c>
      <c r="K2095" s="6">
        <f t="shared" si="84"/>
        <v>3.7313432835820897</v>
      </c>
    </row>
    <row r="2096" spans="1:11" hidden="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H2096" s="5">
        <v>3300</v>
      </c>
      <c r="I2096" s="6">
        <v>1029.5999999999999</v>
      </c>
      <c r="J2096" s="5">
        <v>7800</v>
      </c>
      <c r="K2096" s="6">
        <f t="shared" si="84"/>
        <v>3.2051282051282053</v>
      </c>
    </row>
    <row r="2097" spans="1:11" hidden="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H2097" s="5">
        <v>3575</v>
      </c>
      <c r="I2097" s="6">
        <v>1346.4</v>
      </c>
      <c r="J2097" s="5">
        <v>10200</v>
      </c>
      <c r="K2097" s="6">
        <f t="shared" si="84"/>
        <v>2.6552287581699345</v>
      </c>
    </row>
    <row r="2098" spans="1:11" hidden="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H2098" s="5">
        <v>1170</v>
      </c>
      <c r="I2098" s="6">
        <v>440.18999062500001</v>
      </c>
      <c r="J2098" s="5">
        <v>3200</v>
      </c>
      <c r="K2098" s="6">
        <f t="shared" si="84"/>
        <v>2.6579432175156583</v>
      </c>
    </row>
    <row r="2099" spans="1:11" hidden="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H2099" s="5">
        <v>2125</v>
      </c>
      <c r="I2099" s="6">
        <v>880.38</v>
      </c>
      <c r="J2099" s="5">
        <v>6400</v>
      </c>
      <c r="K2099" s="6">
        <f t="shared" si="84"/>
        <v>2.4137304345850654</v>
      </c>
    </row>
    <row r="2100" spans="1:11" hidden="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H2100" s="5">
        <v>800</v>
      </c>
      <c r="I2100" s="6">
        <v>330.14249999999998</v>
      </c>
      <c r="J2100" s="5">
        <v>2400</v>
      </c>
      <c r="K2100" s="6">
        <f t="shared" si="84"/>
        <v>2.423196044132458</v>
      </c>
    </row>
    <row r="2101" spans="1:11" hidden="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H2101" s="5">
        <v>4225</v>
      </c>
      <c r="I2101" s="6">
        <v>1650.7125000000001</v>
      </c>
      <c r="J2101" s="5">
        <v>12000</v>
      </c>
      <c r="K2101" s="6">
        <f t="shared" si="84"/>
        <v>2.5595008216149084</v>
      </c>
    </row>
    <row r="2102" spans="1:11" hidden="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H2102" s="5">
        <v>4560</v>
      </c>
      <c r="I2102" s="6">
        <v>1287.0000000000018</v>
      </c>
      <c r="J2102" s="5">
        <v>9400</v>
      </c>
      <c r="K2102" s="6">
        <f t="shared" si="84"/>
        <v>3.5431235431235382</v>
      </c>
    </row>
    <row r="2103" spans="1:11" hidden="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H2103" s="5">
        <v>8400</v>
      </c>
      <c r="I2103" s="6">
        <v>2641.14</v>
      </c>
      <c r="J2103" s="5">
        <v>19200</v>
      </c>
      <c r="K2103" s="6">
        <f t="shared" si="84"/>
        <v>3.1804448079238514</v>
      </c>
    </row>
    <row r="2104" spans="1:11" hidden="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H2104" s="5">
        <v>3600</v>
      </c>
      <c r="I2104" s="6">
        <v>880.38</v>
      </c>
      <c r="J2104" s="5">
        <v>6400</v>
      </c>
      <c r="K2104" s="6">
        <f t="shared" si="84"/>
        <v>4.0891433244735227</v>
      </c>
    </row>
    <row r="2105" spans="1:11" hidden="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H2105" s="5">
        <v>2740</v>
      </c>
      <c r="I2105" s="6">
        <v>880.38</v>
      </c>
      <c r="J2105" s="5">
        <v>6400</v>
      </c>
      <c r="K2105" s="6">
        <f t="shared" si="84"/>
        <v>3.1122924191826256</v>
      </c>
    </row>
    <row r="2106" spans="1:11" hidden="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H2106" s="5">
        <v>840</v>
      </c>
      <c r="I2106" s="6">
        <v>1755.4</v>
      </c>
      <c r="J2106" s="5">
        <v>12800</v>
      </c>
      <c r="K2106" s="6">
        <f t="shared" si="84"/>
        <v>0.47852341346701605</v>
      </c>
    </row>
    <row r="2107" spans="1:11" hidden="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H2107" s="5">
        <v>6600</v>
      </c>
      <c r="I2107" s="6">
        <v>2413.6749943750001</v>
      </c>
      <c r="J2107" s="5">
        <v>17600</v>
      </c>
      <c r="K2107" s="6">
        <f t="shared" si="84"/>
        <v>2.7344195118982917</v>
      </c>
    </row>
    <row r="2108" spans="1:11" hidden="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H2108" s="5">
        <v>5900</v>
      </c>
      <c r="I2108" s="6">
        <v>1645.6875</v>
      </c>
      <c r="J2108" s="5">
        <v>12000</v>
      </c>
      <c r="K2108" s="6">
        <f t="shared" si="84"/>
        <v>3.5851277961338348</v>
      </c>
    </row>
    <row r="2109" spans="1:11" hidden="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H2109" s="5">
        <v>2880</v>
      </c>
      <c r="I2109" s="6">
        <v>726.32013058333712</v>
      </c>
      <c r="J2109" s="5">
        <v>5712</v>
      </c>
      <c r="K2109" s="6">
        <f t="shared" si="84"/>
        <v>3.9651936917774195</v>
      </c>
    </row>
    <row r="2110" spans="1:11" hidden="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H2110" s="5">
        <v>2910</v>
      </c>
      <c r="I2110" s="6">
        <v>924.39958333667107</v>
      </c>
      <c r="J2110" s="5">
        <v>6720</v>
      </c>
      <c r="K2110" s="6">
        <f t="shared" si="84"/>
        <v>3.1479893029551085</v>
      </c>
    </row>
    <row r="2111" spans="1:11" hidden="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H2111" s="5">
        <v>3440</v>
      </c>
      <c r="I2111" s="6">
        <v>1122.485208333339</v>
      </c>
      <c r="J2111" s="5">
        <v>8160</v>
      </c>
      <c r="K2111" s="6">
        <f t="shared" ref="K2111:K2173" si="86">+H2111/I2111</f>
        <v>3.0646283572036523</v>
      </c>
    </row>
    <row r="2112" spans="1:11" hidden="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H2112" s="5">
        <v>780</v>
      </c>
      <c r="I2112" s="6">
        <v>396.17125000000198</v>
      </c>
      <c r="J2112" s="5">
        <v>2880</v>
      </c>
      <c r="K2112" s="6">
        <f t="shared" si="86"/>
        <v>1.9688455434360674</v>
      </c>
    </row>
    <row r="2113" spans="1:11" hidden="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H2113" s="5">
        <v>4500</v>
      </c>
      <c r="I2113" s="6">
        <v>1535.9749999999999</v>
      </c>
      <c r="J2113" s="5">
        <v>11200</v>
      </c>
      <c r="K2113" s="6">
        <f t="shared" si="86"/>
        <v>2.9297351844919355</v>
      </c>
    </row>
    <row r="2114" spans="1:11" hidden="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H2114" s="5">
        <v>3440</v>
      </c>
      <c r="I2114" s="6">
        <v>1535.9749999999999</v>
      </c>
      <c r="J2114" s="5">
        <v>11200</v>
      </c>
      <c r="K2114" s="6">
        <f t="shared" si="86"/>
        <v>2.2396197854782796</v>
      </c>
    </row>
    <row r="2115" spans="1:11" hidden="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H2115" s="5">
        <v>2010</v>
      </c>
      <c r="I2115" s="6">
        <v>594.25687500000299</v>
      </c>
      <c r="J2115" s="5">
        <v>4320</v>
      </c>
      <c r="K2115" s="6">
        <f t="shared" si="86"/>
        <v>3.3823756771850388</v>
      </c>
    </row>
    <row r="2116" spans="1:11" hidden="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H2116" s="5">
        <v>7260</v>
      </c>
      <c r="I2116" s="6">
        <v>2575.1131250013459</v>
      </c>
      <c r="J2116" s="5">
        <v>18720</v>
      </c>
      <c r="K2116" s="6">
        <f t="shared" si="86"/>
        <v>2.8192936184099504</v>
      </c>
    </row>
    <row r="2117" spans="1:11" hidden="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H2117" s="5">
        <v>1590</v>
      </c>
      <c r="I2117" s="6">
        <v>528.37931032368999</v>
      </c>
      <c r="J2117" s="5">
        <v>4000</v>
      </c>
      <c r="K2117" s="6">
        <f t="shared" ref="K2117:K2123" si="87">IFERROR(H2117/I2117,"")</f>
        <v>3.0092018535433409</v>
      </c>
    </row>
    <row r="2118" spans="1:11" hidden="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H2118" s="5">
        <v>4525</v>
      </c>
      <c r="I2118" s="6">
        <v>2272.0310343918732</v>
      </c>
      <c r="J2118" s="5">
        <v>17200</v>
      </c>
      <c r="K2118" s="6">
        <f t="shared" si="87"/>
        <v>1.9916101195383327</v>
      </c>
    </row>
    <row r="2119" spans="1:11" hidden="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H2119" s="5">
        <v>3000</v>
      </c>
      <c r="I2119" s="6">
        <v>1162.4344827121224</v>
      </c>
      <c r="J2119" s="5">
        <v>8800</v>
      </c>
      <c r="K2119" s="6">
        <f t="shared" si="87"/>
        <v>2.5807906119582587</v>
      </c>
    </row>
    <row r="2120" spans="1:11" hidden="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H2120" s="5">
        <v>1995</v>
      </c>
      <c r="I2120" s="6">
        <v>1162.4344827121181</v>
      </c>
      <c r="J2120" s="5">
        <v>8800</v>
      </c>
      <c r="K2120" s="6">
        <f t="shared" si="87"/>
        <v>1.7162257569522483</v>
      </c>
    </row>
    <row r="2121" spans="1:11" hidden="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H2121" s="5">
        <v>2910</v>
      </c>
      <c r="I2121" s="6">
        <v>1056.7586206473827</v>
      </c>
      <c r="J2121" s="5">
        <v>8000</v>
      </c>
      <c r="K2121" s="6">
        <f t="shared" si="87"/>
        <v>2.7537035829594649</v>
      </c>
    </row>
    <row r="2122" spans="1:11" hidden="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H2122" s="5">
        <v>1530</v>
      </c>
      <c r="I2122" s="6">
        <v>1109.596551679753</v>
      </c>
      <c r="J2122" s="5">
        <v>8400</v>
      </c>
      <c r="K2122" s="6">
        <f t="shared" si="87"/>
        <v>1.3788795555319839</v>
      </c>
    </row>
    <row r="2123" spans="1:11" hidden="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H2123" s="5">
        <v>3950</v>
      </c>
      <c r="I2123" s="6">
        <v>1902.1655171652881</v>
      </c>
      <c r="J2123" s="5">
        <v>14400</v>
      </c>
      <c r="K2123" s="6">
        <f t="shared" si="87"/>
        <v>2.076580594251602</v>
      </c>
    </row>
    <row r="2124" spans="1:11" hidden="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H2124" s="5">
        <v>3575</v>
      </c>
      <c r="I2124" s="6">
        <v>951.10714281909407</v>
      </c>
      <c r="J2124" s="5">
        <v>7200</v>
      </c>
      <c r="K2124" s="6">
        <f t="shared" si="86"/>
        <v>3.758777364875689</v>
      </c>
    </row>
    <row r="2125" spans="1:11" hidden="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H2125" s="5">
        <v>7770</v>
      </c>
      <c r="I2125" s="6">
        <v>3804.4285712763772</v>
      </c>
      <c r="J2125" s="5">
        <v>28800</v>
      </c>
      <c r="K2125" s="6">
        <f t="shared" si="86"/>
        <v>2.0423566521037828</v>
      </c>
    </row>
    <row r="2126" spans="1:11" hidden="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H2126" s="5">
        <v>5190</v>
      </c>
      <c r="I2126" s="6">
        <v>2641.8965516184649</v>
      </c>
      <c r="J2126" s="5">
        <v>20000</v>
      </c>
      <c r="K2126" s="6">
        <f t="shared" si="86"/>
        <v>1.9644978138226228</v>
      </c>
    </row>
    <row r="2127" spans="1:11" hidden="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H2127" s="5">
        <v>10320</v>
      </c>
      <c r="I2127" s="6">
        <v>3592.9793102010913</v>
      </c>
      <c r="J2127" s="5">
        <v>26044</v>
      </c>
      <c r="K2127" s="6">
        <f t="shared" si="86"/>
        <v>2.8722681398970851</v>
      </c>
    </row>
    <row r="2128" spans="1:11" hidden="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H2128" s="5">
        <v>3200</v>
      </c>
      <c r="I2128" s="6">
        <v>1268.1103447768633</v>
      </c>
      <c r="J2128" s="5">
        <v>9600</v>
      </c>
      <c r="K2128" s="6">
        <f t="shared" si="86"/>
        <v>2.5234397094702925</v>
      </c>
    </row>
    <row r="2129" spans="1:11" hidden="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H2129" s="5">
        <v>1275</v>
      </c>
      <c r="I2129" s="6">
        <v>528.37931032368999</v>
      </c>
      <c r="J2129" s="5">
        <v>4000</v>
      </c>
      <c r="K2129" s="6">
        <f t="shared" si="86"/>
        <v>2.4130392221809807</v>
      </c>
    </row>
    <row r="2130" spans="1:11" hidden="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H2130" s="5">
        <v>2340</v>
      </c>
      <c r="I2130" s="6">
        <v>1162.4344827121247</v>
      </c>
      <c r="J2130" s="5">
        <v>8800</v>
      </c>
      <c r="K2130" s="6">
        <f t="shared" si="86"/>
        <v>2.0130166773274376</v>
      </c>
    </row>
    <row r="2131" spans="1:11" hidden="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H2131" s="5">
        <v>1740</v>
      </c>
      <c r="I2131" s="6">
        <v>528.3915024419166</v>
      </c>
      <c r="J2131" s="5">
        <v>4000</v>
      </c>
      <c r="K2131" s="6">
        <f t="shared" si="86"/>
        <v>3.2930128360481525</v>
      </c>
    </row>
    <row r="2132" spans="1:11" hidden="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H2132" s="5">
        <v>12300</v>
      </c>
      <c r="I2132" s="6">
        <v>3910.1071427007282</v>
      </c>
      <c r="J2132" s="5">
        <v>29260</v>
      </c>
      <c r="K2132" s="6">
        <f t="shared" si="86"/>
        <v>3.1456938521393907</v>
      </c>
    </row>
    <row r="2133" spans="1:11" hidden="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H2133" s="5">
        <v>4980</v>
      </c>
      <c r="I2133" s="6">
        <v>1902.2142856381945</v>
      </c>
      <c r="J2133" s="5">
        <v>14400</v>
      </c>
      <c r="K2133" s="6">
        <f t="shared" si="86"/>
        <v>2.6180015772141076</v>
      </c>
    </row>
    <row r="2134" spans="1:11" hidden="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H2134" s="5">
        <v>2250</v>
      </c>
      <c r="I2134" s="6">
        <v>1162.4642856677858</v>
      </c>
      <c r="J2134" s="5">
        <v>8800</v>
      </c>
      <c r="K2134" s="6">
        <f t="shared" si="86"/>
        <v>1.9355433347420834</v>
      </c>
    </row>
    <row r="2135" spans="1:11" hidden="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H2135" s="5">
        <v>540</v>
      </c>
      <c r="I2135" s="6">
        <v>317.03571427303262</v>
      </c>
      <c r="J2135" s="5">
        <v>2400</v>
      </c>
      <c r="K2135" s="6">
        <f t="shared" si="86"/>
        <v>1.7032781345730328</v>
      </c>
    </row>
    <row r="2136" spans="1:11" hidden="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H2136" s="5">
        <v>2375</v>
      </c>
      <c r="I2136" s="6">
        <v>951.10714281875391</v>
      </c>
      <c r="J2136" s="5">
        <v>7200</v>
      </c>
      <c r="K2136" s="6">
        <f t="shared" si="86"/>
        <v>2.4970898577854417</v>
      </c>
    </row>
    <row r="2137" spans="1:11" hidden="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H2137" s="5">
        <v>1650</v>
      </c>
      <c r="I2137" s="6">
        <v>898.26785710660101</v>
      </c>
      <c r="J2137" s="5">
        <v>6800</v>
      </c>
      <c r="K2137" s="6">
        <f t="shared" si="86"/>
        <v>1.8368685765009936</v>
      </c>
    </row>
    <row r="2138" spans="1:11" hidden="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H2138" s="5">
        <v>3000</v>
      </c>
      <c r="I2138" s="6">
        <v>1162.4642856673661</v>
      </c>
      <c r="J2138" s="5">
        <v>8800</v>
      </c>
      <c r="K2138" s="6">
        <f t="shared" si="86"/>
        <v>2.5807244463237096</v>
      </c>
    </row>
    <row r="2139" spans="1:11" hidden="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H2139" s="5">
        <v>3870</v>
      </c>
      <c r="I2139" s="6">
        <v>686.91071425798896</v>
      </c>
      <c r="J2139" s="5">
        <v>5200</v>
      </c>
      <c r="K2139" s="6">
        <f t="shared" si="86"/>
        <v>5.6339199835897604</v>
      </c>
    </row>
    <row r="2140" spans="1:11" hidden="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H2140" s="5">
        <v>1200</v>
      </c>
      <c r="I2140" s="6">
        <v>845.428571394752</v>
      </c>
      <c r="J2140" s="5">
        <v>6400</v>
      </c>
      <c r="K2140" s="6">
        <f t="shared" si="86"/>
        <v>1.4193984454775301</v>
      </c>
    </row>
    <row r="2141" spans="1:11" hidden="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H2141" s="5">
        <v>8850</v>
      </c>
      <c r="I2141" s="6">
        <v>3910.1071427007355</v>
      </c>
      <c r="J2141" s="5">
        <v>29600</v>
      </c>
      <c r="K2141" s="6">
        <f t="shared" si="86"/>
        <v>2.2633650887344356</v>
      </c>
    </row>
    <row r="2142" spans="1:11" hidden="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H2142" s="5">
        <v>7900</v>
      </c>
      <c r="I2142" s="6">
        <v>4015.7857141250793</v>
      </c>
      <c r="J2142" s="5">
        <v>30400</v>
      </c>
      <c r="K2142" s="6">
        <f t="shared" si="86"/>
        <v>1.9672364419776258</v>
      </c>
    </row>
    <row r="2143" spans="1:11" hidden="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H2143" s="5">
        <v>8730</v>
      </c>
      <c r="I2143" s="6">
        <v>2747.5751230427709</v>
      </c>
      <c r="J2143" s="5">
        <v>20800</v>
      </c>
      <c r="K2143" s="6">
        <f t="shared" si="86"/>
        <v>3.1773471548730798</v>
      </c>
    </row>
    <row r="2144" spans="1:11" hidden="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H2144" s="5">
        <v>1650</v>
      </c>
      <c r="I2144" s="6">
        <v>1056.75862064738</v>
      </c>
      <c r="J2144" s="5">
        <v>9600</v>
      </c>
      <c r="K2144" s="6">
        <f t="shared" si="86"/>
        <v>1.5613783202347522</v>
      </c>
    </row>
    <row r="2145" spans="1:11" hidden="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H2145" s="5">
        <v>0</v>
      </c>
      <c r="I2145" s="6">
        <v>317.02758619421581</v>
      </c>
      <c r="J2145" s="5">
        <v>2640</v>
      </c>
      <c r="K2145" s="6">
        <f t="shared" si="86"/>
        <v>0</v>
      </c>
    </row>
    <row r="2146" spans="1:11" hidden="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H2146" s="5">
        <v>0</v>
      </c>
      <c r="I2146" s="6">
        <v>52.837931032368999</v>
      </c>
      <c r="J2146" s="5">
        <v>440</v>
      </c>
      <c r="K2146" s="6">
        <f t="shared" si="86"/>
        <v>0</v>
      </c>
    </row>
    <row r="2147" spans="1:11" hidden="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H2147" s="5">
        <v>16770</v>
      </c>
      <c r="I2147" s="6">
        <v>3592.9793102011122</v>
      </c>
      <c r="J2147" s="5">
        <v>27820</v>
      </c>
      <c r="K2147" s="6">
        <f t="shared" si="86"/>
        <v>4.6674357273327356</v>
      </c>
    </row>
    <row r="2148" spans="1:11" hidden="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H2148" s="5">
        <v>4680</v>
      </c>
      <c r="I2148" s="6">
        <v>1585.2222221588099</v>
      </c>
      <c r="J2148" s="5">
        <v>11490</v>
      </c>
      <c r="K2148" s="6">
        <f t="shared" si="86"/>
        <v>2.952267470504303</v>
      </c>
    </row>
    <row r="2149" spans="1:11" hidden="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H2149" s="5">
        <v>125</v>
      </c>
      <c r="I2149" s="6">
        <v>1796.5851851133182</v>
      </c>
      <c r="J2149" s="5">
        <v>13600</v>
      </c>
      <c r="K2149" s="6">
        <f t="shared" si="86"/>
        <v>6.9576439255851774E-2</v>
      </c>
    </row>
    <row r="2150" spans="1:11" hidden="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H2150" s="5">
        <v>4530</v>
      </c>
      <c r="I2150" s="6">
        <v>2219.311111022334</v>
      </c>
      <c r="J2150" s="5">
        <v>16800</v>
      </c>
      <c r="K2150" s="6">
        <f t="shared" si="86"/>
        <v>2.041173937940246</v>
      </c>
    </row>
    <row r="2151" spans="1:11" hidden="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H2151" s="5">
        <v>7400</v>
      </c>
      <c r="I2151" s="6">
        <v>2959.0814813631118</v>
      </c>
      <c r="J2151" s="5">
        <v>22400</v>
      </c>
      <c r="K2151" s="6">
        <f t="shared" si="86"/>
        <v>2.5007760166817583</v>
      </c>
    </row>
    <row r="2152" spans="1:11" hidden="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H2152" s="5">
        <v>1900</v>
      </c>
      <c r="I2152" s="6">
        <v>1912.3542857142861</v>
      </c>
      <c r="J2152" s="5">
        <v>16320</v>
      </c>
      <c r="K2152" s="6">
        <f t="shared" si="86"/>
        <v>0.99353975055429045</v>
      </c>
    </row>
    <row r="2153" spans="1:11" hidden="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H2153" s="5">
        <v>5350</v>
      </c>
      <c r="I2153" s="6">
        <v>2812.2857142428579</v>
      </c>
      <c r="J2153" s="5">
        <v>20000</v>
      </c>
      <c r="K2153" s="6">
        <f t="shared" si="86"/>
        <v>1.9023671645113633</v>
      </c>
    </row>
    <row r="2154" spans="1:11" hidden="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H2154" s="5">
        <v>4375</v>
      </c>
      <c r="I2154" s="6">
        <v>1768.8376470588223</v>
      </c>
      <c r="J2154" s="5">
        <v>12800</v>
      </c>
      <c r="K2154" s="6">
        <f t="shared" si="86"/>
        <v>2.4733756697651916</v>
      </c>
    </row>
    <row r="2155" spans="1:11" hidden="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H2155" s="5">
        <v>6160</v>
      </c>
      <c r="I2155" s="6">
        <v>2263.7999998868127</v>
      </c>
      <c r="J2155" s="5">
        <v>17920</v>
      </c>
      <c r="K2155" s="6">
        <f t="shared" si="86"/>
        <v>2.7210884355102007</v>
      </c>
    </row>
    <row r="2156" spans="1:11" hidden="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H2156" s="5">
        <v>1320</v>
      </c>
      <c r="I2156" s="6">
        <v>994.97117647058747</v>
      </c>
      <c r="J2156" s="5">
        <v>7200</v>
      </c>
      <c r="K2156" s="6">
        <f t="shared" si="86"/>
        <v>1.3266715973445296</v>
      </c>
    </row>
    <row r="2157" spans="1:11" hidden="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H2157" s="5">
        <v>2410</v>
      </c>
      <c r="I2157" s="6">
        <v>994.97117647058747</v>
      </c>
      <c r="J2157" s="5">
        <v>7920</v>
      </c>
      <c r="K2157" s="6">
        <f t="shared" si="86"/>
        <v>2.4221807193941789</v>
      </c>
    </row>
    <row r="2158" spans="1:11" hidden="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H2158" s="5">
        <v>4200</v>
      </c>
      <c r="I2158" s="6">
        <v>2263.7999998868127</v>
      </c>
      <c r="J2158" s="5">
        <v>17920</v>
      </c>
      <c r="K2158" s="6">
        <f t="shared" si="86"/>
        <v>1.855287569666046</v>
      </c>
    </row>
    <row r="2159" spans="1:11" hidden="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H2159" s="5">
        <v>20280</v>
      </c>
      <c r="I2159" s="6">
        <v>6727.0499997982479</v>
      </c>
      <c r="J2159" s="5">
        <v>49210</v>
      </c>
      <c r="K2159" s="6">
        <f t="shared" si="86"/>
        <v>3.0146944055132963</v>
      </c>
    </row>
    <row r="2160" spans="1:11" hidden="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H2160" s="5">
        <v>2520</v>
      </c>
      <c r="I2160" s="6">
        <v>994.95</v>
      </c>
      <c r="J2160" s="5">
        <v>7200</v>
      </c>
      <c r="K2160" s="6">
        <f t="shared" si="86"/>
        <v>2.532790592492085</v>
      </c>
    </row>
    <row r="2161" spans="1:11" hidden="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H2161" s="5">
        <v>2020</v>
      </c>
      <c r="I2161" s="6">
        <v>831.6</v>
      </c>
      <c r="J2161" s="5">
        <v>6300</v>
      </c>
      <c r="K2161" s="6">
        <f t="shared" si="86"/>
        <v>2.4290524290524291</v>
      </c>
    </row>
    <row r="2162" spans="1:11" hidden="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H2162" s="5">
        <v>3875</v>
      </c>
      <c r="I2162" s="6">
        <v>1267.2</v>
      </c>
      <c r="J2162" s="5">
        <v>9600</v>
      </c>
      <c r="K2162" s="6">
        <f t="shared" si="86"/>
        <v>3.0579229797979797</v>
      </c>
    </row>
    <row r="2163" spans="1:11" hidden="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H2163" s="5">
        <v>840</v>
      </c>
      <c r="I2163" s="6">
        <v>316.8</v>
      </c>
      <c r="J2163" s="5">
        <v>2400</v>
      </c>
      <c r="K2163" s="6">
        <f t="shared" si="86"/>
        <v>2.6515151515151514</v>
      </c>
    </row>
    <row r="2164" spans="1:11" hidden="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H2164" s="5">
        <v>14100</v>
      </c>
      <c r="I2164" s="6">
        <v>3603.6</v>
      </c>
      <c r="J2164" s="5">
        <v>27296</v>
      </c>
      <c r="K2164" s="6">
        <f t="shared" si="86"/>
        <v>3.9127539127539128</v>
      </c>
    </row>
    <row r="2165" spans="1:11" hidden="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H2165" s="5">
        <v>6475</v>
      </c>
      <c r="I2165" s="6">
        <v>3682.8</v>
      </c>
      <c r="J2165" s="5">
        <v>27900</v>
      </c>
      <c r="K2165" s="6">
        <f t="shared" si="86"/>
        <v>1.7581731291408711</v>
      </c>
    </row>
    <row r="2166" spans="1:11" hidden="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H2166" s="5">
        <v>4500</v>
      </c>
      <c r="I2166" s="6">
        <v>2376</v>
      </c>
      <c r="J2166" s="5">
        <v>18000</v>
      </c>
      <c r="K2166" s="6">
        <f t="shared" si="86"/>
        <v>1.893939393939394</v>
      </c>
    </row>
    <row r="2167" spans="1:11" hidden="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H2167" s="5">
        <v>1500</v>
      </c>
      <c r="I2167" s="6">
        <v>950.4</v>
      </c>
      <c r="J2167" s="5">
        <v>7200</v>
      </c>
      <c r="K2167" s="6">
        <f t="shared" si="86"/>
        <v>1.5782828282828283</v>
      </c>
    </row>
    <row r="2168" spans="1:11" hidden="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H2168" s="5">
        <v>3650</v>
      </c>
      <c r="I2168" s="6">
        <v>1346.4</v>
      </c>
      <c r="J2168" s="5">
        <v>10200</v>
      </c>
      <c r="K2168" s="6">
        <f t="shared" si="86"/>
        <v>2.7109328579916814</v>
      </c>
    </row>
    <row r="2169" spans="1:11" hidden="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H2169" s="5">
        <v>6270</v>
      </c>
      <c r="I2169" s="6">
        <v>2851.2</v>
      </c>
      <c r="J2169" s="5">
        <v>21600</v>
      </c>
      <c r="K2169" s="6">
        <f t="shared" si="86"/>
        <v>2.1990740740740744</v>
      </c>
    </row>
    <row r="2170" spans="1:11" hidden="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H2170" s="5">
        <v>2640</v>
      </c>
      <c r="I2170" s="6">
        <v>2138.4</v>
      </c>
      <c r="J2170" s="5">
        <v>16200</v>
      </c>
      <c r="K2170" s="6">
        <f t="shared" si="86"/>
        <v>1.2345679012345678</v>
      </c>
    </row>
    <row r="2171" spans="1:11" hidden="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H2171" s="5">
        <v>1725</v>
      </c>
      <c r="I2171" s="6">
        <v>963.6</v>
      </c>
      <c r="J2171" s="5">
        <v>7570</v>
      </c>
      <c r="K2171" s="6">
        <f t="shared" si="86"/>
        <v>1.790161892901619</v>
      </c>
    </row>
    <row r="2172" spans="1:11" hidden="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H2172" s="5">
        <v>6575</v>
      </c>
      <c r="I2172" s="6">
        <v>3168</v>
      </c>
      <c r="J2172" s="5">
        <v>24000</v>
      </c>
      <c r="K2172" s="6">
        <f t="shared" si="86"/>
        <v>2.0754419191919191</v>
      </c>
    </row>
    <row r="2173" spans="1:11" hidden="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H2173" s="5">
        <v>3300</v>
      </c>
      <c r="I2173" s="6">
        <v>1188</v>
      </c>
      <c r="J2173" s="5">
        <v>9000</v>
      </c>
      <c r="K2173" s="6">
        <f t="shared" si="86"/>
        <v>2.7777777777777777</v>
      </c>
    </row>
    <row r="2174" spans="1:11" hidden="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H2174" s="5">
        <v>5300</v>
      </c>
      <c r="I2174" s="6">
        <v>2732.4</v>
      </c>
      <c r="J2174" s="5">
        <v>20700</v>
      </c>
      <c r="K2174" s="6">
        <f t="shared" ref="K2174:K2237" si="89">+H2174/I2174</f>
        <v>1.9396867222954179</v>
      </c>
    </row>
    <row r="2175" spans="1:11" hidden="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H2175" s="5">
        <v>1080</v>
      </c>
      <c r="I2175" s="6">
        <v>673.2</v>
      </c>
      <c r="J2175" s="5">
        <v>5100</v>
      </c>
      <c r="K2175" s="6">
        <f t="shared" si="89"/>
        <v>1.6042780748663101</v>
      </c>
    </row>
    <row r="2176" spans="1:11" hidden="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H2176" s="5">
        <v>3420</v>
      </c>
      <c r="I2176" s="6">
        <v>1100.4749999999999</v>
      </c>
      <c r="J2176" s="5">
        <v>8000</v>
      </c>
      <c r="K2176" s="6">
        <f t="shared" si="89"/>
        <v>3.1077489265998777</v>
      </c>
    </row>
    <row r="2177" spans="1:11" hidden="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H2177" s="5">
        <v>3075</v>
      </c>
      <c r="I2177" s="6">
        <v>1287</v>
      </c>
      <c r="J2177" s="5">
        <v>9400</v>
      </c>
      <c r="K2177" s="6">
        <f t="shared" si="89"/>
        <v>2.3892773892773893</v>
      </c>
    </row>
    <row r="2178" spans="1:11" hidden="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H2178" s="5">
        <v>8490</v>
      </c>
      <c r="I2178" s="6">
        <v>2641.14</v>
      </c>
      <c r="J2178" s="5">
        <v>19200</v>
      </c>
      <c r="K2178" s="6">
        <f t="shared" si="89"/>
        <v>3.2145210022944637</v>
      </c>
    </row>
    <row r="2179" spans="1:11" hidden="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H2179" s="5">
        <v>4975</v>
      </c>
      <c r="I2179" s="6">
        <v>2641.14</v>
      </c>
      <c r="J2179" s="5">
        <v>19200</v>
      </c>
      <c r="K2179" s="6">
        <f t="shared" si="89"/>
        <v>1.8836562999310904</v>
      </c>
    </row>
    <row r="2180" spans="1:11" hidden="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H2180" s="5">
        <v>4350</v>
      </c>
      <c r="I2180" s="6">
        <v>1430.6174906250001</v>
      </c>
      <c r="J2180" s="5">
        <v>10400</v>
      </c>
      <c r="K2180" s="6">
        <f t="shared" si="89"/>
        <v>3.0406450560726728</v>
      </c>
    </row>
    <row r="2181" spans="1:11" hidden="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H2181" s="5">
        <v>2340</v>
      </c>
      <c r="I2181" s="6">
        <v>1430.6175000000001</v>
      </c>
      <c r="J2181" s="5">
        <v>10400</v>
      </c>
      <c r="K2181" s="6">
        <f t="shared" si="89"/>
        <v>1.635657329789409</v>
      </c>
    </row>
    <row r="2182" spans="1:11" hidden="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H2182" s="5">
        <v>5970</v>
      </c>
      <c r="I2182" s="6">
        <v>2861.2350000000001</v>
      </c>
      <c r="J2182" s="5">
        <v>20800</v>
      </c>
      <c r="K2182" s="6">
        <f t="shared" si="89"/>
        <v>2.0865115937698229</v>
      </c>
    </row>
    <row r="2183" spans="1:11" hidden="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H2183" s="5">
        <v>7575</v>
      </c>
      <c r="I2183" s="6">
        <v>3071.9505625000002</v>
      </c>
      <c r="J2183" s="5">
        <v>22400</v>
      </c>
      <c r="K2183" s="6">
        <f t="shared" si="89"/>
        <v>2.4658599954275795</v>
      </c>
    </row>
    <row r="2184" spans="1:11" hidden="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H2184" s="5">
        <v>4280</v>
      </c>
      <c r="I2184" s="6">
        <v>1097.125</v>
      </c>
      <c r="J2184" s="5">
        <v>8000</v>
      </c>
      <c r="K2184" s="6">
        <f t="shared" si="89"/>
        <v>3.9011051612168166</v>
      </c>
    </row>
    <row r="2185" spans="1:11" hidden="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H2185" s="5">
        <v>6800</v>
      </c>
      <c r="I2185" s="6">
        <v>2852.5250000000001</v>
      </c>
      <c r="J2185" s="5">
        <v>20800</v>
      </c>
      <c r="K2185" s="6">
        <f t="shared" si="89"/>
        <v>2.3838529022532668</v>
      </c>
    </row>
    <row r="2186" spans="1:11" hidden="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H2186" s="5">
        <v>5790</v>
      </c>
      <c r="I2186" s="6">
        <v>2633.1</v>
      </c>
      <c r="J2186" s="5">
        <v>19200</v>
      </c>
      <c r="K2186" s="6">
        <f t="shared" si="89"/>
        <v>2.1989290190270023</v>
      </c>
    </row>
    <row r="2187" spans="1:11" hidden="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H2187" s="5">
        <v>5520</v>
      </c>
      <c r="I2187" s="6">
        <v>2633.1</v>
      </c>
      <c r="J2187" s="5">
        <v>19200</v>
      </c>
      <c r="K2187" s="6">
        <f t="shared" si="89"/>
        <v>2.0963882875697846</v>
      </c>
    </row>
    <row r="2188" spans="1:11" hidden="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H2188" s="5">
        <v>9000</v>
      </c>
      <c r="I2188" s="6">
        <v>2852.5250000000001</v>
      </c>
      <c r="J2188" s="5">
        <v>20800</v>
      </c>
      <c r="K2188" s="6">
        <f t="shared" si="89"/>
        <v>3.1550994294528532</v>
      </c>
    </row>
    <row r="2189" spans="1:11" hidden="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H2189" s="5">
        <v>11700</v>
      </c>
      <c r="I2189" s="6">
        <v>2852.5250000000001</v>
      </c>
      <c r="J2189" s="5">
        <v>20800</v>
      </c>
      <c r="K2189" s="6">
        <f t="shared" si="89"/>
        <v>4.1016292582887086</v>
      </c>
    </row>
    <row r="2190" spans="1:11" hidden="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H2190" s="5">
        <v>5450</v>
      </c>
      <c r="I2190" s="6">
        <v>3071.95</v>
      </c>
      <c r="J2190" s="5">
        <v>22400</v>
      </c>
      <c r="K2190" s="6">
        <f t="shared" si="89"/>
        <v>1.774117417275672</v>
      </c>
    </row>
    <row r="2191" spans="1:11" hidden="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H2191" s="5">
        <v>3400</v>
      </c>
      <c r="I2191" s="6">
        <v>1645.6875</v>
      </c>
      <c r="J2191" s="5">
        <v>12000</v>
      </c>
      <c r="K2191" s="6">
        <f t="shared" si="89"/>
        <v>2.0660058486194979</v>
      </c>
    </row>
    <row r="2192" spans="1:11" hidden="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H2192" s="5">
        <v>9800</v>
      </c>
      <c r="I2192" s="6">
        <v>4121.4642855494085</v>
      </c>
      <c r="J2192" s="5">
        <v>31200</v>
      </c>
      <c r="K2192" s="6">
        <f t="shared" si="89"/>
        <v>2.3777956864409946</v>
      </c>
    </row>
    <row r="2193" spans="1:11" hidden="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H2193" s="5">
        <v>1350</v>
      </c>
      <c r="I2193" s="6">
        <v>1056.7857142434418</v>
      </c>
      <c r="J2193" s="5">
        <v>8000</v>
      </c>
      <c r="K2193" s="6">
        <f t="shared" si="89"/>
        <v>1.2774586009297748</v>
      </c>
    </row>
    <row r="2194" spans="1:11" hidden="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H2194" s="5">
        <v>7590</v>
      </c>
      <c r="I2194" s="6">
        <v>2641.9642856076484</v>
      </c>
      <c r="J2194" s="5">
        <v>19996</v>
      </c>
      <c r="K2194" s="6">
        <f t="shared" si="89"/>
        <v>2.8728624536475555</v>
      </c>
    </row>
    <row r="2195" spans="1:11" hidden="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H2195" s="5">
        <v>1640</v>
      </c>
      <c r="I2195" s="6">
        <v>528.39285712153003</v>
      </c>
      <c r="J2195" s="5">
        <v>4000</v>
      </c>
      <c r="K2195" s="6">
        <f t="shared" si="89"/>
        <v>3.1037512674453147</v>
      </c>
    </row>
    <row r="2196" spans="1:11" hidden="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H2196" s="5">
        <v>3960</v>
      </c>
      <c r="I2196" s="6">
        <v>1902.2142856375078</v>
      </c>
      <c r="J2196" s="5">
        <v>14400</v>
      </c>
      <c r="K2196" s="6">
        <f t="shared" si="89"/>
        <v>2.0817843867011261</v>
      </c>
    </row>
    <row r="2197" spans="1:11" hidden="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H2197" s="5">
        <v>1280</v>
      </c>
      <c r="I2197" s="6">
        <v>634.05652706821195</v>
      </c>
      <c r="J2197" s="5">
        <v>4800</v>
      </c>
      <c r="K2197" s="6">
        <f t="shared" si="89"/>
        <v>2.01874745445574</v>
      </c>
    </row>
    <row r="2198" spans="1:11" hidden="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H2198" s="5">
        <v>14840</v>
      </c>
      <c r="I2198" s="6">
        <v>4487.9999999102474</v>
      </c>
      <c r="J2198" s="5">
        <v>31740</v>
      </c>
      <c r="K2198" s="6">
        <f t="shared" si="89"/>
        <v>3.3065953654850211</v>
      </c>
    </row>
    <row r="2199" spans="1:11" hidden="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H2199" s="5">
        <v>3350</v>
      </c>
      <c r="I2199" s="6">
        <v>1702.8</v>
      </c>
      <c r="J2199" s="5">
        <v>12900</v>
      </c>
      <c r="K2199" s="6">
        <f t="shared" si="89"/>
        <v>1.9673478975804557</v>
      </c>
    </row>
    <row r="2200" spans="1:11" hidden="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H2200" s="5">
        <v>6700</v>
      </c>
      <c r="I2200" s="6">
        <v>3009.6</v>
      </c>
      <c r="J2200" s="5">
        <v>22800</v>
      </c>
      <c r="K2200" s="6">
        <f t="shared" si="89"/>
        <v>2.2262094630515685</v>
      </c>
    </row>
    <row r="2201" spans="1:11" hidden="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H2201" s="5">
        <v>4440</v>
      </c>
      <c r="I2201" s="6">
        <v>1386</v>
      </c>
      <c r="J2201" s="5">
        <v>10500</v>
      </c>
      <c r="K2201" s="6">
        <f t="shared" si="89"/>
        <v>3.2034632034632033</v>
      </c>
    </row>
    <row r="2202" spans="1:11" hidden="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H2202" s="5">
        <v>4830</v>
      </c>
      <c r="I2202" s="6">
        <v>1386</v>
      </c>
      <c r="J2202" s="5">
        <v>10500</v>
      </c>
      <c r="K2202" s="6">
        <f t="shared" si="89"/>
        <v>3.4848484848484849</v>
      </c>
    </row>
    <row r="2203" spans="1:11" hidden="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H2203" s="5">
        <v>1425</v>
      </c>
      <c r="I2203" s="6">
        <v>1029.5999999999999</v>
      </c>
      <c r="J2203" s="5">
        <v>7800</v>
      </c>
      <c r="K2203" s="6">
        <f t="shared" si="89"/>
        <v>1.3840326340326341</v>
      </c>
    </row>
    <row r="2204" spans="1:11" hidden="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H2204" s="5">
        <v>3575</v>
      </c>
      <c r="I2204" s="6">
        <v>2653.2</v>
      </c>
      <c r="J2204" s="5">
        <v>20100</v>
      </c>
      <c r="K2204" s="6">
        <f t="shared" si="89"/>
        <v>1.3474295190713101</v>
      </c>
    </row>
    <row r="2205" spans="1:11" hidden="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H2205" s="5">
        <v>4800</v>
      </c>
      <c r="I2205" s="6">
        <v>1768.8</v>
      </c>
      <c r="J2205" s="5">
        <v>13400</v>
      </c>
      <c r="K2205" s="6">
        <f t="shared" si="89"/>
        <v>2.7137042062415198</v>
      </c>
    </row>
    <row r="2206" spans="1:11" hidden="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H2206" s="5">
        <v>2310</v>
      </c>
      <c r="I2206" s="6">
        <v>1029.5999999999999</v>
      </c>
      <c r="J2206" s="5">
        <v>7800</v>
      </c>
      <c r="K2206" s="6">
        <f t="shared" si="89"/>
        <v>2.2435897435897436</v>
      </c>
    </row>
    <row r="2207" spans="1:11" hidden="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H2207" s="5">
        <v>2850</v>
      </c>
      <c r="I2207" s="6">
        <v>1346.4</v>
      </c>
      <c r="J2207" s="5">
        <v>10200</v>
      </c>
      <c r="K2207" s="6">
        <f t="shared" si="89"/>
        <v>2.1167557932263814</v>
      </c>
    </row>
    <row r="2208" spans="1:11" hidden="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H2208" s="5">
        <v>630</v>
      </c>
      <c r="I2208" s="6">
        <v>440.18999062500001</v>
      </c>
      <c r="J2208" s="5">
        <v>3200</v>
      </c>
      <c r="K2208" s="6">
        <f t="shared" si="89"/>
        <v>1.431200194046893</v>
      </c>
    </row>
    <row r="2209" spans="1:11" hidden="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H2209" s="5">
        <v>1350</v>
      </c>
      <c r="I2209" s="6">
        <v>880.38</v>
      </c>
      <c r="J2209" s="5">
        <v>6400</v>
      </c>
      <c r="K2209" s="6">
        <f t="shared" si="89"/>
        <v>1.5334287466775711</v>
      </c>
    </row>
    <row r="2210" spans="1:11" hidden="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H2210" s="5">
        <v>850</v>
      </c>
      <c r="I2210" s="6">
        <v>330.14249999999998</v>
      </c>
      <c r="J2210" s="5">
        <v>2400</v>
      </c>
      <c r="K2210" s="6">
        <f t="shared" si="89"/>
        <v>2.5746457968907368</v>
      </c>
    </row>
    <row r="2211" spans="1:11" hidden="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H2211" s="5">
        <v>5025</v>
      </c>
      <c r="I2211" s="6">
        <v>1650.7125000000001</v>
      </c>
      <c r="J2211" s="5">
        <v>12000</v>
      </c>
      <c r="K2211" s="6">
        <f t="shared" si="89"/>
        <v>3.0441400304414001</v>
      </c>
    </row>
    <row r="2212" spans="1:11" hidden="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H2212" s="5">
        <v>3200</v>
      </c>
      <c r="I2212" s="6">
        <v>1287.0000000000018</v>
      </c>
      <c r="J2212" s="5">
        <v>9400</v>
      </c>
      <c r="K2212" s="6">
        <f t="shared" si="89"/>
        <v>2.4864024864024827</v>
      </c>
    </row>
    <row r="2213" spans="1:11" hidden="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H2213" s="5">
        <v>6700</v>
      </c>
      <c r="I2213" s="6">
        <v>2641.14</v>
      </c>
      <c r="J2213" s="5">
        <v>19200</v>
      </c>
      <c r="K2213" s="6">
        <f t="shared" si="89"/>
        <v>2.5367833587011672</v>
      </c>
    </row>
    <row r="2214" spans="1:11" hidden="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H2214" s="5">
        <v>3090</v>
      </c>
      <c r="I2214" s="6">
        <v>880.38</v>
      </c>
      <c r="J2214" s="5">
        <v>6400</v>
      </c>
      <c r="K2214" s="6">
        <f t="shared" si="89"/>
        <v>3.509848020173107</v>
      </c>
    </row>
    <row r="2215" spans="1:11" hidden="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H2215" s="5">
        <v>2200</v>
      </c>
      <c r="I2215" s="6">
        <v>880.38</v>
      </c>
      <c r="J2215" s="5">
        <v>6400</v>
      </c>
      <c r="K2215" s="6">
        <f t="shared" si="89"/>
        <v>2.4989209205115972</v>
      </c>
    </row>
    <row r="2216" spans="1:11" hidden="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H2216" s="5">
        <v>600</v>
      </c>
      <c r="I2216" s="6">
        <v>1755.4</v>
      </c>
      <c r="J2216" s="5">
        <v>12800</v>
      </c>
      <c r="K2216" s="6">
        <f t="shared" si="89"/>
        <v>0.34180243819072575</v>
      </c>
    </row>
    <row r="2217" spans="1:11" hidden="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H2217" s="5">
        <v>4900</v>
      </c>
      <c r="I2217" s="6">
        <v>2413.6749943750001</v>
      </c>
      <c r="J2217" s="5">
        <v>17600</v>
      </c>
      <c r="K2217" s="6">
        <f t="shared" si="89"/>
        <v>2.030099334591156</v>
      </c>
    </row>
    <row r="2218" spans="1:11" hidden="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H2218" s="5">
        <v>3220</v>
      </c>
      <c r="I2218" s="6">
        <v>1645.6875</v>
      </c>
      <c r="J2218" s="5">
        <v>12000</v>
      </c>
      <c r="K2218" s="6">
        <f t="shared" si="89"/>
        <v>1.9566290683984657</v>
      </c>
    </row>
    <row r="2219" spans="1:11" hidden="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H2219" s="5">
        <v>3800</v>
      </c>
      <c r="I2219" s="6">
        <v>726.32013058333712</v>
      </c>
      <c r="J2219" s="5">
        <v>5712</v>
      </c>
      <c r="K2219" s="6">
        <f t="shared" si="89"/>
        <v>5.2318527877618735</v>
      </c>
    </row>
    <row r="2220" spans="1:11" hidden="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H2220" s="5">
        <v>2820</v>
      </c>
      <c r="I2220" s="6">
        <v>924.39958333667107</v>
      </c>
      <c r="J2220" s="5">
        <v>6720</v>
      </c>
      <c r="K2220" s="6">
        <f t="shared" si="89"/>
        <v>3.0506288090492806</v>
      </c>
    </row>
    <row r="2221" spans="1:11" hidden="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H2221" s="5">
        <v>1940</v>
      </c>
      <c r="I2221" s="6">
        <v>1122.485208333339</v>
      </c>
      <c r="J2221" s="5">
        <v>8160</v>
      </c>
      <c r="K2221" s="6">
        <f t="shared" si="89"/>
        <v>1.7283078526090365</v>
      </c>
    </row>
    <row r="2222" spans="1:11" hidden="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H2222" s="5">
        <v>780</v>
      </c>
      <c r="I2222" s="6">
        <v>396.17125000000198</v>
      </c>
      <c r="J2222" s="5">
        <v>2880</v>
      </c>
      <c r="K2222" s="6">
        <f t="shared" si="89"/>
        <v>1.9688455434360674</v>
      </c>
    </row>
    <row r="2223" spans="1:11" hidden="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H2223" s="5">
        <v>3390</v>
      </c>
      <c r="I2223" s="6">
        <v>1535.9749999999999</v>
      </c>
      <c r="J2223" s="5">
        <v>11200</v>
      </c>
      <c r="K2223" s="6">
        <f t="shared" si="89"/>
        <v>2.2070671723172577</v>
      </c>
    </row>
    <row r="2224" spans="1:11" hidden="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H2224" s="5">
        <v>2240</v>
      </c>
      <c r="I2224" s="6">
        <v>1535.9749999999999</v>
      </c>
      <c r="J2224" s="5">
        <v>11200</v>
      </c>
      <c r="K2224" s="6">
        <f t="shared" si="89"/>
        <v>1.4583570696137633</v>
      </c>
    </row>
    <row r="2225" spans="1:11" hidden="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H2225" s="5">
        <v>1710</v>
      </c>
      <c r="I2225" s="6">
        <v>594.25687500000299</v>
      </c>
      <c r="J2225" s="5">
        <v>4320</v>
      </c>
      <c r="K2225" s="6">
        <f t="shared" si="89"/>
        <v>2.8775434865604059</v>
      </c>
    </row>
    <row r="2226" spans="1:11" hidden="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H2226" s="5">
        <v>6600</v>
      </c>
      <c r="I2226" s="6">
        <v>2575.1131250013459</v>
      </c>
      <c r="J2226" s="5">
        <v>18720</v>
      </c>
      <c r="K2226" s="6">
        <f t="shared" si="89"/>
        <v>2.5629941985545006</v>
      </c>
    </row>
    <row r="2227" spans="1:11" hidden="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H2227" s="5">
        <v>960</v>
      </c>
      <c r="I2227" s="6">
        <v>528.37931032368999</v>
      </c>
      <c r="J2227" s="5">
        <v>4000</v>
      </c>
      <c r="K2227" s="6">
        <f t="shared" ref="K2227:K2233" si="91">IFERROR(H2227/I2227,"")</f>
        <v>1.8168765908186209</v>
      </c>
    </row>
    <row r="2228" spans="1:11" hidden="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H2228" s="5">
        <v>4750</v>
      </c>
      <c r="I2228" s="6">
        <v>2272.0310343918732</v>
      </c>
      <c r="J2228" s="5">
        <v>17200</v>
      </c>
      <c r="K2228" s="6">
        <f t="shared" si="91"/>
        <v>2.0906404569739405</v>
      </c>
    </row>
    <row r="2229" spans="1:11" hidden="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H2229" s="5">
        <v>1650</v>
      </c>
      <c r="I2229" s="6">
        <v>1162.4344827121224</v>
      </c>
      <c r="J2229" s="5">
        <v>8800</v>
      </c>
      <c r="K2229" s="6">
        <f t="shared" si="91"/>
        <v>1.4194348365770422</v>
      </c>
    </row>
    <row r="2230" spans="1:11" hidden="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H2230" s="5">
        <v>2345</v>
      </c>
      <c r="I2230" s="6">
        <v>1162.4344827121181</v>
      </c>
      <c r="J2230" s="5">
        <v>8800</v>
      </c>
      <c r="K2230" s="6">
        <f t="shared" si="91"/>
        <v>2.0173179950140461</v>
      </c>
    </row>
    <row r="2231" spans="1:11" hidden="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H2231" s="5">
        <v>1800</v>
      </c>
      <c r="I2231" s="6">
        <v>1056.7586206473827</v>
      </c>
      <c r="J2231" s="5">
        <v>8000</v>
      </c>
      <c r="K2231" s="6">
        <f t="shared" si="91"/>
        <v>1.7033218038924527</v>
      </c>
    </row>
    <row r="2232" spans="1:11" hidden="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H2232" s="5">
        <v>1590</v>
      </c>
      <c r="I2232" s="6">
        <v>1109.596551679753</v>
      </c>
      <c r="J2232" s="5">
        <v>8400</v>
      </c>
      <c r="K2232" s="6">
        <f t="shared" si="91"/>
        <v>1.4329532635920619</v>
      </c>
    </row>
    <row r="2233" spans="1:11" hidden="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H2233" s="5">
        <v>3100</v>
      </c>
      <c r="I2233" s="6">
        <v>1902.1655171652881</v>
      </c>
      <c r="J2233" s="5">
        <v>14400</v>
      </c>
      <c r="K2233" s="6">
        <f t="shared" si="91"/>
        <v>1.6297214790329029</v>
      </c>
    </row>
    <row r="2234" spans="1:11" hidden="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H2234" s="5">
        <v>2825</v>
      </c>
      <c r="I2234" s="6">
        <v>951.10714281909407</v>
      </c>
      <c r="J2234" s="5">
        <v>7200</v>
      </c>
      <c r="K2234" s="6">
        <f t="shared" si="89"/>
        <v>2.9702226729437262</v>
      </c>
    </row>
    <row r="2235" spans="1:11" hidden="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H2235" s="5">
        <v>5790</v>
      </c>
      <c r="I2235" s="6">
        <v>3804.4285712763772</v>
      </c>
      <c r="J2235" s="5">
        <v>28800</v>
      </c>
      <c r="K2235" s="6">
        <f t="shared" si="89"/>
        <v>1.5219105554286878</v>
      </c>
    </row>
    <row r="2236" spans="1:11" hidden="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H2236" s="5">
        <v>4140</v>
      </c>
      <c r="I2236" s="6">
        <v>2641.8965516184649</v>
      </c>
      <c r="J2236" s="5">
        <v>20000</v>
      </c>
      <c r="K2236" s="6">
        <f t="shared" si="89"/>
        <v>1.5670560595810517</v>
      </c>
    </row>
    <row r="2237" spans="1:11" hidden="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H2237" s="5">
        <v>8250</v>
      </c>
      <c r="I2237" s="6">
        <v>3592.9793102010913</v>
      </c>
      <c r="J2237" s="5">
        <v>26044</v>
      </c>
      <c r="K2237" s="6">
        <f t="shared" si="89"/>
        <v>2.2961445885805185</v>
      </c>
    </row>
    <row r="2238" spans="1:11" hidden="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H2238" s="5">
        <v>2575</v>
      </c>
      <c r="I2238" s="6">
        <v>1268.1103447768633</v>
      </c>
      <c r="J2238" s="5">
        <v>9600</v>
      </c>
      <c r="K2238" s="6">
        <f t="shared" ref="K2238:K2300" si="92">+H2238/I2238</f>
        <v>2.0305803912143756</v>
      </c>
    </row>
    <row r="2239" spans="1:11" hidden="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H2239" s="5">
        <v>775</v>
      </c>
      <c r="I2239" s="6">
        <v>528.37931032368999</v>
      </c>
      <c r="J2239" s="5">
        <v>4000</v>
      </c>
      <c r="K2239" s="6">
        <f t="shared" si="92"/>
        <v>1.4667493311296158</v>
      </c>
    </row>
    <row r="2240" spans="1:11" hidden="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H2240" s="5">
        <v>1920</v>
      </c>
      <c r="I2240" s="6">
        <v>1162.4344827121247</v>
      </c>
      <c r="J2240" s="5">
        <v>8800</v>
      </c>
      <c r="K2240" s="6">
        <f t="shared" si="92"/>
        <v>1.6517059916532821</v>
      </c>
    </row>
    <row r="2241" spans="1:11" hidden="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H2241" s="5">
        <v>1260</v>
      </c>
      <c r="I2241" s="6">
        <v>528.3915024419166</v>
      </c>
      <c r="J2241" s="5">
        <v>4000</v>
      </c>
      <c r="K2241" s="6">
        <f t="shared" si="92"/>
        <v>2.3845955019659035</v>
      </c>
    </row>
    <row r="2242" spans="1:11" hidden="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H2242" s="5">
        <v>9420</v>
      </c>
      <c r="I2242" s="6">
        <v>3910.1071427007282</v>
      </c>
      <c r="J2242" s="5">
        <v>29260</v>
      </c>
      <c r="K2242" s="6">
        <f t="shared" si="92"/>
        <v>2.4091411452969966</v>
      </c>
    </row>
    <row r="2243" spans="1:11" hidden="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H2243" s="5">
        <v>4500</v>
      </c>
      <c r="I2243" s="6">
        <v>1902.2142856381945</v>
      </c>
      <c r="J2243" s="5">
        <v>14400</v>
      </c>
      <c r="K2243" s="6">
        <f t="shared" si="92"/>
        <v>2.3656640757958804</v>
      </c>
    </row>
    <row r="2244" spans="1:11" hidden="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H2244" s="5">
        <v>1560</v>
      </c>
      <c r="I2244" s="6">
        <v>1162.4642856677858</v>
      </c>
      <c r="J2244" s="5">
        <v>8800</v>
      </c>
      <c r="K2244" s="6">
        <f t="shared" si="92"/>
        <v>1.3419767120878445</v>
      </c>
    </row>
    <row r="2245" spans="1:11" hidden="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H2245" s="5">
        <v>630</v>
      </c>
      <c r="I2245" s="6">
        <v>317.03571427303262</v>
      </c>
      <c r="J2245" s="5">
        <v>2400</v>
      </c>
      <c r="K2245" s="6">
        <f t="shared" si="92"/>
        <v>1.9871578236685381</v>
      </c>
    </row>
    <row r="2246" spans="1:11" hidden="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H2246" s="5">
        <v>2125</v>
      </c>
      <c r="I2246" s="6">
        <v>951.10714281875391</v>
      </c>
      <c r="J2246" s="5">
        <v>7200</v>
      </c>
      <c r="K2246" s="6">
        <f t="shared" si="92"/>
        <v>2.2342382938080267</v>
      </c>
    </row>
    <row r="2247" spans="1:11" hidden="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H2247" s="5">
        <v>870</v>
      </c>
      <c r="I2247" s="6">
        <v>898.26785710660101</v>
      </c>
      <c r="J2247" s="5">
        <v>6800</v>
      </c>
      <c r="K2247" s="6">
        <f t="shared" si="92"/>
        <v>0.96853070397325114</v>
      </c>
    </row>
    <row r="2248" spans="1:11" hidden="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H2248" s="5">
        <v>2125</v>
      </c>
      <c r="I2248" s="6">
        <v>1162.4642856673661</v>
      </c>
      <c r="J2248" s="5">
        <v>8800</v>
      </c>
      <c r="K2248" s="6">
        <f t="shared" si="92"/>
        <v>1.8280131494792944</v>
      </c>
    </row>
    <row r="2249" spans="1:11" hidden="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H2249" s="5">
        <v>1950</v>
      </c>
      <c r="I2249" s="6">
        <v>686.91071425798896</v>
      </c>
      <c r="J2249" s="5">
        <v>5200</v>
      </c>
      <c r="K2249" s="6">
        <f t="shared" si="92"/>
        <v>2.8387968909560812</v>
      </c>
    </row>
    <row r="2250" spans="1:11" hidden="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H2250" s="5">
        <v>750</v>
      </c>
      <c r="I2250" s="6">
        <v>845.428571394752</v>
      </c>
      <c r="J2250" s="5">
        <v>6400</v>
      </c>
      <c r="K2250" s="6">
        <f t="shared" si="92"/>
        <v>0.88712402842345628</v>
      </c>
    </row>
    <row r="2251" spans="1:11" hidden="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H2251" s="5">
        <v>8050</v>
      </c>
      <c r="I2251" s="6">
        <v>3910.1071427007355</v>
      </c>
      <c r="J2251" s="5">
        <v>29600</v>
      </c>
      <c r="K2251" s="6">
        <f t="shared" si="92"/>
        <v>2.0587671146115487</v>
      </c>
    </row>
    <row r="2252" spans="1:11" hidden="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H2252" s="5">
        <v>4425</v>
      </c>
      <c r="I2252" s="6">
        <v>4015.7857141250793</v>
      </c>
      <c r="J2252" s="5">
        <v>30400</v>
      </c>
      <c r="K2252" s="6">
        <f t="shared" si="92"/>
        <v>1.1019014247786068</v>
      </c>
    </row>
    <row r="2253" spans="1:11" hidden="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H2253" s="5">
        <v>7980</v>
      </c>
      <c r="I2253" s="6">
        <v>2747.5751230427709</v>
      </c>
      <c r="J2253" s="5">
        <v>20800</v>
      </c>
      <c r="K2253" s="6">
        <f t="shared" si="92"/>
        <v>2.9043791862413717</v>
      </c>
    </row>
    <row r="2254" spans="1:11" hidden="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H2254" s="5">
        <v>1800</v>
      </c>
      <c r="I2254" s="6">
        <v>1056.75862064738</v>
      </c>
      <c r="J2254" s="5">
        <v>9600</v>
      </c>
      <c r="K2254" s="6">
        <f t="shared" si="92"/>
        <v>1.7033218038924571</v>
      </c>
    </row>
    <row r="2255" spans="1:11" hidden="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H2255" s="5">
        <v>0</v>
      </c>
      <c r="I2255" s="6">
        <v>317.02758619421581</v>
      </c>
      <c r="J2255" s="5">
        <v>2640</v>
      </c>
      <c r="K2255" s="6">
        <f t="shared" si="92"/>
        <v>0</v>
      </c>
    </row>
    <row r="2256" spans="1:11" hidden="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H2256" s="5">
        <v>0</v>
      </c>
      <c r="I2256" s="6">
        <v>52.837931032368999</v>
      </c>
      <c r="J2256" s="5">
        <v>440</v>
      </c>
      <c r="K2256" s="6">
        <f t="shared" si="92"/>
        <v>0</v>
      </c>
    </row>
    <row r="2257" spans="1:11" hidden="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H2257" s="5">
        <v>12600</v>
      </c>
      <c r="I2257" s="6">
        <v>3592.9793102011122</v>
      </c>
      <c r="J2257" s="5">
        <v>27820</v>
      </c>
      <c r="K2257" s="6">
        <f t="shared" si="92"/>
        <v>3.5068390080138623</v>
      </c>
    </row>
    <row r="2258" spans="1:11" hidden="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H2258" s="5">
        <v>2790</v>
      </c>
      <c r="I2258" s="6">
        <v>1585.2222221588099</v>
      </c>
      <c r="J2258" s="5">
        <v>11490</v>
      </c>
      <c r="K2258" s="6">
        <f t="shared" si="92"/>
        <v>1.7600056074160269</v>
      </c>
    </row>
    <row r="2259" spans="1:11" hidden="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H2259" s="5">
        <v>4560</v>
      </c>
      <c r="I2259" s="6">
        <v>2219.311111022334</v>
      </c>
      <c r="J2259" s="5">
        <v>16800</v>
      </c>
      <c r="K2259" s="6">
        <f t="shared" si="92"/>
        <v>2.0546916461385258</v>
      </c>
    </row>
    <row r="2260" spans="1:11" hidden="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H2260" s="5">
        <v>5200</v>
      </c>
      <c r="I2260" s="6">
        <v>2959.0814813631118</v>
      </c>
      <c r="J2260" s="5">
        <v>22400</v>
      </c>
      <c r="K2260" s="6">
        <f t="shared" si="92"/>
        <v>1.7573020657763709</v>
      </c>
    </row>
    <row r="2261" spans="1:11" hidden="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H2261" s="5">
        <v>0</v>
      </c>
      <c r="I2261" s="6">
        <v>1796.5851851133182</v>
      </c>
      <c r="J2261" s="5">
        <v>0</v>
      </c>
      <c r="K2261" s="6">
        <f t="shared" si="92"/>
        <v>0</v>
      </c>
    </row>
    <row r="2262" spans="1:11" hidden="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H2262" s="5">
        <v>1640</v>
      </c>
      <c r="I2262" s="6">
        <v>1912.3542857142861</v>
      </c>
      <c r="J2262" s="5">
        <v>16320</v>
      </c>
      <c r="K2262" s="6">
        <f t="shared" si="92"/>
        <v>0.85758167942580854</v>
      </c>
    </row>
    <row r="2263" spans="1:11" hidden="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H2263" s="5">
        <v>4400</v>
      </c>
      <c r="I2263" s="6">
        <v>2812.2857142428579</v>
      </c>
      <c r="J2263" s="5">
        <v>20000</v>
      </c>
      <c r="K2263" s="6">
        <f t="shared" si="92"/>
        <v>1.5645636493177568</v>
      </c>
    </row>
    <row r="2264" spans="1:11" hidden="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H2264" s="5">
        <v>2800</v>
      </c>
      <c r="I2264" s="6">
        <v>1768.8376470588223</v>
      </c>
      <c r="J2264" s="5">
        <v>12800</v>
      </c>
      <c r="K2264" s="6">
        <f t="shared" si="92"/>
        <v>1.5829604286497225</v>
      </c>
    </row>
    <row r="2265" spans="1:11" hidden="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H2265" s="5">
        <v>4560</v>
      </c>
      <c r="I2265" s="6">
        <v>2263.7999998868127</v>
      </c>
      <c r="J2265" s="5">
        <v>17920</v>
      </c>
      <c r="K2265" s="6">
        <f t="shared" si="92"/>
        <v>2.0143122184945641</v>
      </c>
    </row>
    <row r="2266" spans="1:11" hidden="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H2266" s="5">
        <v>1140</v>
      </c>
      <c r="I2266" s="6">
        <v>994.97117647058747</v>
      </c>
      <c r="J2266" s="5">
        <v>7200</v>
      </c>
      <c r="K2266" s="6">
        <f t="shared" si="92"/>
        <v>1.1457618340702755</v>
      </c>
    </row>
    <row r="2267" spans="1:11" hidden="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H2267" s="5">
        <v>1200</v>
      </c>
      <c r="I2267" s="6">
        <v>994.97117647058747</v>
      </c>
      <c r="J2267" s="5">
        <v>7920</v>
      </c>
      <c r="K2267" s="6">
        <f t="shared" si="92"/>
        <v>1.2060650884950268</v>
      </c>
    </row>
    <row r="2268" spans="1:11" hidden="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H2268" s="5">
        <v>3125</v>
      </c>
      <c r="I2268" s="6">
        <v>2263.7999998868127</v>
      </c>
      <c r="J2268" s="5">
        <v>17920</v>
      </c>
      <c r="K2268" s="6">
        <f t="shared" si="92"/>
        <v>1.3804222988586652</v>
      </c>
    </row>
    <row r="2269" spans="1:11" hidden="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H2269" s="5">
        <v>10770</v>
      </c>
      <c r="I2269" s="6">
        <v>6727.0499997982479</v>
      </c>
      <c r="J2269" s="5">
        <v>49210</v>
      </c>
      <c r="K2269" s="6">
        <f t="shared" si="92"/>
        <v>1.6009989520403454</v>
      </c>
    </row>
    <row r="2270" spans="1:11" hidden="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H2270" s="5">
        <v>1530</v>
      </c>
      <c r="I2270" s="6">
        <v>994.95</v>
      </c>
      <c r="J2270" s="5">
        <v>7200</v>
      </c>
      <c r="K2270" s="6">
        <f t="shared" si="92"/>
        <v>1.5377657168701944</v>
      </c>
    </row>
    <row r="2271" spans="1:11" hidden="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H2271" s="5">
        <v>1600</v>
      </c>
      <c r="I2271" s="6">
        <v>831.6</v>
      </c>
      <c r="J2271" s="5">
        <v>6300</v>
      </c>
      <c r="K2271" s="6">
        <f t="shared" si="92"/>
        <v>1.9240019240019239</v>
      </c>
    </row>
    <row r="2272" spans="1:11" hidden="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H2272" s="5">
        <v>3650</v>
      </c>
      <c r="I2272" s="6">
        <v>1267.2</v>
      </c>
      <c r="J2272" s="5">
        <v>9600</v>
      </c>
      <c r="K2272" s="6">
        <f t="shared" si="92"/>
        <v>2.8803661616161613</v>
      </c>
    </row>
    <row r="2273" spans="1:11" hidden="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H2273" s="5">
        <v>540</v>
      </c>
      <c r="I2273" s="6">
        <v>316.8</v>
      </c>
      <c r="J2273" s="5">
        <v>2400</v>
      </c>
      <c r="K2273" s="6">
        <f t="shared" si="92"/>
        <v>1.7045454545454546</v>
      </c>
    </row>
    <row r="2274" spans="1:11" hidden="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H2274" s="5">
        <v>9990</v>
      </c>
      <c r="I2274" s="6">
        <v>3603.6</v>
      </c>
      <c r="J2274" s="5">
        <v>27296</v>
      </c>
      <c r="K2274" s="6">
        <f t="shared" si="92"/>
        <v>2.7722277722277724</v>
      </c>
    </row>
    <row r="2275" spans="1:11" hidden="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H2275" s="5">
        <v>6625</v>
      </c>
      <c r="I2275" s="6">
        <v>3682.8</v>
      </c>
      <c r="J2275" s="5">
        <v>27900</v>
      </c>
      <c r="K2275" s="6">
        <f t="shared" si="92"/>
        <v>1.7989030085804278</v>
      </c>
    </row>
    <row r="2276" spans="1:11" hidden="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H2276" s="5">
        <v>2675</v>
      </c>
      <c r="I2276" s="6">
        <v>2376</v>
      </c>
      <c r="J2276" s="5">
        <v>18000</v>
      </c>
      <c r="K2276" s="6">
        <f t="shared" si="92"/>
        <v>1.1258417508417509</v>
      </c>
    </row>
    <row r="2277" spans="1:11" hidden="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H2277" s="5">
        <v>1110</v>
      </c>
      <c r="I2277" s="6">
        <v>950.4</v>
      </c>
      <c r="J2277" s="5">
        <v>7200</v>
      </c>
      <c r="K2277" s="6">
        <f t="shared" si="92"/>
        <v>1.167929292929293</v>
      </c>
    </row>
    <row r="2278" spans="1:11" hidden="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H2278" s="5">
        <v>3450</v>
      </c>
      <c r="I2278" s="6">
        <v>1346.4</v>
      </c>
      <c r="J2278" s="5">
        <v>10200</v>
      </c>
      <c r="K2278" s="6">
        <f t="shared" si="92"/>
        <v>2.5623885918003562</v>
      </c>
    </row>
    <row r="2279" spans="1:11" hidden="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H2279" s="5">
        <v>4380</v>
      </c>
      <c r="I2279" s="6">
        <v>2851.2</v>
      </c>
      <c r="J2279" s="5">
        <v>21600</v>
      </c>
      <c r="K2279" s="6">
        <f t="shared" si="92"/>
        <v>1.5361952861952863</v>
      </c>
    </row>
    <row r="2280" spans="1:11" hidden="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H2280" s="5">
        <v>2460</v>
      </c>
      <c r="I2280" s="6">
        <v>2138.4</v>
      </c>
      <c r="J2280" s="5">
        <v>16200</v>
      </c>
      <c r="K2280" s="6">
        <f t="shared" si="92"/>
        <v>1.1503928170594837</v>
      </c>
    </row>
    <row r="2281" spans="1:11" hidden="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H2281" s="5">
        <v>1700</v>
      </c>
      <c r="I2281" s="6">
        <v>963.6</v>
      </c>
      <c r="J2281" s="5">
        <v>7570</v>
      </c>
      <c r="K2281" s="6">
        <f t="shared" si="92"/>
        <v>1.764217517642175</v>
      </c>
    </row>
    <row r="2282" spans="1:11" hidden="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H2282" s="5">
        <v>6400</v>
      </c>
      <c r="I2282" s="6">
        <v>3168</v>
      </c>
      <c r="J2282" s="5">
        <v>24000</v>
      </c>
      <c r="K2282" s="6">
        <f t="shared" si="92"/>
        <v>2.0202020202020203</v>
      </c>
    </row>
    <row r="2283" spans="1:11" hidden="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H2283" s="5">
        <v>2430</v>
      </c>
      <c r="I2283" s="6">
        <v>1188</v>
      </c>
      <c r="J2283" s="5">
        <v>9000</v>
      </c>
      <c r="K2283" s="6">
        <f t="shared" si="92"/>
        <v>2.0454545454545454</v>
      </c>
    </row>
    <row r="2284" spans="1:11" hidden="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H2284" s="5">
        <v>5875</v>
      </c>
      <c r="I2284" s="6">
        <v>2732.4</v>
      </c>
      <c r="J2284" s="5">
        <v>20700</v>
      </c>
      <c r="K2284" s="6">
        <f t="shared" si="92"/>
        <v>2.1501244327331284</v>
      </c>
    </row>
    <row r="2285" spans="1:11" hidden="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H2285" s="5">
        <v>900</v>
      </c>
      <c r="I2285" s="6">
        <v>673.2</v>
      </c>
      <c r="J2285" s="5">
        <v>5100</v>
      </c>
      <c r="K2285" s="6">
        <f t="shared" si="92"/>
        <v>1.3368983957219251</v>
      </c>
    </row>
    <row r="2286" spans="1:11" hidden="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H2286" s="5">
        <v>3440</v>
      </c>
      <c r="I2286" s="6">
        <v>1100.4749999999999</v>
      </c>
      <c r="J2286" s="5">
        <v>8000</v>
      </c>
      <c r="K2286" s="6">
        <f t="shared" si="92"/>
        <v>3.125922896930871</v>
      </c>
    </row>
    <row r="2287" spans="1:11" hidden="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H2287" s="5">
        <v>2450</v>
      </c>
      <c r="I2287" s="6">
        <v>1287</v>
      </c>
      <c r="J2287" s="5">
        <v>9400</v>
      </c>
      <c r="K2287" s="6">
        <f t="shared" si="92"/>
        <v>1.9036519036519037</v>
      </c>
    </row>
    <row r="2288" spans="1:11" hidden="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H2288" s="5">
        <v>5910</v>
      </c>
      <c r="I2288" s="6">
        <v>2641.14</v>
      </c>
      <c r="J2288" s="5">
        <v>19200</v>
      </c>
      <c r="K2288" s="6">
        <f t="shared" si="92"/>
        <v>2.2376700970035666</v>
      </c>
    </row>
    <row r="2289" spans="1:11" hidden="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H2289" s="5">
        <v>3175</v>
      </c>
      <c r="I2289" s="6">
        <v>2641.14</v>
      </c>
      <c r="J2289" s="5">
        <v>19200</v>
      </c>
      <c r="K2289" s="6">
        <f t="shared" si="92"/>
        <v>1.2021324125188366</v>
      </c>
    </row>
    <row r="2290" spans="1:11" hidden="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H2290" s="5">
        <v>4080</v>
      </c>
      <c r="I2290" s="6">
        <v>1430.6174906250001</v>
      </c>
      <c r="J2290" s="5">
        <v>10400</v>
      </c>
      <c r="K2290" s="6">
        <f t="shared" si="92"/>
        <v>2.8519153629371279</v>
      </c>
    </row>
    <row r="2291" spans="1:11" hidden="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H2291" s="5">
        <v>2640</v>
      </c>
      <c r="I2291" s="6">
        <v>1430.6175000000001</v>
      </c>
      <c r="J2291" s="5">
        <v>10400</v>
      </c>
      <c r="K2291" s="6">
        <f t="shared" si="92"/>
        <v>1.845356987454718</v>
      </c>
    </row>
    <row r="2292" spans="1:11" hidden="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H2292" s="5">
        <v>5040</v>
      </c>
      <c r="I2292" s="6">
        <v>2861.2350000000001</v>
      </c>
      <c r="J2292" s="5">
        <v>20800</v>
      </c>
      <c r="K2292" s="6">
        <f t="shared" si="92"/>
        <v>1.7614771243885943</v>
      </c>
    </row>
    <row r="2293" spans="1:11" hidden="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H2293" s="5">
        <v>4350</v>
      </c>
      <c r="I2293" s="6">
        <v>3071.9505625000002</v>
      </c>
      <c r="J2293" s="5">
        <v>22400</v>
      </c>
      <c r="K2293" s="6">
        <f t="shared" si="92"/>
        <v>1.4160384132158377</v>
      </c>
    </row>
    <row r="2294" spans="1:11" hidden="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H2294" s="5">
        <v>3420</v>
      </c>
      <c r="I2294" s="6">
        <v>1097.125</v>
      </c>
      <c r="J2294" s="5">
        <v>8000</v>
      </c>
      <c r="K2294" s="6">
        <f t="shared" si="92"/>
        <v>3.1172382362994191</v>
      </c>
    </row>
    <row r="2295" spans="1:11" hidden="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H2295" s="5">
        <v>4940</v>
      </c>
      <c r="I2295" s="6">
        <v>2852.5250000000001</v>
      </c>
      <c r="J2295" s="5">
        <v>20800</v>
      </c>
      <c r="K2295" s="6">
        <f t="shared" si="92"/>
        <v>1.7317990201663438</v>
      </c>
    </row>
    <row r="2296" spans="1:11" hidden="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H2296" s="5">
        <v>4230</v>
      </c>
      <c r="I2296" s="6">
        <v>2633.1</v>
      </c>
      <c r="J2296" s="5">
        <v>19200</v>
      </c>
      <c r="K2296" s="6">
        <f t="shared" si="92"/>
        <v>1.6064714594964111</v>
      </c>
    </row>
    <row r="2297" spans="1:11" hidden="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H2297" s="5">
        <v>4770</v>
      </c>
      <c r="I2297" s="6">
        <v>2633.1</v>
      </c>
      <c r="J2297" s="5">
        <v>19200</v>
      </c>
      <c r="K2297" s="6">
        <f t="shared" si="92"/>
        <v>1.8115529224108466</v>
      </c>
    </row>
    <row r="2298" spans="1:11" hidden="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H2298" s="5">
        <v>8250</v>
      </c>
      <c r="I2298" s="6">
        <v>2852.5250000000001</v>
      </c>
      <c r="J2298" s="5">
        <v>20800</v>
      </c>
      <c r="K2298" s="6">
        <f t="shared" si="92"/>
        <v>2.8921744769984485</v>
      </c>
    </row>
    <row r="2299" spans="1:11" hidden="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H2299" s="5">
        <v>5580</v>
      </c>
      <c r="I2299" s="6">
        <v>2852.5250000000001</v>
      </c>
      <c r="J2299" s="5">
        <v>20800</v>
      </c>
      <c r="K2299" s="6">
        <f t="shared" si="92"/>
        <v>1.9561616462607689</v>
      </c>
    </row>
    <row r="2300" spans="1:11" hidden="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H2300" s="5">
        <v>3275</v>
      </c>
      <c r="I2300" s="6">
        <v>3071.95</v>
      </c>
      <c r="J2300" s="5">
        <v>22400</v>
      </c>
      <c r="K2300" s="6">
        <f t="shared" si="92"/>
        <v>1.0660980810234542</v>
      </c>
    </row>
    <row r="2301" spans="1:11" hidden="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H2301" s="5">
        <v>3000</v>
      </c>
      <c r="I2301" s="6">
        <v>1645.6875</v>
      </c>
      <c r="J2301" s="5">
        <v>12000</v>
      </c>
      <c r="K2301" s="6">
        <f t="shared" ref="K2301:K2363" si="94">+H2301/I2301</f>
        <v>1.8229463370172041</v>
      </c>
    </row>
    <row r="2302" spans="1:11" hidden="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H2302" s="5">
        <v>9940</v>
      </c>
      <c r="I2302" s="6">
        <v>4121.4642855494085</v>
      </c>
      <c r="J2302" s="5">
        <v>31200</v>
      </c>
      <c r="K2302" s="6">
        <f t="shared" si="94"/>
        <v>2.4117641962472947</v>
      </c>
    </row>
    <row r="2303" spans="1:11" hidden="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H2303" s="5">
        <v>1470</v>
      </c>
      <c r="I2303" s="6">
        <v>1056.7857142434418</v>
      </c>
      <c r="J2303" s="5">
        <v>8000</v>
      </c>
      <c r="K2303" s="6">
        <f t="shared" si="94"/>
        <v>1.3910104765679769</v>
      </c>
    </row>
    <row r="2304" spans="1:11" hidden="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H2304" s="5">
        <v>8400</v>
      </c>
      <c r="I2304" s="6">
        <v>2641.9642856076484</v>
      </c>
      <c r="J2304" s="5">
        <v>19996</v>
      </c>
      <c r="K2304" s="6">
        <f t="shared" si="94"/>
        <v>3.1794525178708124</v>
      </c>
    </row>
    <row r="2305" spans="1:11" hidden="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H2305" s="5">
        <v>1340</v>
      </c>
      <c r="I2305" s="6">
        <v>528.39285712153003</v>
      </c>
      <c r="J2305" s="5">
        <v>4000</v>
      </c>
      <c r="K2305" s="6">
        <f t="shared" si="94"/>
        <v>2.5359918892540989</v>
      </c>
    </row>
    <row r="2306" spans="1:11" hidden="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H2306" s="5">
        <v>3720</v>
      </c>
      <c r="I2306" s="6">
        <v>1902.2142856375078</v>
      </c>
      <c r="J2306" s="5">
        <v>14400</v>
      </c>
      <c r="K2306" s="6">
        <f t="shared" si="94"/>
        <v>1.955615635991967</v>
      </c>
    </row>
    <row r="2307" spans="1:11" hidden="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H2307" s="5">
        <v>1520</v>
      </c>
      <c r="I2307" s="6">
        <v>634.05652706821195</v>
      </c>
      <c r="J2307" s="5">
        <v>4800</v>
      </c>
      <c r="K2307" s="6">
        <f t="shared" si="94"/>
        <v>2.3972626021661916</v>
      </c>
    </row>
    <row r="2308" spans="1:11" hidden="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H2308" s="5">
        <v>12180</v>
      </c>
      <c r="I2308" s="6">
        <v>4487.9999999102474</v>
      </c>
      <c r="J2308" s="5">
        <v>31740</v>
      </c>
      <c r="K2308" s="6">
        <f t="shared" si="94"/>
        <v>2.7139037433697815</v>
      </c>
    </row>
    <row r="2309" spans="1:11" hidden="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H2309" s="5">
        <v>3975</v>
      </c>
      <c r="I2309" s="6">
        <v>1702.8</v>
      </c>
      <c r="J2309" s="5">
        <v>12900</v>
      </c>
      <c r="K2309" s="6">
        <f t="shared" si="94"/>
        <v>2.3343904157857649</v>
      </c>
    </row>
    <row r="2310" spans="1:11" hidden="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H2310" s="5">
        <v>5440</v>
      </c>
      <c r="I2310" s="6">
        <v>3009.6</v>
      </c>
      <c r="J2310" s="5">
        <v>22800</v>
      </c>
      <c r="K2310" s="6">
        <f t="shared" si="94"/>
        <v>1.8075491759702287</v>
      </c>
    </row>
    <row r="2311" spans="1:11" hidden="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H2311" s="5">
        <v>4560</v>
      </c>
      <c r="I2311" s="6">
        <v>1386</v>
      </c>
      <c r="J2311" s="5">
        <v>10500</v>
      </c>
      <c r="K2311" s="6">
        <f t="shared" si="94"/>
        <v>3.2900432900432901</v>
      </c>
    </row>
    <row r="2312" spans="1:11" hidden="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H2312" s="5">
        <v>4230</v>
      </c>
      <c r="I2312" s="6">
        <v>1386</v>
      </c>
      <c r="J2312" s="5">
        <v>10500</v>
      </c>
      <c r="K2312" s="6">
        <f t="shared" si="94"/>
        <v>3.051948051948052</v>
      </c>
    </row>
    <row r="2313" spans="1:11" hidden="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H2313" s="5">
        <v>1325</v>
      </c>
      <c r="I2313" s="6">
        <v>1029.5999999999999</v>
      </c>
      <c r="J2313" s="5">
        <v>7800</v>
      </c>
      <c r="K2313" s="6">
        <f t="shared" si="94"/>
        <v>1.2869075369075371</v>
      </c>
    </row>
    <row r="2314" spans="1:11" hidden="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H2314" s="5">
        <v>2850</v>
      </c>
      <c r="I2314" s="6">
        <v>2653.2</v>
      </c>
      <c r="J2314" s="5">
        <v>20100</v>
      </c>
      <c r="K2314" s="6">
        <f t="shared" si="94"/>
        <v>1.0741745816372683</v>
      </c>
    </row>
    <row r="2315" spans="1:11" hidden="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H2315" s="5">
        <v>4860</v>
      </c>
      <c r="I2315" s="6">
        <v>1768.8</v>
      </c>
      <c r="J2315" s="5">
        <v>13400</v>
      </c>
      <c r="K2315" s="6">
        <f t="shared" si="94"/>
        <v>2.7476255088195387</v>
      </c>
    </row>
    <row r="2316" spans="1:11" hidden="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H2316" s="5">
        <v>1770</v>
      </c>
      <c r="I2316" s="6">
        <v>1029.5999999999999</v>
      </c>
      <c r="J2316" s="5">
        <v>7800</v>
      </c>
      <c r="K2316" s="6">
        <f t="shared" si="94"/>
        <v>1.7191142191142192</v>
      </c>
    </row>
    <row r="2317" spans="1:11" hidden="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H2317" s="5">
        <v>2350</v>
      </c>
      <c r="I2317" s="6">
        <v>1346.4</v>
      </c>
      <c r="J2317" s="5">
        <v>10200</v>
      </c>
      <c r="K2317" s="6">
        <f t="shared" si="94"/>
        <v>1.7453951277480688</v>
      </c>
    </row>
    <row r="2318" spans="1:11" hidden="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H2318" s="5">
        <v>960</v>
      </c>
      <c r="I2318" s="6">
        <v>440.18999062500001</v>
      </c>
      <c r="J2318" s="5">
        <v>3200</v>
      </c>
      <c r="K2318" s="6">
        <f t="shared" si="94"/>
        <v>2.1808764861666941</v>
      </c>
    </row>
    <row r="2319" spans="1:11" hidden="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H2319" s="5">
        <v>1550</v>
      </c>
      <c r="I2319" s="6">
        <v>880.38</v>
      </c>
      <c r="J2319" s="5">
        <v>6400</v>
      </c>
      <c r="K2319" s="6">
        <f t="shared" si="94"/>
        <v>1.760603375814989</v>
      </c>
    </row>
    <row r="2320" spans="1:11" hidden="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H2320" s="5">
        <v>675</v>
      </c>
      <c r="I2320" s="6">
        <v>330.14249999999998</v>
      </c>
      <c r="J2320" s="5">
        <v>2400</v>
      </c>
      <c r="K2320" s="6">
        <f t="shared" si="94"/>
        <v>2.0445716622367613</v>
      </c>
    </row>
    <row r="2321" spans="1:11" hidden="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H2321" s="5">
        <v>5675</v>
      </c>
      <c r="I2321" s="6">
        <v>1650.7125000000001</v>
      </c>
      <c r="J2321" s="5">
        <v>12000</v>
      </c>
      <c r="K2321" s="6">
        <f t="shared" si="94"/>
        <v>3.4379093876129247</v>
      </c>
    </row>
    <row r="2322" spans="1:11" hidden="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H2322" s="5">
        <v>3200</v>
      </c>
      <c r="I2322" s="6">
        <v>1287.0000000000018</v>
      </c>
      <c r="J2322" s="5">
        <v>9400</v>
      </c>
      <c r="K2322" s="6">
        <f t="shared" si="94"/>
        <v>2.4864024864024827</v>
      </c>
    </row>
    <row r="2323" spans="1:11" hidden="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H2323" s="5">
        <v>5475</v>
      </c>
      <c r="I2323" s="6">
        <v>2641.14</v>
      </c>
      <c r="J2323" s="5">
        <v>19200</v>
      </c>
      <c r="K2323" s="6">
        <f t="shared" si="94"/>
        <v>2.0729684908789388</v>
      </c>
    </row>
    <row r="2324" spans="1:11" hidden="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H2324" s="5">
        <v>3300</v>
      </c>
      <c r="I2324" s="6">
        <v>880.38</v>
      </c>
      <c r="J2324" s="5">
        <v>6400</v>
      </c>
      <c r="K2324" s="6">
        <f t="shared" si="94"/>
        <v>3.748381380767396</v>
      </c>
    </row>
    <row r="2325" spans="1:11" hidden="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H2325" s="5">
        <v>2180</v>
      </c>
      <c r="I2325" s="6">
        <v>880.38</v>
      </c>
      <c r="J2325" s="5">
        <v>6400</v>
      </c>
      <c r="K2325" s="6">
        <f t="shared" si="94"/>
        <v>2.4762034575978555</v>
      </c>
    </row>
    <row r="2326" spans="1:11" hidden="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H2326" s="5">
        <v>770</v>
      </c>
      <c r="I2326" s="6">
        <v>1755.4</v>
      </c>
      <c r="J2326" s="5">
        <v>12800</v>
      </c>
      <c r="K2326" s="6">
        <f t="shared" si="94"/>
        <v>0.43864646234476468</v>
      </c>
    </row>
    <row r="2327" spans="1:11" hidden="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H2327" s="5">
        <v>5700</v>
      </c>
      <c r="I2327" s="6">
        <v>2413.6749943750001</v>
      </c>
      <c r="J2327" s="5">
        <v>17600</v>
      </c>
      <c r="K2327" s="6">
        <f t="shared" si="94"/>
        <v>2.3615441239121613</v>
      </c>
    </row>
    <row r="2328" spans="1:11" hidden="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H2328" s="5">
        <v>2100</v>
      </c>
      <c r="I2328" s="6">
        <v>1645.6875</v>
      </c>
      <c r="J2328" s="5">
        <v>12000</v>
      </c>
      <c r="K2328" s="6">
        <f t="shared" si="94"/>
        <v>1.2760624359120429</v>
      </c>
    </row>
    <row r="2329" spans="1:11" hidden="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H2329" s="5">
        <v>2060</v>
      </c>
      <c r="I2329" s="6">
        <v>726.32013058333712</v>
      </c>
      <c r="J2329" s="5">
        <v>5712</v>
      </c>
      <c r="K2329" s="6">
        <f t="shared" si="94"/>
        <v>2.8362149323130152</v>
      </c>
    </row>
    <row r="2330" spans="1:11" hidden="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H2330" s="5">
        <v>2310</v>
      </c>
      <c r="I2330" s="6">
        <v>924.39958333667107</v>
      </c>
      <c r="J2330" s="5">
        <v>6720</v>
      </c>
      <c r="K2330" s="6">
        <f t="shared" si="94"/>
        <v>2.4989193435829211</v>
      </c>
    </row>
    <row r="2331" spans="1:11" hidden="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H2331" s="5">
        <v>1560</v>
      </c>
      <c r="I2331" s="6">
        <v>1122.485208333339</v>
      </c>
      <c r="J2331" s="5">
        <v>8160</v>
      </c>
      <c r="K2331" s="6">
        <f t="shared" si="94"/>
        <v>1.3897733247784005</v>
      </c>
    </row>
    <row r="2332" spans="1:11" hidden="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H2332" s="5">
        <v>860</v>
      </c>
      <c r="I2332" s="6">
        <v>396.17125000000198</v>
      </c>
      <c r="J2332" s="5">
        <v>2880</v>
      </c>
      <c r="K2332" s="6">
        <f t="shared" si="94"/>
        <v>2.1707784196859206</v>
      </c>
    </row>
    <row r="2333" spans="1:11" hidden="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H2333" s="5">
        <v>3840</v>
      </c>
      <c r="I2333" s="6">
        <v>1535.9749999999999</v>
      </c>
      <c r="J2333" s="5">
        <v>11200</v>
      </c>
      <c r="K2333" s="6">
        <f t="shared" si="94"/>
        <v>2.5000406907664514</v>
      </c>
    </row>
    <row r="2334" spans="1:11" hidden="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H2334" s="5">
        <v>1940</v>
      </c>
      <c r="I2334" s="6">
        <v>1535.9749999999999</v>
      </c>
      <c r="J2334" s="5">
        <v>11200</v>
      </c>
      <c r="K2334" s="6">
        <f t="shared" si="94"/>
        <v>1.2630413906476343</v>
      </c>
    </row>
    <row r="2335" spans="1:11" hidden="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H2335" s="5">
        <v>1380</v>
      </c>
      <c r="I2335" s="6">
        <v>594.25687500000299</v>
      </c>
      <c r="J2335" s="5">
        <v>4320</v>
      </c>
      <c r="K2335" s="6">
        <f t="shared" si="94"/>
        <v>2.3222280768733103</v>
      </c>
    </row>
    <row r="2336" spans="1:11" hidden="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H2336" s="5">
        <v>5940</v>
      </c>
      <c r="I2336" s="6">
        <v>2575.1131250013459</v>
      </c>
      <c r="J2336" s="5">
        <v>18720</v>
      </c>
      <c r="K2336" s="6">
        <f t="shared" si="94"/>
        <v>2.3066947786990504</v>
      </c>
    </row>
    <row r="2337" spans="1:11" hidden="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H2337" s="5">
        <v>1140</v>
      </c>
      <c r="I2337" s="6">
        <v>528.37931032368999</v>
      </c>
      <c r="J2337" s="5">
        <v>4000</v>
      </c>
      <c r="K2337" s="6">
        <f t="shared" ref="K2337:K2343" si="95">IFERROR(H2337/I2337,"")</f>
        <v>2.1575409515971122</v>
      </c>
    </row>
    <row r="2338" spans="1:11" hidden="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H2338" s="5">
        <v>4050</v>
      </c>
      <c r="I2338" s="6">
        <v>2272.0310343918732</v>
      </c>
      <c r="J2338" s="5">
        <v>17200</v>
      </c>
      <c r="K2338" s="6">
        <f t="shared" si="95"/>
        <v>1.7825460738409387</v>
      </c>
    </row>
    <row r="2339" spans="1:11" hidden="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H2339" s="5">
        <v>1650</v>
      </c>
      <c r="I2339" s="6">
        <v>1162.4344827121224</v>
      </c>
      <c r="J2339" s="5">
        <v>8800</v>
      </c>
      <c r="K2339" s="6">
        <f t="shared" si="95"/>
        <v>1.4194348365770422</v>
      </c>
    </row>
    <row r="2340" spans="1:11" hidden="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H2340" s="5">
        <v>1680</v>
      </c>
      <c r="I2340" s="6">
        <v>1162.4344827121181</v>
      </c>
      <c r="J2340" s="5">
        <v>8800</v>
      </c>
      <c r="K2340" s="6">
        <f t="shared" si="95"/>
        <v>1.4452427426966301</v>
      </c>
    </row>
    <row r="2341" spans="1:11" hidden="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H2341" s="5">
        <v>1200</v>
      </c>
      <c r="I2341" s="6">
        <v>1056.7586206473827</v>
      </c>
      <c r="J2341" s="5">
        <v>8000</v>
      </c>
      <c r="K2341" s="6">
        <f t="shared" si="95"/>
        <v>1.1355478692616352</v>
      </c>
    </row>
    <row r="2342" spans="1:11" hidden="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H2342" s="5">
        <v>1290</v>
      </c>
      <c r="I2342" s="6">
        <v>1109.596551679753</v>
      </c>
      <c r="J2342" s="5">
        <v>8400</v>
      </c>
      <c r="K2342" s="6">
        <f t="shared" si="95"/>
        <v>1.1625847232916728</v>
      </c>
    </row>
    <row r="2343" spans="1:11" hidden="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H2343" s="5">
        <v>3600</v>
      </c>
      <c r="I2343" s="6">
        <v>1902.1655171652881</v>
      </c>
      <c r="J2343" s="5">
        <v>14400</v>
      </c>
      <c r="K2343" s="6">
        <f t="shared" si="95"/>
        <v>1.8925797821027259</v>
      </c>
    </row>
    <row r="2344" spans="1:11" hidden="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H2344" s="5">
        <v>2025</v>
      </c>
      <c r="I2344" s="6">
        <v>951.10714281909407</v>
      </c>
      <c r="J2344" s="5">
        <v>7200</v>
      </c>
      <c r="K2344" s="6">
        <f t="shared" si="94"/>
        <v>2.1290976682162994</v>
      </c>
    </row>
    <row r="2345" spans="1:11" hidden="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H2345" s="5">
        <v>5730</v>
      </c>
      <c r="I2345" s="6">
        <v>3804.4285712763772</v>
      </c>
      <c r="J2345" s="5">
        <v>28800</v>
      </c>
      <c r="K2345" s="6">
        <f t="shared" si="94"/>
        <v>1.5061394615900485</v>
      </c>
    </row>
    <row r="2346" spans="1:11" hidden="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H2346" s="5">
        <v>4410</v>
      </c>
      <c r="I2346" s="6">
        <v>2641.8965516184649</v>
      </c>
      <c r="J2346" s="5">
        <v>20000</v>
      </c>
      <c r="K2346" s="6">
        <f t="shared" si="94"/>
        <v>1.6692553678145985</v>
      </c>
    </row>
    <row r="2347" spans="1:11" hidden="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H2347" s="5">
        <v>5760</v>
      </c>
      <c r="I2347" s="6">
        <v>3592.9793102010913</v>
      </c>
      <c r="J2347" s="5">
        <v>26044</v>
      </c>
      <c r="K2347" s="6">
        <f t="shared" si="94"/>
        <v>1.6031264036634894</v>
      </c>
    </row>
    <row r="2348" spans="1:11" hidden="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H2348" s="5">
        <v>2375</v>
      </c>
      <c r="I2348" s="6">
        <v>1268.1103447768633</v>
      </c>
      <c r="J2348" s="5">
        <v>9600</v>
      </c>
      <c r="K2348" s="6">
        <f t="shared" si="94"/>
        <v>1.8728654093724826</v>
      </c>
    </row>
    <row r="2349" spans="1:11" hidden="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H2349" s="5">
        <v>600</v>
      </c>
      <c r="I2349" s="6">
        <v>528.37931032368999</v>
      </c>
      <c r="J2349" s="5">
        <v>4000</v>
      </c>
      <c r="K2349" s="6">
        <f t="shared" si="94"/>
        <v>1.1355478692616381</v>
      </c>
    </row>
    <row r="2350" spans="1:11" hidden="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H2350" s="5">
        <v>1470</v>
      </c>
      <c r="I2350" s="6">
        <v>1162.4344827121247</v>
      </c>
      <c r="J2350" s="5">
        <v>8800</v>
      </c>
      <c r="K2350" s="6">
        <f t="shared" si="94"/>
        <v>1.2645873998595443</v>
      </c>
    </row>
    <row r="2351" spans="1:11" hidden="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H2351" s="5">
        <v>1290</v>
      </c>
      <c r="I2351" s="6">
        <v>528.3915024419166</v>
      </c>
      <c r="J2351" s="5">
        <v>4000</v>
      </c>
      <c r="K2351" s="6">
        <f t="shared" si="94"/>
        <v>2.4413715853460438</v>
      </c>
    </row>
    <row r="2352" spans="1:11" hidden="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H2352" s="5">
        <v>7200</v>
      </c>
      <c r="I2352" s="6">
        <v>3910.1071427007282</v>
      </c>
      <c r="J2352" s="5">
        <v>29260</v>
      </c>
      <c r="K2352" s="6">
        <f t="shared" si="94"/>
        <v>1.8413817671059849</v>
      </c>
    </row>
    <row r="2353" spans="1:11" hidden="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H2353" s="5">
        <v>3800</v>
      </c>
      <c r="I2353" s="6">
        <v>1902.2142856381945</v>
      </c>
      <c r="J2353" s="5">
        <v>14400</v>
      </c>
      <c r="K2353" s="6">
        <f t="shared" si="94"/>
        <v>1.9976718862276321</v>
      </c>
    </row>
    <row r="2354" spans="1:11" hidden="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H2354" s="5">
        <v>1470</v>
      </c>
      <c r="I2354" s="6">
        <v>1162.4642856677858</v>
      </c>
      <c r="J2354" s="5">
        <v>8800</v>
      </c>
      <c r="K2354" s="6">
        <f t="shared" si="94"/>
        <v>1.2645549786981611</v>
      </c>
    </row>
    <row r="2355" spans="1:11" hidden="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H2355" s="5">
        <v>330</v>
      </c>
      <c r="I2355" s="6">
        <v>317.03571427303262</v>
      </c>
      <c r="J2355" s="5">
        <v>2400</v>
      </c>
      <c r="K2355" s="6">
        <f t="shared" si="94"/>
        <v>1.0408921933501867</v>
      </c>
    </row>
    <row r="2356" spans="1:11" hidden="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H2356" s="5">
        <v>1550</v>
      </c>
      <c r="I2356" s="6">
        <v>951.10714281875391</v>
      </c>
      <c r="J2356" s="5">
        <v>7200</v>
      </c>
      <c r="K2356" s="6">
        <f t="shared" si="94"/>
        <v>1.6296796966599725</v>
      </c>
    </row>
    <row r="2357" spans="1:11" hidden="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H2357" s="5">
        <v>750</v>
      </c>
      <c r="I2357" s="6">
        <v>898.26785710660101</v>
      </c>
      <c r="J2357" s="5">
        <v>6800</v>
      </c>
      <c r="K2357" s="6">
        <f t="shared" si="94"/>
        <v>0.8349402620459061</v>
      </c>
    </row>
    <row r="2358" spans="1:11" hidden="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H2358" s="5">
        <v>1725</v>
      </c>
      <c r="I2358" s="6">
        <v>1162.4642856673661</v>
      </c>
      <c r="J2358" s="5">
        <v>8800</v>
      </c>
      <c r="K2358" s="6">
        <f t="shared" si="94"/>
        <v>1.483916556636133</v>
      </c>
    </row>
    <row r="2359" spans="1:11" hidden="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H2359" s="5">
        <v>2100</v>
      </c>
      <c r="I2359" s="6">
        <v>686.91071425798896</v>
      </c>
      <c r="J2359" s="5">
        <v>5200</v>
      </c>
      <c r="K2359" s="6">
        <f t="shared" si="94"/>
        <v>3.0571658825680874</v>
      </c>
    </row>
    <row r="2360" spans="1:11" hidden="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H2360" s="5">
        <v>1175</v>
      </c>
      <c r="I2360" s="6">
        <v>845.428571394752</v>
      </c>
      <c r="J2360" s="5">
        <v>6400</v>
      </c>
      <c r="K2360" s="6">
        <f t="shared" si="94"/>
        <v>1.3898276445300815</v>
      </c>
    </row>
    <row r="2361" spans="1:11" hidden="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H2361" s="5">
        <v>6375</v>
      </c>
      <c r="I2361" s="6">
        <v>3910.1071427007355</v>
      </c>
      <c r="J2361" s="5">
        <v>29600</v>
      </c>
      <c r="K2361" s="6">
        <f t="shared" si="94"/>
        <v>1.6303901062917543</v>
      </c>
    </row>
    <row r="2362" spans="1:11" hidden="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H2362" s="5">
        <v>4250</v>
      </c>
      <c r="I2362" s="6">
        <v>4015.7857141250793</v>
      </c>
      <c r="J2362" s="5">
        <v>30400</v>
      </c>
      <c r="K2362" s="6">
        <f t="shared" si="94"/>
        <v>1.0583234023297354</v>
      </c>
    </row>
    <row r="2363" spans="1:11" hidden="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H2363" s="5">
        <v>7410</v>
      </c>
      <c r="I2363" s="6">
        <v>2747.5751230427709</v>
      </c>
      <c r="J2363" s="5">
        <v>20800</v>
      </c>
      <c r="K2363" s="6">
        <f t="shared" si="94"/>
        <v>2.6969235300812739</v>
      </c>
    </row>
    <row r="2364" spans="1:11" hidden="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H2364" s="5">
        <v>2325</v>
      </c>
      <c r="I2364" s="6">
        <v>1056.75862064738</v>
      </c>
      <c r="J2364" s="5">
        <v>9600</v>
      </c>
      <c r="K2364" s="6">
        <f t="shared" ref="K2364:K2427" si="97">+H2364/I2364</f>
        <v>2.2001239966944235</v>
      </c>
    </row>
    <row r="2365" spans="1:11" hidden="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H2365" s="5">
        <v>0</v>
      </c>
      <c r="I2365" s="6">
        <v>317.02758619421581</v>
      </c>
      <c r="J2365" s="5">
        <v>2640</v>
      </c>
      <c r="K2365" s="6">
        <f t="shared" si="97"/>
        <v>0</v>
      </c>
    </row>
    <row r="2366" spans="1:11" hidden="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H2366" s="5">
        <v>0</v>
      </c>
      <c r="I2366" s="6">
        <v>52.837931032368999</v>
      </c>
      <c r="J2366" s="5">
        <v>440</v>
      </c>
      <c r="K2366" s="6">
        <f t="shared" si="97"/>
        <v>0</v>
      </c>
    </row>
    <row r="2367" spans="1:11" hidden="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H2367" s="5">
        <v>13890</v>
      </c>
      <c r="I2367" s="6">
        <v>3592.9793102011122</v>
      </c>
      <c r="J2367" s="5">
        <v>27820</v>
      </c>
      <c r="K2367" s="6">
        <f t="shared" si="97"/>
        <v>3.865872525500996</v>
      </c>
    </row>
    <row r="2368" spans="1:11" hidden="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H2368" s="5">
        <v>2010</v>
      </c>
      <c r="I2368" s="6">
        <v>1585.2222221588099</v>
      </c>
      <c r="J2368" s="5">
        <v>11490</v>
      </c>
      <c r="K2368" s="6">
        <f t="shared" si="97"/>
        <v>1.2679610289986429</v>
      </c>
    </row>
    <row r="2369" spans="1:11" hidden="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H2369" s="5">
        <v>2820</v>
      </c>
      <c r="I2369" s="6">
        <v>2219.311111022334</v>
      </c>
      <c r="J2369" s="5">
        <v>16800</v>
      </c>
      <c r="K2369" s="6">
        <f t="shared" si="97"/>
        <v>1.2706645706382989</v>
      </c>
    </row>
    <row r="2370" spans="1:11" hidden="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H2370" s="5">
        <v>3525</v>
      </c>
      <c r="I2370" s="6">
        <v>2959.0814813631118</v>
      </c>
      <c r="J2370" s="5">
        <v>22400</v>
      </c>
      <c r="K2370" s="6">
        <f t="shared" si="97"/>
        <v>1.1912480349734051</v>
      </c>
    </row>
    <row r="2371" spans="1:11" hidden="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H2371" s="5">
        <v>0</v>
      </c>
      <c r="I2371" s="6">
        <v>1796.5851851133182</v>
      </c>
      <c r="J2371" s="5">
        <v>0</v>
      </c>
      <c r="K2371" s="6">
        <f t="shared" si="97"/>
        <v>0</v>
      </c>
    </row>
    <row r="2372" spans="1:11" hidden="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H2372" s="5">
        <v>2940</v>
      </c>
      <c r="I2372" s="6">
        <v>1912.3542857142861</v>
      </c>
      <c r="J2372" s="5">
        <v>16320</v>
      </c>
      <c r="K2372" s="6">
        <f t="shared" si="97"/>
        <v>1.5373720350682178</v>
      </c>
    </row>
    <row r="2373" spans="1:11" hidden="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H2373" s="5">
        <v>6550</v>
      </c>
      <c r="I2373" s="6">
        <v>2812.2857142428579</v>
      </c>
      <c r="J2373" s="5">
        <v>20000</v>
      </c>
      <c r="K2373" s="6">
        <f t="shared" si="97"/>
        <v>2.3290663415980242</v>
      </c>
    </row>
    <row r="2374" spans="1:11" hidden="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H2374" s="5">
        <v>2375</v>
      </c>
      <c r="I2374" s="6">
        <v>1768.8376470588223</v>
      </c>
      <c r="J2374" s="5">
        <v>12800</v>
      </c>
      <c r="K2374" s="6">
        <f t="shared" si="97"/>
        <v>1.342689649301104</v>
      </c>
    </row>
    <row r="2375" spans="1:11" hidden="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H2375" s="5">
        <v>5200</v>
      </c>
      <c r="I2375" s="6">
        <v>2263.7999998868127</v>
      </c>
      <c r="J2375" s="5">
        <v>17920</v>
      </c>
      <c r="K2375" s="6">
        <f t="shared" si="97"/>
        <v>2.2970227053008188</v>
      </c>
    </row>
    <row r="2376" spans="1:11" hidden="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H2376" s="5">
        <v>1170</v>
      </c>
      <c r="I2376" s="6">
        <v>994.97117647058747</v>
      </c>
      <c r="J2376" s="5">
        <v>7200</v>
      </c>
      <c r="K2376" s="6">
        <f t="shared" si="97"/>
        <v>1.1759134612826512</v>
      </c>
    </row>
    <row r="2377" spans="1:11" hidden="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H2377" s="5">
        <v>1320</v>
      </c>
      <c r="I2377" s="6">
        <v>994.97117647058747</v>
      </c>
      <c r="J2377" s="5">
        <v>7920</v>
      </c>
      <c r="K2377" s="6">
        <f t="shared" si="97"/>
        <v>1.3266715973445296</v>
      </c>
    </row>
    <row r="2378" spans="1:11" hidden="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H2378" s="5">
        <v>3925</v>
      </c>
      <c r="I2378" s="6">
        <v>2263.7999998868127</v>
      </c>
      <c r="J2378" s="5">
        <v>17920</v>
      </c>
      <c r="K2378" s="6">
        <f t="shared" si="97"/>
        <v>1.7338104073664835</v>
      </c>
    </row>
    <row r="2379" spans="1:11" hidden="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H2379" s="5">
        <v>9630</v>
      </c>
      <c r="I2379" s="6">
        <v>6727.0499997982479</v>
      </c>
      <c r="J2379" s="5">
        <v>49210</v>
      </c>
      <c r="K2379" s="6">
        <f t="shared" si="97"/>
        <v>1.4315338819079411</v>
      </c>
    </row>
    <row r="2380" spans="1:11" hidden="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H2380" s="5">
        <v>1230</v>
      </c>
      <c r="I2380" s="6">
        <v>994.95</v>
      </c>
      <c r="J2380" s="5">
        <v>7200</v>
      </c>
      <c r="K2380" s="6">
        <f t="shared" si="97"/>
        <v>1.2362430272878033</v>
      </c>
    </row>
    <row r="2381" spans="1:11" hidden="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H2381" s="5">
        <v>1200</v>
      </c>
      <c r="I2381" s="6">
        <v>831.6</v>
      </c>
      <c r="J2381" s="5">
        <v>6300</v>
      </c>
      <c r="K2381" s="6">
        <f t="shared" si="97"/>
        <v>1.4430014430014431</v>
      </c>
    </row>
    <row r="2382" spans="1:11" hidden="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H2382" s="5">
        <v>3050</v>
      </c>
      <c r="I2382" s="6">
        <v>1267.2</v>
      </c>
      <c r="J2382" s="5">
        <v>9600</v>
      </c>
      <c r="K2382" s="6">
        <f t="shared" si="97"/>
        <v>2.4068813131313131</v>
      </c>
    </row>
    <row r="2383" spans="1:11" hidden="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H2383" s="5">
        <v>420</v>
      </c>
      <c r="I2383" s="6">
        <v>316.8</v>
      </c>
      <c r="J2383" s="5">
        <v>2400</v>
      </c>
      <c r="K2383" s="6">
        <f t="shared" si="97"/>
        <v>1.3257575757575757</v>
      </c>
    </row>
    <row r="2384" spans="1:11" hidden="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H2384" s="5">
        <v>10080</v>
      </c>
      <c r="I2384" s="6">
        <v>3603.6</v>
      </c>
      <c r="J2384" s="5">
        <v>27296</v>
      </c>
      <c r="K2384" s="6">
        <f t="shared" si="97"/>
        <v>2.7972027972027971</v>
      </c>
    </row>
    <row r="2385" spans="1:11" hidden="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H2385" s="5">
        <v>6650</v>
      </c>
      <c r="I2385" s="6">
        <v>3682.8</v>
      </c>
      <c r="J2385" s="5">
        <v>27900</v>
      </c>
      <c r="K2385" s="6">
        <f t="shared" si="97"/>
        <v>1.8056913218203541</v>
      </c>
    </row>
    <row r="2386" spans="1:11" hidden="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H2386" s="5">
        <v>2075</v>
      </c>
      <c r="I2386" s="6">
        <v>2376</v>
      </c>
      <c r="J2386" s="5">
        <v>18000</v>
      </c>
      <c r="K2386" s="6">
        <f t="shared" si="97"/>
        <v>0.87331649831649827</v>
      </c>
    </row>
    <row r="2387" spans="1:11" hidden="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H2387" s="5">
        <v>1140</v>
      </c>
      <c r="I2387" s="6">
        <v>950.4</v>
      </c>
      <c r="J2387" s="5">
        <v>7200</v>
      </c>
      <c r="K2387" s="6">
        <f t="shared" si="97"/>
        <v>1.1994949494949496</v>
      </c>
    </row>
    <row r="2388" spans="1:11" hidden="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H2388" s="5">
        <v>2275</v>
      </c>
      <c r="I2388" s="6">
        <v>1346.4</v>
      </c>
      <c r="J2388" s="5">
        <v>10200</v>
      </c>
      <c r="K2388" s="6">
        <f t="shared" si="97"/>
        <v>1.689691027926322</v>
      </c>
    </row>
    <row r="2389" spans="1:11" hidden="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H2389" s="5">
        <v>3420</v>
      </c>
      <c r="I2389" s="6">
        <v>2851.2</v>
      </c>
      <c r="J2389" s="5">
        <v>21600</v>
      </c>
      <c r="K2389" s="6">
        <f t="shared" si="97"/>
        <v>1.1994949494949496</v>
      </c>
    </row>
    <row r="2390" spans="1:11" hidden="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H2390" s="5">
        <v>2550</v>
      </c>
      <c r="I2390" s="6">
        <v>2138.4</v>
      </c>
      <c r="J2390" s="5">
        <v>16200</v>
      </c>
      <c r="K2390" s="6">
        <f t="shared" si="97"/>
        <v>1.1924803591470257</v>
      </c>
    </row>
    <row r="2391" spans="1:11" hidden="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H2391" s="5">
        <v>1725</v>
      </c>
      <c r="I2391" s="6">
        <v>963.6</v>
      </c>
      <c r="J2391" s="5">
        <v>7570</v>
      </c>
      <c r="K2391" s="6">
        <f t="shared" si="97"/>
        <v>1.790161892901619</v>
      </c>
    </row>
    <row r="2392" spans="1:11" hidden="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H2392" s="5">
        <v>4800</v>
      </c>
      <c r="I2392" s="6">
        <v>3168</v>
      </c>
      <c r="J2392" s="5">
        <v>24000</v>
      </c>
      <c r="K2392" s="6">
        <f t="shared" si="97"/>
        <v>1.5151515151515151</v>
      </c>
    </row>
    <row r="2393" spans="1:11" hidden="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H2393" s="5">
        <v>2550</v>
      </c>
      <c r="I2393" s="6">
        <v>1188</v>
      </c>
      <c r="J2393" s="5">
        <v>9000</v>
      </c>
      <c r="K2393" s="6">
        <f t="shared" si="97"/>
        <v>2.1464646464646466</v>
      </c>
    </row>
    <row r="2394" spans="1:11" hidden="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H2394" s="5">
        <v>9650</v>
      </c>
      <c r="I2394" s="6">
        <v>2732.4</v>
      </c>
      <c r="J2394" s="5">
        <v>20700</v>
      </c>
      <c r="K2394" s="6">
        <f t="shared" si="97"/>
        <v>3.5316937490850533</v>
      </c>
    </row>
    <row r="2395" spans="1:11" hidden="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H2395" s="5">
        <v>1260</v>
      </c>
      <c r="I2395" s="6">
        <v>673.2</v>
      </c>
      <c r="J2395" s="5">
        <v>5100</v>
      </c>
      <c r="K2395" s="6">
        <f t="shared" si="97"/>
        <v>1.8716577540106951</v>
      </c>
    </row>
    <row r="2396" spans="1:11" hidden="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H2396" s="5">
        <v>2620</v>
      </c>
      <c r="I2396" s="6">
        <v>1100.4749999999999</v>
      </c>
      <c r="J2396" s="5">
        <v>8000</v>
      </c>
      <c r="K2396" s="6">
        <f t="shared" si="97"/>
        <v>2.3807901133601401</v>
      </c>
    </row>
    <row r="2397" spans="1:11" hidden="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H2397" s="5">
        <v>2450</v>
      </c>
      <c r="I2397" s="6">
        <v>1287</v>
      </c>
      <c r="J2397" s="5">
        <v>9400</v>
      </c>
      <c r="K2397" s="6">
        <f t="shared" si="97"/>
        <v>1.9036519036519037</v>
      </c>
    </row>
    <row r="2398" spans="1:11" hidden="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H2398" s="5">
        <v>9540</v>
      </c>
      <c r="I2398" s="6">
        <v>2641.14</v>
      </c>
      <c r="J2398" s="5">
        <v>19200</v>
      </c>
      <c r="K2398" s="6">
        <f t="shared" si="97"/>
        <v>3.6120766032849452</v>
      </c>
    </row>
    <row r="2399" spans="1:11" hidden="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H2399" s="5">
        <v>3200</v>
      </c>
      <c r="I2399" s="6">
        <v>2641.14</v>
      </c>
      <c r="J2399" s="5">
        <v>19200</v>
      </c>
      <c r="K2399" s="6">
        <f t="shared" si="97"/>
        <v>1.211598022066229</v>
      </c>
    </row>
    <row r="2400" spans="1:11" hidden="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H2400" s="5">
        <v>5040</v>
      </c>
      <c r="I2400" s="6">
        <v>1430.6174906250001</v>
      </c>
      <c r="J2400" s="5">
        <v>10400</v>
      </c>
      <c r="K2400" s="6">
        <f t="shared" si="97"/>
        <v>3.5229542718635107</v>
      </c>
    </row>
    <row r="2401" spans="1:11" hidden="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H2401" s="5">
        <v>2280</v>
      </c>
      <c r="I2401" s="6">
        <v>1430.6175000000001</v>
      </c>
      <c r="J2401" s="5">
        <v>10400</v>
      </c>
      <c r="K2401" s="6">
        <f t="shared" si="97"/>
        <v>1.5937173982563473</v>
      </c>
    </row>
    <row r="2402" spans="1:11" hidden="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H2402" s="5">
        <v>6420</v>
      </c>
      <c r="I2402" s="6">
        <v>2861.2350000000001</v>
      </c>
      <c r="J2402" s="5">
        <v>20800</v>
      </c>
      <c r="K2402" s="6">
        <f t="shared" si="97"/>
        <v>2.2437863370188049</v>
      </c>
    </row>
    <row r="2403" spans="1:11" hidden="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H2403" s="5">
        <v>5275</v>
      </c>
      <c r="I2403" s="6">
        <v>3071.9505625000002</v>
      </c>
      <c r="J2403" s="5">
        <v>22400</v>
      </c>
      <c r="K2403" s="6">
        <f t="shared" si="97"/>
        <v>1.7171500298192053</v>
      </c>
    </row>
    <row r="2404" spans="1:11" hidden="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H2404" s="5">
        <v>4860</v>
      </c>
      <c r="I2404" s="6">
        <v>1097.125</v>
      </c>
      <c r="J2404" s="5">
        <v>8000</v>
      </c>
      <c r="K2404" s="6">
        <f t="shared" si="97"/>
        <v>4.4297595989518062</v>
      </c>
    </row>
    <row r="2405" spans="1:11" hidden="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H2405" s="5">
        <v>5520</v>
      </c>
      <c r="I2405" s="6">
        <v>2852.5250000000001</v>
      </c>
      <c r="J2405" s="5">
        <v>20800</v>
      </c>
      <c r="K2405" s="6">
        <f t="shared" si="97"/>
        <v>1.9351276500644166</v>
      </c>
    </row>
    <row r="2406" spans="1:11" hidden="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H2406" s="5">
        <v>3720</v>
      </c>
      <c r="I2406" s="6">
        <v>2633.1</v>
      </c>
      <c r="J2406" s="5">
        <v>19200</v>
      </c>
      <c r="K2406" s="6">
        <f t="shared" si="97"/>
        <v>1.4127834111883333</v>
      </c>
    </row>
    <row r="2407" spans="1:11" hidden="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H2407" s="5">
        <v>4260</v>
      </c>
      <c r="I2407" s="6">
        <v>2633.1</v>
      </c>
      <c r="J2407" s="5">
        <v>19200</v>
      </c>
      <c r="K2407" s="6">
        <f t="shared" si="97"/>
        <v>1.6178648741027686</v>
      </c>
    </row>
    <row r="2408" spans="1:11" hidden="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H2408" s="5">
        <v>7050</v>
      </c>
      <c r="I2408" s="6">
        <v>2852.5250000000001</v>
      </c>
      <c r="J2408" s="5">
        <v>20800</v>
      </c>
      <c r="K2408" s="6">
        <f t="shared" si="97"/>
        <v>2.4714945530714014</v>
      </c>
    </row>
    <row r="2409" spans="1:11" hidden="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H2409" s="5">
        <v>4590</v>
      </c>
      <c r="I2409" s="6">
        <v>2852.5250000000001</v>
      </c>
      <c r="J2409" s="5">
        <v>20800</v>
      </c>
      <c r="K2409" s="6">
        <f t="shared" si="97"/>
        <v>1.609100709020955</v>
      </c>
    </row>
    <row r="2410" spans="1:11" hidden="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H2410" s="5">
        <v>3325</v>
      </c>
      <c r="I2410" s="6">
        <v>3071.95</v>
      </c>
      <c r="J2410" s="5">
        <v>22400</v>
      </c>
      <c r="K2410" s="6">
        <f t="shared" si="97"/>
        <v>1.0823743876039649</v>
      </c>
    </row>
    <row r="2411" spans="1:11" hidden="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H2411" s="5">
        <v>3300</v>
      </c>
      <c r="I2411" s="6">
        <v>1645.6875</v>
      </c>
      <c r="J2411" s="5">
        <v>12000</v>
      </c>
      <c r="K2411" s="6">
        <f t="shared" si="97"/>
        <v>2.0052409707189245</v>
      </c>
    </row>
    <row r="2412" spans="1:11" hidden="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H2412" s="5">
        <v>8260</v>
      </c>
      <c r="I2412" s="6">
        <v>4121.4642855494085</v>
      </c>
      <c r="J2412" s="5">
        <v>31200</v>
      </c>
      <c r="K2412" s="6">
        <f t="shared" si="97"/>
        <v>2.0041420785716957</v>
      </c>
    </row>
    <row r="2413" spans="1:11" hidden="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H2413" s="5">
        <v>1605</v>
      </c>
      <c r="I2413" s="6">
        <v>1056.7857142434418</v>
      </c>
      <c r="J2413" s="5">
        <v>8000</v>
      </c>
      <c r="K2413" s="6">
        <f t="shared" si="97"/>
        <v>1.5187563366609544</v>
      </c>
    </row>
    <row r="2414" spans="1:11" hidden="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H2414" s="5">
        <v>8910</v>
      </c>
      <c r="I2414" s="6">
        <v>2641.9642856076484</v>
      </c>
      <c r="J2414" s="5">
        <v>19996</v>
      </c>
      <c r="K2414" s="6">
        <f t="shared" si="97"/>
        <v>3.3724907064558258</v>
      </c>
    </row>
    <row r="2415" spans="1:11" hidden="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H2415" s="5">
        <v>1020</v>
      </c>
      <c r="I2415" s="6">
        <v>528.39285712153003</v>
      </c>
      <c r="J2415" s="5">
        <v>4000</v>
      </c>
      <c r="K2415" s="6">
        <f t="shared" si="97"/>
        <v>1.9303818858501349</v>
      </c>
    </row>
    <row r="2416" spans="1:11" hidden="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H2416" s="5">
        <v>3750</v>
      </c>
      <c r="I2416" s="6">
        <v>1902.2142856375078</v>
      </c>
      <c r="J2416" s="5">
        <v>14400</v>
      </c>
      <c r="K2416" s="6">
        <f t="shared" si="97"/>
        <v>1.9713867298306118</v>
      </c>
    </row>
    <row r="2417" spans="1:11" hidden="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H2417" s="5">
        <v>880</v>
      </c>
      <c r="I2417" s="6">
        <v>634.05652706821195</v>
      </c>
      <c r="J2417" s="5">
        <v>4800</v>
      </c>
      <c r="K2417" s="6">
        <f t="shared" si="97"/>
        <v>1.3878888749383214</v>
      </c>
    </row>
    <row r="2418" spans="1:11" hidden="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H2418" s="5">
        <v>11120</v>
      </c>
      <c r="I2418" s="6">
        <v>4487.9999999102474</v>
      </c>
      <c r="J2418" s="5">
        <v>31740</v>
      </c>
      <c r="K2418" s="6">
        <f t="shared" si="97"/>
        <v>2.4777183601208517</v>
      </c>
    </row>
    <row r="2419" spans="1:11" hidden="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H2419" s="5">
        <v>3750</v>
      </c>
      <c r="I2419" s="6">
        <v>1702.8</v>
      </c>
      <c r="J2419" s="5">
        <v>12900</v>
      </c>
      <c r="K2419" s="6">
        <f t="shared" si="97"/>
        <v>2.2022551092318534</v>
      </c>
    </row>
    <row r="2420" spans="1:11" hidden="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H2420" s="5">
        <v>4760</v>
      </c>
      <c r="I2420" s="6">
        <v>3009.6</v>
      </c>
      <c r="J2420" s="5">
        <v>22800</v>
      </c>
      <c r="K2420" s="6">
        <f t="shared" si="97"/>
        <v>1.5816055289739501</v>
      </c>
    </row>
    <row r="2421" spans="1:11" hidden="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H2421" s="5">
        <v>3510</v>
      </c>
      <c r="I2421" s="6">
        <v>1386</v>
      </c>
      <c r="J2421" s="5">
        <v>10500</v>
      </c>
      <c r="K2421" s="6">
        <f t="shared" si="97"/>
        <v>2.5324675324675323</v>
      </c>
    </row>
    <row r="2422" spans="1:11" hidden="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H2422" s="5">
        <v>3600</v>
      </c>
      <c r="I2422" s="6">
        <v>1386</v>
      </c>
      <c r="J2422" s="5">
        <v>10500</v>
      </c>
      <c r="K2422" s="6">
        <f t="shared" si="97"/>
        <v>2.5974025974025974</v>
      </c>
    </row>
    <row r="2423" spans="1:11" hidden="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H2423" s="5">
        <v>1250</v>
      </c>
      <c r="I2423" s="6">
        <v>1029.5999999999999</v>
      </c>
      <c r="J2423" s="5">
        <v>7800</v>
      </c>
      <c r="K2423" s="6">
        <f t="shared" si="97"/>
        <v>1.2140637140637143</v>
      </c>
    </row>
    <row r="2424" spans="1:11" hidden="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H2424" s="5">
        <v>2475</v>
      </c>
      <c r="I2424" s="6">
        <v>2653.2</v>
      </c>
      <c r="J2424" s="5">
        <v>20100</v>
      </c>
      <c r="K2424" s="6">
        <f t="shared" si="97"/>
        <v>0.93283582089552242</v>
      </c>
    </row>
    <row r="2425" spans="1:11" hidden="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H2425" s="5">
        <v>3660</v>
      </c>
      <c r="I2425" s="6">
        <v>1768.8</v>
      </c>
      <c r="J2425" s="5">
        <v>13400</v>
      </c>
      <c r="K2425" s="6">
        <f t="shared" si="97"/>
        <v>2.0691994572591588</v>
      </c>
    </row>
    <row r="2426" spans="1:11" hidden="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H2426" s="5">
        <v>1215</v>
      </c>
      <c r="I2426" s="6">
        <v>1029.5999999999999</v>
      </c>
      <c r="J2426" s="5">
        <v>7800</v>
      </c>
      <c r="K2426" s="6">
        <f t="shared" si="97"/>
        <v>1.1800699300699302</v>
      </c>
    </row>
    <row r="2427" spans="1:11" hidden="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H2427" s="5">
        <v>2425</v>
      </c>
      <c r="I2427" s="6">
        <v>1346.4</v>
      </c>
      <c r="J2427" s="5">
        <v>10200</v>
      </c>
      <c r="K2427" s="6">
        <f t="shared" si="97"/>
        <v>1.8010992275698157</v>
      </c>
    </row>
    <row r="2428" spans="1:11" hidden="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H2428" s="5">
        <v>1500</v>
      </c>
      <c r="I2428" s="6">
        <v>440.18999062500001</v>
      </c>
      <c r="J2428" s="5">
        <v>3200</v>
      </c>
      <c r="K2428" s="6">
        <f t="shared" ref="K2428:K2490" si="99">+H2428/I2428</f>
        <v>3.4076195096354596</v>
      </c>
    </row>
    <row r="2429" spans="1:11" hidden="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H2429" s="5">
        <v>1600</v>
      </c>
      <c r="I2429" s="6">
        <v>880.38</v>
      </c>
      <c r="J2429" s="5">
        <v>6400</v>
      </c>
      <c r="K2429" s="6">
        <f t="shared" si="99"/>
        <v>1.8173970330993434</v>
      </c>
    </row>
    <row r="2430" spans="1:11" hidden="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H2430" s="5">
        <v>725</v>
      </c>
      <c r="I2430" s="6">
        <v>330.14249999999998</v>
      </c>
      <c r="J2430" s="5">
        <v>2400</v>
      </c>
      <c r="K2430" s="6">
        <f t="shared" si="99"/>
        <v>2.1960214149950401</v>
      </c>
    </row>
    <row r="2431" spans="1:11" hidden="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H2431" s="5">
        <v>5500</v>
      </c>
      <c r="I2431" s="6">
        <v>1650.7125000000001</v>
      </c>
      <c r="J2431" s="5">
        <v>12000</v>
      </c>
      <c r="K2431" s="6">
        <f t="shared" si="99"/>
        <v>3.3318945606821293</v>
      </c>
    </row>
    <row r="2432" spans="1:11" hidden="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H2432" s="5">
        <v>3000</v>
      </c>
      <c r="I2432" s="6">
        <v>1287.0000000000018</v>
      </c>
      <c r="J2432" s="5">
        <v>9400</v>
      </c>
      <c r="K2432" s="6">
        <f t="shared" si="99"/>
        <v>2.3310023310023276</v>
      </c>
    </row>
    <row r="2433" spans="1:11" hidden="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H2433" s="5">
        <v>5775</v>
      </c>
      <c r="I2433" s="6">
        <v>2641.14</v>
      </c>
      <c r="J2433" s="5">
        <v>19200</v>
      </c>
      <c r="K2433" s="6">
        <f t="shared" si="99"/>
        <v>2.1865558054476475</v>
      </c>
    </row>
    <row r="2434" spans="1:11" hidden="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H2434" s="5">
        <v>2640</v>
      </c>
      <c r="I2434" s="6">
        <v>880.38</v>
      </c>
      <c r="J2434" s="5">
        <v>6400</v>
      </c>
      <c r="K2434" s="6">
        <f t="shared" si="99"/>
        <v>2.9987051046139168</v>
      </c>
    </row>
    <row r="2435" spans="1:11" hidden="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H2435" s="5">
        <v>1720</v>
      </c>
      <c r="I2435" s="6">
        <v>880.38</v>
      </c>
      <c r="J2435" s="5">
        <v>6400</v>
      </c>
      <c r="K2435" s="6">
        <f t="shared" si="99"/>
        <v>1.9537018105817943</v>
      </c>
    </row>
    <row r="2436" spans="1:11" hidden="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H2436" s="5">
        <v>770</v>
      </c>
      <c r="I2436" s="6">
        <v>1755.4</v>
      </c>
      <c r="J2436" s="5">
        <v>12800</v>
      </c>
      <c r="K2436" s="6">
        <f t="shared" si="99"/>
        <v>0.43864646234476468</v>
      </c>
    </row>
    <row r="2437" spans="1:11" hidden="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H2437" s="5">
        <v>4220</v>
      </c>
      <c r="I2437" s="6">
        <v>2413.6749943750001</v>
      </c>
      <c r="J2437" s="5">
        <v>17600</v>
      </c>
      <c r="K2437" s="6">
        <f t="shared" si="99"/>
        <v>1.7483712636683018</v>
      </c>
    </row>
    <row r="2438" spans="1:11" hidden="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H2438" s="5">
        <v>1440</v>
      </c>
      <c r="I2438" s="6">
        <v>1645.6875</v>
      </c>
      <c r="J2438" s="5">
        <v>12000</v>
      </c>
      <c r="K2438" s="6">
        <f t="shared" si="99"/>
        <v>0.87501424176825793</v>
      </c>
    </row>
    <row r="2439" spans="1:11" hidden="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H2439" s="5">
        <v>2080</v>
      </c>
      <c r="I2439" s="6">
        <v>726.32013058333712</v>
      </c>
      <c r="J2439" s="5">
        <v>5712</v>
      </c>
      <c r="K2439" s="6">
        <f t="shared" si="99"/>
        <v>2.8637509996170252</v>
      </c>
    </row>
    <row r="2440" spans="1:11" hidden="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H2440" s="5">
        <v>2190</v>
      </c>
      <c r="I2440" s="6">
        <v>924.39958333667107</v>
      </c>
      <c r="J2440" s="5">
        <v>6720</v>
      </c>
      <c r="K2440" s="6">
        <f t="shared" si="99"/>
        <v>2.3691053517084839</v>
      </c>
    </row>
    <row r="2441" spans="1:11" hidden="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H2441" s="5">
        <v>1160</v>
      </c>
      <c r="I2441" s="6">
        <v>1122.485208333339</v>
      </c>
      <c r="J2441" s="5">
        <v>8160</v>
      </c>
      <c r="K2441" s="6">
        <f t="shared" si="99"/>
        <v>1.0334211902198362</v>
      </c>
    </row>
    <row r="2442" spans="1:11" hidden="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H2442" s="5">
        <v>760</v>
      </c>
      <c r="I2442" s="6">
        <v>396.17125000000198</v>
      </c>
      <c r="J2442" s="5">
        <v>2880</v>
      </c>
      <c r="K2442" s="6">
        <f t="shared" si="99"/>
        <v>1.9183623243736041</v>
      </c>
    </row>
    <row r="2443" spans="1:11" hidden="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H2443" s="5">
        <v>3330</v>
      </c>
      <c r="I2443" s="6">
        <v>1535.9749999999999</v>
      </c>
      <c r="J2443" s="5">
        <v>11200</v>
      </c>
      <c r="K2443" s="6">
        <f t="shared" si="99"/>
        <v>2.1680040365240321</v>
      </c>
    </row>
    <row r="2444" spans="1:11" hidden="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H2444" s="5">
        <v>2140</v>
      </c>
      <c r="I2444" s="6">
        <v>1535.9749999999999</v>
      </c>
      <c r="J2444" s="5">
        <v>11200</v>
      </c>
      <c r="K2444" s="6">
        <f t="shared" si="99"/>
        <v>1.3932518432917202</v>
      </c>
    </row>
    <row r="2445" spans="1:11" hidden="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H2445" s="5">
        <v>1110</v>
      </c>
      <c r="I2445" s="6">
        <v>594.25687500000299</v>
      </c>
      <c r="J2445" s="5">
        <v>4320</v>
      </c>
      <c r="K2445" s="6">
        <f t="shared" si="99"/>
        <v>1.8678791053111408</v>
      </c>
    </row>
    <row r="2446" spans="1:11" hidden="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H2446" s="5">
        <v>4820</v>
      </c>
      <c r="I2446" s="6">
        <v>2575.1131250013459</v>
      </c>
      <c r="J2446" s="5">
        <v>18720</v>
      </c>
      <c r="K2446" s="6">
        <f t="shared" si="99"/>
        <v>1.8717624298534383</v>
      </c>
    </row>
    <row r="2447" spans="1:11" hidden="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H2447" s="5">
        <v>930</v>
      </c>
      <c r="I2447" s="6">
        <v>528.37931032368999</v>
      </c>
      <c r="J2447" s="5">
        <v>4000</v>
      </c>
      <c r="K2447" s="6">
        <f t="shared" ref="K2447:K2453" si="100">IFERROR(H2447/I2447,"")</f>
        <v>1.7600991973555389</v>
      </c>
    </row>
    <row r="2448" spans="1:11" hidden="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H2448" s="5">
        <v>4675</v>
      </c>
      <c r="I2448" s="6">
        <v>2272.0310343918732</v>
      </c>
      <c r="J2448" s="5">
        <v>17200</v>
      </c>
      <c r="K2448" s="6">
        <f t="shared" si="100"/>
        <v>2.0576303444954043</v>
      </c>
    </row>
    <row r="2449" spans="1:11" hidden="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H2449" s="5">
        <v>1375</v>
      </c>
      <c r="I2449" s="6">
        <v>1162.4344827121224</v>
      </c>
      <c r="J2449" s="5">
        <v>8800</v>
      </c>
      <c r="K2449" s="6">
        <f t="shared" si="100"/>
        <v>1.1828623638142017</v>
      </c>
    </row>
    <row r="2450" spans="1:11" hidden="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H2450" s="5">
        <v>980</v>
      </c>
      <c r="I2450" s="6">
        <v>1162.4344827121181</v>
      </c>
      <c r="J2450" s="5">
        <v>8800</v>
      </c>
      <c r="K2450" s="6">
        <f t="shared" si="100"/>
        <v>0.84305826657303418</v>
      </c>
    </row>
    <row r="2451" spans="1:11" hidden="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H2451" s="5">
        <v>720</v>
      </c>
      <c r="I2451" s="6">
        <v>1056.7586206473827</v>
      </c>
      <c r="J2451" s="5">
        <v>8000</v>
      </c>
      <c r="K2451" s="6">
        <f t="shared" si="100"/>
        <v>0.6813287215569811</v>
      </c>
    </row>
    <row r="2452" spans="1:11" hidden="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H2452" s="5">
        <v>1590</v>
      </c>
      <c r="I2452" s="6">
        <v>1109.596551679753</v>
      </c>
      <c r="J2452" s="5">
        <v>8400</v>
      </c>
      <c r="K2452" s="6">
        <f t="shared" si="100"/>
        <v>1.4329532635920619</v>
      </c>
    </row>
    <row r="2453" spans="1:11" hidden="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H2453" s="5">
        <v>2700</v>
      </c>
      <c r="I2453" s="6">
        <v>1902.1655171652881</v>
      </c>
      <c r="J2453" s="5">
        <v>14400</v>
      </c>
      <c r="K2453" s="6">
        <f t="shared" si="100"/>
        <v>1.4194348365770444</v>
      </c>
    </row>
    <row r="2454" spans="1:11" hidden="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H2454" s="5">
        <v>1275</v>
      </c>
      <c r="I2454" s="6">
        <v>951.10714281909407</v>
      </c>
      <c r="J2454" s="5">
        <v>7200</v>
      </c>
      <c r="K2454" s="6">
        <f t="shared" si="99"/>
        <v>1.3405429762843366</v>
      </c>
    </row>
    <row r="2455" spans="1:11" hidden="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H2455" s="5">
        <v>4590</v>
      </c>
      <c r="I2455" s="6">
        <v>3804.4285712763772</v>
      </c>
      <c r="J2455" s="5">
        <v>28800</v>
      </c>
      <c r="K2455" s="6">
        <f t="shared" si="99"/>
        <v>1.2064886786559026</v>
      </c>
    </row>
    <row r="2456" spans="1:11" hidden="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H2456" s="5">
        <v>3870</v>
      </c>
      <c r="I2456" s="6">
        <v>2641.8965516184649</v>
      </c>
      <c r="J2456" s="5">
        <v>20000</v>
      </c>
      <c r="K2456" s="6">
        <f t="shared" si="99"/>
        <v>1.4648567513475048</v>
      </c>
    </row>
    <row r="2457" spans="1:11" hidden="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H2457" s="5">
        <v>6450</v>
      </c>
      <c r="I2457" s="6">
        <v>3592.9793102010913</v>
      </c>
      <c r="J2457" s="5">
        <v>26044</v>
      </c>
      <c r="K2457" s="6">
        <f t="shared" si="99"/>
        <v>1.7951675874356781</v>
      </c>
    </row>
    <row r="2458" spans="1:11" hidden="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H2458" s="5">
        <v>2450</v>
      </c>
      <c r="I2458" s="6">
        <v>1268.1103447768633</v>
      </c>
      <c r="J2458" s="5">
        <v>9600</v>
      </c>
      <c r="K2458" s="6">
        <f t="shared" si="99"/>
        <v>1.9320085275631926</v>
      </c>
    </row>
    <row r="2459" spans="1:11" hidden="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H2459" s="5">
        <v>550</v>
      </c>
      <c r="I2459" s="6">
        <v>528.37931032368999</v>
      </c>
      <c r="J2459" s="5">
        <v>4000</v>
      </c>
      <c r="K2459" s="6">
        <f t="shared" si="99"/>
        <v>1.0409188801565015</v>
      </c>
    </row>
    <row r="2460" spans="1:11" hidden="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H2460" s="5">
        <v>1950</v>
      </c>
      <c r="I2460" s="6">
        <v>1162.4344827121247</v>
      </c>
      <c r="J2460" s="5">
        <v>8800</v>
      </c>
      <c r="K2460" s="6">
        <f t="shared" si="99"/>
        <v>1.6775138977728647</v>
      </c>
    </row>
    <row r="2461" spans="1:11" hidden="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H2461" s="5">
        <v>1440</v>
      </c>
      <c r="I2461" s="6">
        <v>528.3915024419166</v>
      </c>
      <c r="J2461" s="5">
        <v>4000</v>
      </c>
      <c r="K2461" s="6">
        <f t="shared" si="99"/>
        <v>2.7252520022467466</v>
      </c>
    </row>
    <row r="2462" spans="1:11" hidden="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H2462" s="5">
        <v>6180</v>
      </c>
      <c r="I2462" s="6">
        <v>3910.1071427007282</v>
      </c>
      <c r="J2462" s="5">
        <v>29260</v>
      </c>
      <c r="K2462" s="6">
        <f t="shared" si="99"/>
        <v>1.5805193500993036</v>
      </c>
    </row>
    <row r="2463" spans="1:11" hidden="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H2463" s="5">
        <v>3560</v>
      </c>
      <c r="I2463" s="6">
        <v>1902.2142856381945</v>
      </c>
      <c r="J2463" s="5">
        <v>14400</v>
      </c>
      <c r="K2463" s="6">
        <f t="shared" si="99"/>
        <v>1.8715031355185185</v>
      </c>
    </row>
    <row r="2464" spans="1:11" hidden="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H2464" s="5">
        <v>1020</v>
      </c>
      <c r="I2464" s="6">
        <v>1162.4642856677858</v>
      </c>
      <c r="J2464" s="5">
        <v>8800</v>
      </c>
      <c r="K2464" s="6">
        <f t="shared" si="99"/>
        <v>0.87744631174974441</v>
      </c>
    </row>
    <row r="2465" spans="1:11" hidden="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H2465" s="5">
        <v>240</v>
      </c>
      <c r="I2465" s="6">
        <v>317.03571427303262</v>
      </c>
      <c r="J2465" s="5">
        <v>2400</v>
      </c>
      <c r="K2465" s="6">
        <f t="shared" si="99"/>
        <v>0.75701250425468114</v>
      </c>
    </row>
    <row r="2466" spans="1:11" hidden="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H2466" s="5">
        <v>1775</v>
      </c>
      <c r="I2466" s="6">
        <v>951.10714281875391</v>
      </c>
      <c r="J2466" s="5">
        <v>7200</v>
      </c>
      <c r="K2466" s="6">
        <f t="shared" si="99"/>
        <v>1.8662461042396459</v>
      </c>
    </row>
    <row r="2467" spans="1:11" hidden="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H2467" s="5">
        <v>840</v>
      </c>
      <c r="I2467" s="6">
        <v>898.26785710660101</v>
      </c>
      <c r="J2467" s="5">
        <v>6800</v>
      </c>
      <c r="K2467" s="6">
        <f t="shared" si="99"/>
        <v>0.93513309349141482</v>
      </c>
    </row>
    <row r="2468" spans="1:11" hidden="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H2468" s="5">
        <v>1425</v>
      </c>
      <c r="I2468" s="6">
        <v>1162.4642856673661</v>
      </c>
      <c r="J2468" s="5">
        <v>8800</v>
      </c>
      <c r="K2468" s="6">
        <f t="shared" si="99"/>
        <v>1.2258441120037622</v>
      </c>
    </row>
    <row r="2469" spans="1:11" hidden="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H2469" s="5">
        <v>1830</v>
      </c>
      <c r="I2469" s="6">
        <v>686.91071425798896</v>
      </c>
      <c r="J2469" s="5">
        <v>5200</v>
      </c>
      <c r="K2469" s="6">
        <f t="shared" si="99"/>
        <v>2.6641016976664762</v>
      </c>
    </row>
    <row r="2470" spans="1:11" hidden="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H2470" s="5">
        <v>1025</v>
      </c>
      <c r="I2470" s="6">
        <v>845.428571394752</v>
      </c>
      <c r="J2470" s="5">
        <v>6400</v>
      </c>
      <c r="K2470" s="6">
        <f t="shared" si="99"/>
        <v>1.2124028388453902</v>
      </c>
    </row>
    <row r="2471" spans="1:11" hidden="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H2471" s="5">
        <v>6125</v>
      </c>
      <c r="I2471" s="6">
        <v>3910.1071427007355</v>
      </c>
      <c r="J2471" s="5">
        <v>29600</v>
      </c>
      <c r="K2471" s="6">
        <f t="shared" si="99"/>
        <v>1.5664532393783521</v>
      </c>
    </row>
    <row r="2472" spans="1:11" hidden="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H2472" s="5">
        <v>4500</v>
      </c>
      <c r="I2472" s="6">
        <v>4015.7857141250793</v>
      </c>
      <c r="J2472" s="5">
        <v>30400</v>
      </c>
      <c r="K2472" s="6">
        <f t="shared" si="99"/>
        <v>1.1205777201138374</v>
      </c>
    </row>
    <row r="2473" spans="1:11" hidden="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H2473" s="5">
        <v>6390</v>
      </c>
      <c r="I2473" s="6">
        <v>2747.5751230427709</v>
      </c>
      <c r="J2473" s="5">
        <v>20800</v>
      </c>
      <c r="K2473" s="6">
        <f t="shared" si="99"/>
        <v>2.3256870927421511</v>
      </c>
    </row>
    <row r="2474" spans="1:11" hidden="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H2474" s="5">
        <v>1725</v>
      </c>
      <c r="I2474" s="6">
        <v>1056.75862064738</v>
      </c>
      <c r="J2474" s="5">
        <v>9600</v>
      </c>
      <c r="K2474" s="6">
        <f t="shared" si="99"/>
        <v>1.6323500620636047</v>
      </c>
    </row>
    <row r="2475" spans="1:11" hidden="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H2475" s="5">
        <v>0</v>
      </c>
      <c r="I2475" s="6">
        <v>317.02758619421581</v>
      </c>
      <c r="J2475" s="5">
        <v>2640</v>
      </c>
      <c r="K2475" s="6">
        <f t="shared" si="99"/>
        <v>0</v>
      </c>
    </row>
    <row r="2476" spans="1:11" hidden="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H2476" s="5">
        <v>0</v>
      </c>
      <c r="I2476" s="6">
        <v>52.837931032368999</v>
      </c>
      <c r="J2476" s="5">
        <v>440</v>
      </c>
      <c r="K2476" s="6">
        <f t="shared" si="99"/>
        <v>0</v>
      </c>
    </row>
    <row r="2477" spans="1:11" hidden="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H2477" s="5">
        <v>12600</v>
      </c>
      <c r="I2477" s="6">
        <v>3592.9793102011122</v>
      </c>
      <c r="J2477" s="5">
        <v>27820</v>
      </c>
      <c r="K2477" s="6">
        <f t="shared" si="99"/>
        <v>3.5068390080138623</v>
      </c>
    </row>
    <row r="2478" spans="1:11" hidden="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H2478" s="5">
        <v>1560</v>
      </c>
      <c r="I2478" s="6">
        <v>1585.2222221588099</v>
      </c>
      <c r="J2478" s="5">
        <v>11490</v>
      </c>
      <c r="K2478" s="6">
        <f t="shared" si="99"/>
        <v>0.98408915683476761</v>
      </c>
    </row>
    <row r="2479" spans="1:11" hidden="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H2479" s="5">
        <v>4230</v>
      </c>
      <c r="I2479" s="6">
        <v>2219.311111022334</v>
      </c>
      <c r="J2479" s="5">
        <v>16800</v>
      </c>
      <c r="K2479" s="6">
        <f t="shared" si="99"/>
        <v>1.9059968559574483</v>
      </c>
    </row>
    <row r="2480" spans="1:11" hidden="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H2480" s="5">
        <v>3000</v>
      </c>
      <c r="I2480" s="6">
        <v>2959.0814813631118</v>
      </c>
      <c r="J2480" s="5">
        <v>22400</v>
      </c>
      <c r="K2480" s="6">
        <f t="shared" si="99"/>
        <v>1.0138281148709831</v>
      </c>
    </row>
    <row r="2481" spans="1:11" hidden="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H2481" s="5">
        <v>0</v>
      </c>
      <c r="I2481" s="6">
        <v>1796.5851851133182</v>
      </c>
      <c r="J2481" s="5">
        <v>0</v>
      </c>
      <c r="K2481" s="6">
        <f t="shared" si="99"/>
        <v>0</v>
      </c>
    </row>
    <row r="2482" spans="1:11" hidden="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H2482" s="5">
        <v>2060</v>
      </c>
      <c r="I2482" s="6">
        <v>1912.3542857142861</v>
      </c>
      <c r="J2482" s="5">
        <v>16320</v>
      </c>
      <c r="K2482" s="6">
        <f t="shared" si="99"/>
        <v>1.0772062558641253</v>
      </c>
    </row>
    <row r="2483" spans="1:11" hidden="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H2483" s="5">
        <v>4475</v>
      </c>
      <c r="I2483" s="6">
        <v>2812.2857142428579</v>
      </c>
      <c r="J2483" s="5">
        <v>20000</v>
      </c>
      <c r="K2483" s="6">
        <f t="shared" si="99"/>
        <v>1.5912323478856731</v>
      </c>
    </row>
    <row r="2484" spans="1:11" hidden="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H2484" s="5">
        <v>1900</v>
      </c>
      <c r="I2484" s="6">
        <v>1768.8376470588223</v>
      </c>
      <c r="J2484" s="5">
        <v>12800</v>
      </c>
      <c r="K2484" s="6">
        <f t="shared" si="99"/>
        <v>1.0741517194408832</v>
      </c>
    </row>
    <row r="2485" spans="1:11" hidden="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H2485" s="5">
        <v>4760</v>
      </c>
      <c r="I2485" s="6">
        <v>2263.7999998868127</v>
      </c>
      <c r="J2485" s="5">
        <v>17920</v>
      </c>
      <c r="K2485" s="6">
        <f t="shared" si="99"/>
        <v>2.1026592456215187</v>
      </c>
    </row>
    <row r="2486" spans="1:11" hidden="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H2486" s="5">
        <v>810</v>
      </c>
      <c r="I2486" s="6">
        <v>994.97117647058747</v>
      </c>
      <c r="J2486" s="5">
        <v>7200</v>
      </c>
      <c r="K2486" s="6">
        <f t="shared" si="99"/>
        <v>0.81409393473414304</v>
      </c>
    </row>
    <row r="2487" spans="1:11" hidden="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H2487" s="5">
        <v>1950</v>
      </c>
      <c r="I2487" s="6">
        <v>994.97117647058747</v>
      </c>
      <c r="J2487" s="5">
        <v>7920</v>
      </c>
      <c r="K2487" s="6">
        <f t="shared" si="99"/>
        <v>1.9598557688044185</v>
      </c>
    </row>
    <row r="2488" spans="1:11" hidden="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H2488" s="5">
        <v>3175</v>
      </c>
      <c r="I2488" s="6">
        <v>2263.7999998868127</v>
      </c>
      <c r="J2488" s="5">
        <v>17920</v>
      </c>
      <c r="K2488" s="6">
        <f t="shared" si="99"/>
        <v>1.4025090556404038</v>
      </c>
    </row>
    <row r="2489" spans="1:11" hidden="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H2489" s="5">
        <v>8370</v>
      </c>
      <c r="I2489" s="6">
        <v>6727.0499997982479</v>
      </c>
      <c r="J2489" s="5">
        <v>49210</v>
      </c>
      <c r="K2489" s="6">
        <f t="shared" si="99"/>
        <v>1.2442303833405468</v>
      </c>
    </row>
    <row r="2490" spans="1:11" hidden="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H2490" s="5">
        <v>1230</v>
      </c>
      <c r="I2490" s="6">
        <v>994.95</v>
      </c>
      <c r="J2490" s="5">
        <v>7200</v>
      </c>
      <c r="K2490" s="6">
        <f t="shared" si="99"/>
        <v>1.2362430272878033</v>
      </c>
    </row>
    <row r="2491" spans="1:11" hidden="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H2491" s="5">
        <v>1080</v>
      </c>
      <c r="I2491" s="6">
        <v>831.6</v>
      </c>
      <c r="J2491" s="5">
        <v>6300</v>
      </c>
      <c r="K2491" s="6">
        <f t="shared" ref="K2491:K2554" si="102">+H2491/I2491</f>
        <v>1.2987012987012987</v>
      </c>
    </row>
    <row r="2492" spans="1:11" hidden="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H2492" s="5">
        <v>2950</v>
      </c>
      <c r="I2492" s="6">
        <v>1267.2</v>
      </c>
      <c r="J2492" s="5">
        <v>9600</v>
      </c>
      <c r="K2492" s="6">
        <f t="shared" si="102"/>
        <v>2.3279671717171717</v>
      </c>
    </row>
    <row r="2493" spans="1:11" hidden="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H2493" s="5">
        <v>480</v>
      </c>
      <c r="I2493" s="6">
        <v>316.8</v>
      </c>
      <c r="J2493" s="5">
        <v>2400</v>
      </c>
      <c r="K2493" s="6">
        <f t="shared" si="102"/>
        <v>1.5151515151515151</v>
      </c>
    </row>
    <row r="2494" spans="1:11" hidden="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H2494" s="5">
        <v>9930</v>
      </c>
      <c r="I2494" s="6">
        <v>3603.6</v>
      </c>
      <c r="J2494" s="5">
        <v>27296</v>
      </c>
      <c r="K2494" s="6">
        <f t="shared" si="102"/>
        <v>2.7555777555777556</v>
      </c>
    </row>
    <row r="2495" spans="1:11" hidden="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H2495" s="5">
        <v>6400</v>
      </c>
      <c r="I2495" s="6">
        <v>3682.8</v>
      </c>
      <c r="J2495" s="5">
        <v>27900</v>
      </c>
      <c r="K2495" s="6">
        <f t="shared" si="102"/>
        <v>1.7378081894210926</v>
      </c>
    </row>
    <row r="2496" spans="1:11" hidden="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H2496" s="5">
        <v>2125</v>
      </c>
      <c r="I2496" s="6">
        <v>2376</v>
      </c>
      <c r="J2496" s="5">
        <v>18000</v>
      </c>
      <c r="K2496" s="6">
        <f t="shared" si="102"/>
        <v>0.89436026936026936</v>
      </c>
    </row>
    <row r="2497" spans="1:11" hidden="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H2497" s="5">
        <v>900</v>
      </c>
      <c r="I2497" s="6">
        <v>950.4</v>
      </c>
      <c r="J2497" s="5">
        <v>7200</v>
      </c>
      <c r="K2497" s="6">
        <f t="shared" si="102"/>
        <v>0.94696969696969702</v>
      </c>
    </row>
    <row r="2498" spans="1:11" hidden="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H2498" s="5">
        <v>2075</v>
      </c>
      <c r="I2498" s="6">
        <v>1346.4</v>
      </c>
      <c r="J2498" s="5">
        <v>10200</v>
      </c>
      <c r="K2498" s="6">
        <f t="shared" si="102"/>
        <v>1.541146761734997</v>
      </c>
    </row>
    <row r="2499" spans="1:11" hidden="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H2499" s="5">
        <v>3570</v>
      </c>
      <c r="I2499" s="6">
        <v>2851.2</v>
      </c>
      <c r="J2499" s="5">
        <v>21600</v>
      </c>
      <c r="K2499" s="6">
        <f t="shared" si="102"/>
        <v>1.2521043771043772</v>
      </c>
    </row>
    <row r="2500" spans="1:11" hidden="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H2500" s="5">
        <v>2520</v>
      </c>
      <c r="I2500" s="6">
        <v>2138.4</v>
      </c>
      <c r="J2500" s="5">
        <v>16200</v>
      </c>
      <c r="K2500" s="6">
        <f t="shared" si="102"/>
        <v>1.1784511784511784</v>
      </c>
    </row>
    <row r="2501" spans="1:11" hidden="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H2501" s="5">
        <v>2200</v>
      </c>
      <c r="I2501" s="6">
        <v>963.6</v>
      </c>
      <c r="J2501" s="5">
        <v>7570</v>
      </c>
      <c r="K2501" s="6">
        <f t="shared" si="102"/>
        <v>2.2831050228310503</v>
      </c>
    </row>
    <row r="2502" spans="1:11" hidden="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H2502" s="5">
        <v>4750</v>
      </c>
      <c r="I2502" s="6">
        <v>3168</v>
      </c>
      <c r="J2502" s="5">
        <v>24000</v>
      </c>
      <c r="K2502" s="6">
        <f t="shared" si="102"/>
        <v>1.4993686868686869</v>
      </c>
    </row>
    <row r="2503" spans="1:11" hidden="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H2503" s="5">
        <v>2400</v>
      </c>
      <c r="I2503" s="6">
        <v>1188</v>
      </c>
      <c r="J2503" s="5">
        <v>9000</v>
      </c>
      <c r="K2503" s="6">
        <f t="shared" si="102"/>
        <v>2.0202020202020203</v>
      </c>
    </row>
    <row r="2504" spans="1:11" hidden="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H2504" s="5">
        <v>6650</v>
      </c>
      <c r="I2504" s="6">
        <v>2732.4</v>
      </c>
      <c r="J2504" s="5">
        <v>20700</v>
      </c>
      <c r="K2504" s="6">
        <f t="shared" si="102"/>
        <v>2.4337578685404773</v>
      </c>
    </row>
    <row r="2505" spans="1:11" hidden="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H2505" s="5">
        <v>1320</v>
      </c>
      <c r="I2505" s="6">
        <v>673.2</v>
      </c>
      <c r="J2505" s="5">
        <v>5100</v>
      </c>
      <c r="K2505" s="6">
        <f t="shared" si="102"/>
        <v>1.9607843137254901</v>
      </c>
    </row>
    <row r="2506" spans="1:11" hidden="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H2506" s="5">
        <v>2000</v>
      </c>
      <c r="I2506" s="6">
        <v>1100.4749999999999</v>
      </c>
      <c r="J2506" s="5">
        <v>8000</v>
      </c>
      <c r="K2506" s="6">
        <f t="shared" si="102"/>
        <v>1.8173970330993436</v>
      </c>
    </row>
    <row r="2507" spans="1:11" hidden="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H2507" s="5">
        <v>2525</v>
      </c>
      <c r="I2507" s="6">
        <v>1287</v>
      </c>
      <c r="J2507" s="5">
        <v>9400</v>
      </c>
      <c r="K2507" s="6">
        <f t="shared" si="102"/>
        <v>1.9619269619269619</v>
      </c>
    </row>
    <row r="2508" spans="1:11" hidden="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H2508" s="5">
        <v>6960</v>
      </c>
      <c r="I2508" s="6">
        <v>2641.14</v>
      </c>
      <c r="J2508" s="5">
        <v>19200</v>
      </c>
      <c r="K2508" s="6">
        <f t="shared" si="102"/>
        <v>2.635225697994048</v>
      </c>
    </row>
    <row r="2509" spans="1:11" hidden="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H2509" s="5">
        <v>2400</v>
      </c>
      <c r="I2509" s="6">
        <v>2641.14</v>
      </c>
      <c r="J2509" s="5">
        <v>19200</v>
      </c>
      <c r="K2509" s="6">
        <f t="shared" si="102"/>
        <v>0.90869851654967182</v>
      </c>
    </row>
    <row r="2510" spans="1:11" hidden="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H2510" s="5">
        <v>3060</v>
      </c>
      <c r="I2510" s="6">
        <v>1430.6174906250001</v>
      </c>
      <c r="J2510" s="5">
        <v>10400</v>
      </c>
      <c r="K2510" s="6">
        <f t="shared" si="102"/>
        <v>2.1389365222028456</v>
      </c>
    </row>
    <row r="2511" spans="1:11" hidden="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H2511" s="5">
        <v>1740</v>
      </c>
      <c r="I2511" s="6">
        <v>1430.6175000000001</v>
      </c>
      <c r="J2511" s="5">
        <v>10400</v>
      </c>
      <c r="K2511" s="6">
        <f t="shared" si="102"/>
        <v>1.2162580144587913</v>
      </c>
    </row>
    <row r="2512" spans="1:11" hidden="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H2512" s="5">
        <v>4680</v>
      </c>
      <c r="I2512" s="6">
        <v>2861.2350000000001</v>
      </c>
      <c r="J2512" s="5">
        <v>20800</v>
      </c>
      <c r="K2512" s="6">
        <f t="shared" si="102"/>
        <v>1.635657329789409</v>
      </c>
    </row>
    <row r="2513" spans="1:11" hidden="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H2513" s="5">
        <v>5625</v>
      </c>
      <c r="I2513" s="6">
        <v>3071.9505625000002</v>
      </c>
      <c r="J2513" s="5">
        <v>22400</v>
      </c>
      <c r="K2513" s="6">
        <f t="shared" si="102"/>
        <v>1.8310841550204797</v>
      </c>
    </row>
    <row r="2514" spans="1:11" hidden="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H2514" s="5">
        <v>4780</v>
      </c>
      <c r="I2514" s="6">
        <v>1097.125</v>
      </c>
      <c r="J2514" s="5">
        <v>8000</v>
      </c>
      <c r="K2514" s="6">
        <f t="shared" si="102"/>
        <v>4.3568417454711179</v>
      </c>
    </row>
    <row r="2515" spans="1:11" hidden="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H2515" s="5">
        <v>5220</v>
      </c>
      <c r="I2515" s="6">
        <v>2852.5250000000001</v>
      </c>
      <c r="J2515" s="5">
        <v>20800</v>
      </c>
      <c r="K2515" s="6">
        <f t="shared" si="102"/>
        <v>1.8299576690826549</v>
      </c>
    </row>
    <row r="2516" spans="1:11" hidden="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H2516" s="5">
        <v>3420</v>
      </c>
      <c r="I2516" s="6">
        <v>2633.1</v>
      </c>
      <c r="J2516" s="5">
        <v>19200</v>
      </c>
      <c r="K2516" s="6">
        <f t="shared" si="102"/>
        <v>1.2988492651247578</v>
      </c>
    </row>
    <row r="2517" spans="1:11" hidden="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H2517" s="5">
        <v>4350</v>
      </c>
      <c r="I2517" s="6">
        <v>2633.1</v>
      </c>
      <c r="J2517" s="5">
        <v>19200</v>
      </c>
      <c r="K2517" s="6">
        <f t="shared" si="102"/>
        <v>1.6520451179218412</v>
      </c>
    </row>
    <row r="2518" spans="1:11" hidden="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H2518" s="5">
        <v>3630</v>
      </c>
      <c r="I2518" s="6">
        <v>2852.5250000000001</v>
      </c>
      <c r="J2518" s="5">
        <v>20800</v>
      </c>
      <c r="K2518" s="6">
        <f t="shared" si="102"/>
        <v>1.2725567698793174</v>
      </c>
    </row>
    <row r="2519" spans="1:11" hidden="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H2519" s="5">
        <v>3750</v>
      </c>
      <c r="I2519" s="6">
        <v>2852.5250000000001</v>
      </c>
      <c r="J2519" s="5">
        <v>20800</v>
      </c>
      <c r="K2519" s="6">
        <f t="shared" si="102"/>
        <v>1.3146247622720222</v>
      </c>
    </row>
    <row r="2520" spans="1:11" hidden="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H2520" s="5">
        <v>3200</v>
      </c>
      <c r="I2520" s="6">
        <v>3071.95</v>
      </c>
      <c r="J2520" s="5">
        <v>22400</v>
      </c>
      <c r="K2520" s="6">
        <f t="shared" si="102"/>
        <v>1.0416836211526881</v>
      </c>
    </row>
    <row r="2521" spans="1:11" hidden="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H2521" s="5">
        <v>2825</v>
      </c>
      <c r="I2521" s="6">
        <v>1645.6875</v>
      </c>
      <c r="J2521" s="5">
        <v>12000</v>
      </c>
      <c r="K2521" s="6">
        <f t="shared" si="102"/>
        <v>1.7166078006912004</v>
      </c>
    </row>
    <row r="2522" spans="1:11" hidden="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H2522" s="5">
        <v>8060</v>
      </c>
      <c r="I2522" s="6">
        <v>4121.4642855494085</v>
      </c>
      <c r="J2522" s="5">
        <v>31200</v>
      </c>
      <c r="K2522" s="6">
        <f t="shared" si="102"/>
        <v>1.9556156359912671</v>
      </c>
    </row>
    <row r="2523" spans="1:11" hidden="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H2523" s="5">
        <v>1755</v>
      </c>
      <c r="I2523" s="6">
        <v>1056.7857142434418</v>
      </c>
      <c r="J2523" s="5">
        <v>8000</v>
      </c>
      <c r="K2523" s="6">
        <f t="shared" si="102"/>
        <v>1.6606961812087073</v>
      </c>
    </row>
    <row r="2524" spans="1:11" hidden="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H2524" s="5">
        <v>6420</v>
      </c>
      <c r="I2524" s="6">
        <v>2641.9642856076484</v>
      </c>
      <c r="J2524" s="5">
        <v>19996</v>
      </c>
      <c r="K2524" s="6">
        <f t="shared" si="102"/>
        <v>2.4300101386584068</v>
      </c>
    </row>
    <row r="2525" spans="1:11" hidden="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H2525" s="5">
        <v>1080</v>
      </c>
      <c r="I2525" s="6">
        <v>528.39285712153003</v>
      </c>
      <c r="J2525" s="5">
        <v>4000</v>
      </c>
      <c r="K2525" s="6">
        <f t="shared" si="102"/>
        <v>2.0439337614883781</v>
      </c>
    </row>
    <row r="2526" spans="1:11" hidden="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H2526" s="5">
        <v>3330</v>
      </c>
      <c r="I2526" s="6">
        <v>1902.2142856375078</v>
      </c>
      <c r="J2526" s="5">
        <v>14400</v>
      </c>
      <c r="K2526" s="6">
        <f t="shared" si="102"/>
        <v>1.7505914160895832</v>
      </c>
    </row>
    <row r="2527" spans="1:11" hidden="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H2527" s="5">
        <v>520</v>
      </c>
      <c r="I2527" s="6">
        <v>634.05652706821195</v>
      </c>
      <c r="J2527" s="5">
        <v>4800</v>
      </c>
      <c r="K2527" s="6">
        <f t="shared" si="102"/>
        <v>0.82011615337264443</v>
      </c>
    </row>
    <row r="2528" spans="1:11" hidden="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H2528" s="5">
        <v>9640</v>
      </c>
      <c r="I2528" s="6">
        <v>4487.9999999102474</v>
      </c>
      <c r="J2528" s="5">
        <v>31740</v>
      </c>
      <c r="K2528" s="6">
        <f t="shared" si="102"/>
        <v>2.1479500891695151</v>
      </c>
    </row>
    <row r="2529" spans="1:11" hidden="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H2529" s="5">
        <v>4375</v>
      </c>
      <c r="I2529" s="6">
        <v>1702.8</v>
      </c>
      <c r="J2529" s="5">
        <v>12900</v>
      </c>
      <c r="K2529" s="6">
        <f t="shared" si="102"/>
        <v>2.5692976274371624</v>
      </c>
    </row>
    <row r="2530" spans="1:11" hidden="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H2530" s="5">
        <v>4140</v>
      </c>
      <c r="I2530" s="6">
        <v>3009.6</v>
      </c>
      <c r="J2530" s="5">
        <v>22800</v>
      </c>
      <c r="K2530" s="6">
        <f t="shared" si="102"/>
        <v>1.3755980861244019</v>
      </c>
    </row>
    <row r="2531" spans="1:11" hidden="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H2531" s="5">
        <v>3570</v>
      </c>
      <c r="I2531" s="6">
        <v>1386</v>
      </c>
      <c r="J2531" s="5">
        <v>10500</v>
      </c>
      <c r="K2531" s="6">
        <f t="shared" si="102"/>
        <v>2.5757575757575757</v>
      </c>
    </row>
    <row r="2532" spans="1:11" hidden="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H2532" s="5">
        <v>3180</v>
      </c>
      <c r="I2532" s="6">
        <v>1386</v>
      </c>
      <c r="J2532" s="5">
        <v>10500</v>
      </c>
      <c r="K2532" s="6">
        <f t="shared" si="102"/>
        <v>2.2943722943722942</v>
      </c>
    </row>
    <row r="2533" spans="1:11" hidden="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H2533" s="5">
        <v>1175</v>
      </c>
      <c r="I2533" s="6">
        <v>1029.5999999999999</v>
      </c>
      <c r="J2533" s="5">
        <v>7800</v>
      </c>
      <c r="K2533" s="6">
        <f t="shared" si="102"/>
        <v>1.1412198912198914</v>
      </c>
    </row>
    <row r="2534" spans="1:11" hidden="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H2534" s="5">
        <v>2550</v>
      </c>
      <c r="I2534" s="6">
        <v>2653.2</v>
      </c>
      <c r="J2534" s="5">
        <v>20100</v>
      </c>
      <c r="K2534" s="6">
        <f t="shared" si="102"/>
        <v>0.96110357304387162</v>
      </c>
    </row>
    <row r="2535" spans="1:11" hidden="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H2535" s="5">
        <v>3240</v>
      </c>
      <c r="I2535" s="6">
        <v>1768.8</v>
      </c>
      <c r="J2535" s="5">
        <v>13400</v>
      </c>
      <c r="K2535" s="6">
        <f t="shared" si="102"/>
        <v>1.8317503392130259</v>
      </c>
    </row>
    <row r="2536" spans="1:11" hidden="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H2536" s="5">
        <v>1020</v>
      </c>
      <c r="I2536" s="6">
        <v>1029.5999999999999</v>
      </c>
      <c r="J2536" s="5">
        <v>7800</v>
      </c>
      <c r="K2536" s="6">
        <f t="shared" si="102"/>
        <v>0.99067599067599077</v>
      </c>
    </row>
    <row r="2537" spans="1:11" hidden="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H2537" s="5">
        <v>2000</v>
      </c>
      <c r="I2537" s="6">
        <v>1346.4</v>
      </c>
      <c r="J2537" s="5">
        <v>10200</v>
      </c>
      <c r="K2537" s="6">
        <f t="shared" si="102"/>
        <v>1.4854426619132501</v>
      </c>
    </row>
    <row r="2538" spans="1:11" hidden="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H2538" s="5">
        <v>1290</v>
      </c>
      <c r="I2538" s="6">
        <v>440.18999062500001</v>
      </c>
      <c r="J2538" s="5">
        <v>3200</v>
      </c>
      <c r="K2538" s="6">
        <f t="shared" si="102"/>
        <v>2.9305527782864953</v>
      </c>
    </row>
    <row r="2539" spans="1:11" hidden="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H2539" s="5">
        <v>1575</v>
      </c>
      <c r="I2539" s="6">
        <v>880.38</v>
      </c>
      <c r="J2539" s="5">
        <v>6400</v>
      </c>
      <c r="K2539" s="6">
        <f t="shared" si="102"/>
        <v>1.7890002044571662</v>
      </c>
    </row>
    <row r="2540" spans="1:11" hidden="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H2540" s="5">
        <v>625</v>
      </c>
      <c r="I2540" s="6">
        <v>330.14249999999998</v>
      </c>
      <c r="J2540" s="5">
        <v>2400</v>
      </c>
      <c r="K2540" s="6">
        <f t="shared" si="102"/>
        <v>1.8931219094784828</v>
      </c>
    </row>
    <row r="2541" spans="1:11" hidden="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H2541" s="5">
        <v>4475</v>
      </c>
      <c r="I2541" s="6">
        <v>1650.7125000000001</v>
      </c>
      <c r="J2541" s="5">
        <v>12000</v>
      </c>
      <c r="K2541" s="6">
        <f t="shared" si="102"/>
        <v>2.7109505743731872</v>
      </c>
    </row>
    <row r="2542" spans="1:11" hidden="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H2542" s="5">
        <v>3080</v>
      </c>
      <c r="I2542" s="6">
        <v>1287.0000000000018</v>
      </c>
      <c r="J2542" s="5">
        <v>9400</v>
      </c>
      <c r="K2542" s="6">
        <f t="shared" si="102"/>
        <v>2.39316239316239</v>
      </c>
    </row>
    <row r="2543" spans="1:11" hidden="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H2543" s="5">
        <v>5375</v>
      </c>
      <c r="I2543" s="6">
        <v>2641.14</v>
      </c>
      <c r="J2543" s="5">
        <v>19200</v>
      </c>
      <c r="K2543" s="6">
        <f t="shared" si="102"/>
        <v>2.0351060526893692</v>
      </c>
    </row>
    <row r="2544" spans="1:11" hidden="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H2544" s="5">
        <v>2610</v>
      </c>
      <c r="I2544" s="6">
        <v>880.38</v>
      </c>
      <c r="J2544" s="5">
        <v>6400</v>
      </c>
      <c r="K2544" s="6">
        <f t="shared" si="102"/>
        <v>2.9646289102433041</v>
      </c>
    </row>
    <row r="2545" spans="1:11" hidden="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H2545" s="5">
        <v>1620</v>
      </c>
      <c r="I2545" s="6">
        <v>880.38</v>
      </c>
      <c r="J2545" s="5">
        <v>6400</v>
      </c>
      <c r="K2545" s="6">
        <f t="shared" si="102"/>
        <v>1.8401144960130853</v>
      </c>
    </row>
    <row r="2546" spans="1:11" hidden="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H2546" s="5">
        <v>550</v>
      </c>
      <c r="I2546" s="6">
        <v>1755.4</v>
      </c>
      <c r="J2546" s="5">
        <v>12800</v>
      </c>
      <c r="K2546" s="6">
        <f t="shared" si="102"/>
        <v>0.31331890167483195</v>
      </c>
    </row>
    <row r="2547" spans="1:11" hidden="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H2547" s="5">
        <v>4160</v>
      </c>
      <c r="I2547" s="6">
        <v>2413.6749943750001</v>
      </c>
      <c r="J2547" s="5">
        <v>17600</v>
      </c>
      <c r="K2547" s="6">
        <f t="shared" si="102"/>
        <v>1.7235129044692263</v>
      </c>
    </row>
    <row r="2548" spans="1:11" hidden="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H2548" s="5">
        <v>1180</v>
      </c>
      <c r="I2548" s="6">
        <v>1645.6875</v>
      </c>
      <c r="J2548" s="5">
        <v>12000</v>
      </c>
      <c r="K2548" s="6">
        <f t="shared" si="102"/>
        <v>0.71702555922676692</v>
      </c>
    </row>
    <row r="2549" spans="1:11" hidden="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H2549" s="5">
        <v>1020</v>
      </c>
      <c r="I2549" s="6">
        <v>726.32013058333712</v>
      </c>
      <c r="J2549" s="5">
        <v>5712</v>
      </c>
      <c r="K2549" s="6">
        <f t="shared" si="102"/>
        <v>1.4043394325045029</v>
      </c>
    </row>
    <row r="2550" spans="1:11" hidden="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H2550" s="5">
        <v>1980</v>
      </c>
      <c r="I2550" s="6">
        <v>924.39958333667107</v>
      </c>
      <c r="J2550" s="5">
        <v>6720</v>
      </c>
      <c r="K2550" s="6">
        <f t="shared" si="102"/>
        <v>2.1419308659282184</v>
      </c>
    </row>
    <row r="2551" spans="1:11" hidden="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H2551" s="5">
        <v>720</v>
      </c>
      <c r="I2551" s="6">
        <v>1122.485208333339</v>
      </c>
      <c r="J2551" s="5">
        <v>8160</v>
      </c>
      <c r="K2551" s="6">
        <f t="shared" si="102"/>
        <v>0.64143384220541555</v>
      </c>
    </row>
    <row r="2552" spans="1:11" hidden="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H2552" s="5">
        <v>560</v>
      </c>
      <c r="I2552" s="6">
        <v>396.17125000000198</v>
      </c>
      <c r="J2552" s="5">
        <v>2880</v>
      </c>
      <c r="K2552" s="6">
        <f t="shared" si="102"/>
        <v>1.4135301337489714</v>
      </c>
    </row>
    <row r="2553" spans="1:11" hidden="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H2553" s="5">
        <v>2550</v>
      </c>
      <c r="I2553" s="6">
        <v>1535.9749999999999</v>
      </c>
      <c r="J2553" s="5">
        <v>11200</v>
      </c>
      <c r="K2553" s="6">
        <f t="shared" si="102"/>
        <v>1.6601832712120967</v>
      </c>
    </row>
    <row r="2554" spans="1:11" hidden="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H2554" s="5">
        <v>1440</v>
      </c>
      <c r="I2554" s="6">
        <v>1535.9749999999999</v>
      </c>
      <c r="J2554" s="5">
        <v>11200</v>
      </c>
      <c r="K2554" s="6">
        <f t="shared" si="102"/>
        <v>0.93751525903741928</v>
      </c>
    </row>
    <row r="2555" spans="1:11" hidden="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H2555" s="5">
        <v>1350</v>
      </c>
      <c r="I2555" s="6">
        <v>594.25687500000299</v>
      </c>
      <c r="J2555" s="5">
        <v>4320</v>
      </c>
      <c r="K2555" s="6">
        <f t="shared" ref="K2555:K2617" si="104">+H2555/I2555</f>
        <v>2.2717448578108468</v>
      </c>
    </row>
    <row r="2556" spans="1:11" hidden="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H2556" s="5">
        <v>4520</v>
      </c>
      <c r="I2556" s="6">
        <v>2575.1131250013459</v>
      </c>
      <c r="J2556" s="5">
        <v>18720</v>
      </c>
      <c r="K2556" s="6">
        <f t="shared" si="104"/>
        <v>1.7552626935555065</v>
      </c>
    </row>
    <row r="2557" spans="1:11" hidden="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H2557" s="5">
        <v>870</v>
      </c>
      <c r="I2557" s="6">
        <v>528.37931032368999</v>
      </c>
      <c r="J2557" s="5">
        <v>4000</v>
      </c>
      <c r="K2557" s="6">
        <f t="shared" ref="K2557:K2563" si="105">IFERROR(H2557/I2557,"")</f>
        <v>1.6465444104293752</v>
      </c>
    </row>
    <row r="2558" spans="1:11" hidden="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H2558" s="5">
        <v>4675</v>
      </c>
      <c r="I2558" s="6">
        <v>2272.0310343918732</v>
      </c>
      <c r="J2558" s="5">
        <v>17200</v>
      </c>
      <c r="K2558" s="6">
        <f t="shared" si="105"/>
        <v>2.0576303444954043</v>
      </c>
    </row>
    <row r="2559" spans="1:11" hidden="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H2559" s="5">
        <v>1475</v>
      </c>
      <c r="I2559" s="6">
        <v>1162.4344827121224</v>
      </c>
      <c r="J2559" s="5">
        <v>8800</v>
      </c>
      <c r="K2559" s="6">
        <f t="shared" si="105"/>
        <v>1.2688887175461436</v>
      </c>
    </row>
    <row r="2560" spans="1:11" hidden="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H2560" s="5">
        <v>525</v>
      </c>
      <c r="I2560" s="6">
        <v>1162.4344827121181</v>
      </c>
      <c r="J2560" s="5">
        <v>8800</v>
      </c>
      <c r="K2560" s="6">
        <f t="shared" si="105"/>
        <v>0.4516383570926969</v>
      </c>
    </row>
    <row r="2561" spans="1:11" hidden="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H2561" s="5">
        <v>1170</v>
      </c>
      <c r="I2561" s="6">
        <v>1056.7586206473827</v>
      </c>
      <c r="J2561" s="5">
        <v>8000</v>
      </c>
      <c r="K2561" s="6">
        <f t="shared" si="105"/>
        <v>1.1071591725300942</v>
      </c>
    </row>
    <row r="2562" spans="1:11" hidden="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H2562" s="5">
        <v>1590</v>
      </c>
      <c r="I2562" s="6">
        <v>1109.596551679753</v>
      </c>
      <c r="J2562" s="5">
        <v>8400</v>
      </c>
      <c r="K2562" s="6">
        <f t="shared" si="105"/>
        <v>1.4329532635920619</v>
      </c>
    </row>
    <row r="2563" spans="1:11" hidden="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H2563" s="5">
        <v>3050</v>
      </c>
      <c r="I2563" s="6">
        <v>1902.1655171652881</v>
      </c>
      <c r="J2563" s="5">
        <v>14400</v>
      </c>
      <c r="K2563" s="6">
        <f t="shared" si="105"/>
        <v>1.6034356487259207</v>
      </c>
    </row>
    <row r="2564" spans="1:11" hidden="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H2564" s="5">
        <v>1150</v>
      </c>
      <c r="I2564" s="6">
        <v>951.10714281909407</v>
      </c>
      <c r="J2564" s="5">
        <v>7200</v>
      </c>
      <c r="K2564" s="6">
        <f t="shared" si="104"/>
        <v>1.2091171942956762</v>
      </c>
    </row>
    <row r="2565" spans="1:11" hidden="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H2565" s="5">
        <v>5370</v>
      </c>
      <c r="I2565" s="6">
        <v>3804.4285712763772</v>
      </c>
      <c r="J2565" s="5">
        <v>28800</v>
      </c>
      <c r="K2565" s="6">
        <f t="shared" si="104"/>
        <v>1.411512898558213</v>
      </c>
    </row>
    <row r="2566" spans="1:11" hidden="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H2566" s="5">
        <v>3510</v>
      </c>
      <c r="I2566" s="6">
        <v>2641.8965516184649</v>
      </c>
      <c r="J2566" s="5">
        <v>20000</v>
      </c>
      <c r="K2566" s="6">
        <f t="shared" si="104"/>
        <v>1.3285910070361091</v>
      </c>
    </row>
    <row r="2567" spans="1:11" hidden="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H2567" s="5">
        <v>5280</v>
      </c>
      <c r="I2567" s="6">
        <v>3592.9793102010913</v>
      </c>
      <c r="J2567" s="5">
        <v>26044</v>
      </c>
      <c r="K2567" s="6">
        <f t="shared" si="104"/>
        <v>1.4695325366915319</v>
      </c>
    </row>
    <row r="2568" spans="1:11" hidden="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H2568" s="5">
        <v>2250</v>
      </c>
      <c r="I2568" s="6">
        <v>1268.1103447768633</v>
      </c>
      <c r="J2568" s="5">
        <v>9600</v>
      </c>
      <c r="K2568" s="6">
        <f t="shared" si="104"/>
        <v>1.7742935457212992</v>
      </c>
    </row>
    <row r="2569" spans="1:11" hidden="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H2569" s="5">
        <v>550</v>
      </c>
      <c r="I2569" s="6">
        <v>528.37931032368999</v>
      </c>
      <c r="J2569" s="5">
        <v>4000</v>
      </c>
      <c r="K2569" s="6">
        <f t="shared" si="104"/>
        <v>1.0409188801565015</v>
      </c>
    </row>
    <row r="2570" spans="1:11" hidden="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H2570" s="5">
        <v>1470</v>
      </c>
      <c r="I2570" s="6">
        <v>1162.4344827121247</v>
      </c>
      <c r="J2570" s="5">
        <v>8800</v>
      </c>
      <c r="K2570" s="6">
        <f t="shared" si="104"/>
        <v>1.2645873998595443</v>
      </c>
    </row>
    <row r="2571" spans="1:11" hidden="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H2571" s="5">
        <v>690</v>
      </c>
      <c r="I2571" s="6">
        <v>528.3915024419166</v>
      </c>
      <c r="J2571" s="5">
        <v>4000</v>
      </c>
      <c r="K2571" s="6">
        <f t="shared" si="104"/>
        <v>1.3058499177432328</v>
      </c>
    </row>
    <row r="2572" spans="1:11" hidden="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H2572" s="5">
        <v>6090</v>
      </c>
      <c r="I2572" s="6">
        <v>3910.1071427007282</v>
      </c>
      <c r="J2572" s="5">
        <v>29260</v>
      </c>
      <c r="K2572" s="6">
        <f t="shared" si="104"/>
        <v>1.5575020780104789</v>
      </c>
    </row>
    <row r="2573" spans="1:11" hidden="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H2573" s="5">
        <v>2560</v>
      </c>
      <c r="I2573" s="6">
        <v>1902.2142856381945</v>
      </c>
      <c r="J2573" s="5">
        <v>14400</v>
      </c>
      <c r="K2573" s="6">
        <f t="shared" si="104"/>
        <v>1.3458000075638785</v>
      </c>
    </row>
    <row r="2574" spans="1:11" hidden="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H2574" s="5">
        <v>1710</v>
      </c>
      <c r="I2574" s="6">
        <v>1162.4642856677858</v>
      </c>
      <c r="J2574" s="5">
        <v>8800</v>
      </c>
      <c r="K2574" s="6">
        <f t="shared" si="104"/>
        <v>1.4710129344039833</v>
      </c>
    </row>
    <row r="2575" spans="1:11" hidden="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H2575" s="5">
        <v>330</v>
      </c>
      <c r="I2575" s="6">
        <v>317.03571427303262</v>
      </c>
      <c r="J2575" s="5">
        <v>2400</v>
      </c>
      <c r="K2575" s="6">
        <f t="shared" si="104"/>
        <v>1.0408921933501867</v>
      </c>
    </row>
    <row r="2576" spans="1:11" hidden="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H2576" s="5">
        <v>1350</v>
      </c>
      <c r="I2576" s="6">
        <v>951.10714281875391</v>
      </c>
      <c r="J2576" s="5">
        <v>7200</v>
      </c>
      <c r="K2576" s="6">
        <f t="shared" si="104"/>
        <v>1.4193984454780406</v>
      </c>
    </row>
    <row r="2577" spans="1:11" hidden="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H2577" s="5">
        <v>1320</v>
      </c>
      <c r="I2577" s="6">
        <v>898.26785710660101</v>
      </c>
      <c r="J2577" s="5">
        <v>6800</v>
      </c>
      <c r="K2577" s="6">
        <f t="shared" si="104"/>
        <v>1.4694948612007948</v>
      </c>
    </row>
    <row r="2578" spans="1:11" hidden="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H2578" s="5">
        <v>1700</v>
      </c>
      <c r="I2578" s="6">
        <v>1162.4642856673661</v>
      </c>
      <c r="J2578" s="5">
        <v>8800</v>
      </c>
      <c r="K2578" s="6">
        <f t="shared" si="104"/>
        <v>1.4624105195834354</v>
      </c>
    </row>
    <row r="2579" spans="1:11" hidden="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H2579" s="5">
        <v>1620</v>
      </c>
      <c r="I2579" s="6">
        <v>686.91071425798896</v>
      </c>
      <c r="J2579" s="5">
        <v>5200</v>
      </c>
      <c r="K2579" s="6">
        <f t="shared" si="104"/>
        <v>2.3583851094096673</v>
      </c>
    </row>
    <row r="2580" spans="1:11" hidden="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H2580" s="5">
        <v>1000</v>
      </c>
      <c r="I2580" s="6">
        <v>845.428571394752</v>
      </c>
      <c r="J2580" s="5">
        <v>6400</v>
      </c>
      <c r="K2580" s="6">
        <f t="shared" si="104"/>
        <v>1.1828320378979418</v>
      </c>
    </row>
    <row r="2581" spans="1:11" hidden="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H2581" s="5">
        <v>5500</v>
      </c>
      <c r="I2581" s="6">
        <v>3910.1071427007355</v>
      </c>
      <c r="J2581" s="5">
        <v>29600</v>
      </c>
      <c r="K2581" s="6">
        <f t="shared" si="104"/>
        <v>1.4066110720948468</v>
      </c>
    </row>
    <row r="2582" spans="1:11" hidden="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H2582" s="5">
        <v>4800</v>
      </c>
      <c r="I2582" s="6">
        <v>4015.7857141250793</v>
      </c>
      <c r="J2582" s="5">
        <v>30400</v>
      </c>
      <c r="K2582" s="6">
        <f t="shared" si="104"/>
        <v>1.1952829014547599</v>
      </c>
    </row>
    <row r="2583" spans="1:11" hidden="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H2583" s="5">
        <v>6270</v>
      </c>
      <c r="I2583" s="6">
        <v>2747.5751230427709</v>
      </c>
      <c r="J2583" s="5">
        <v>20800</v>
      </c>
      <c r="K2583" s="6">
        <f t="shared" si="104"/>
        <v>2.282012217761078</v>
      </c>
    </row>
    <row r="2584" spans="1:11" hidden="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H2584" s="5">
        <v>1700</v>
      </c>
      <c r="I2584" s="6">
        <v>1056.75862064738</v>
      </c>
      <c r="J2584" s="5">
        <v>9600</v>
      </c>
      <c r="K2584" s="6">
        <f t="shared" si="104"/>
        <v>1.6086928147873205</v>
      </c>
    </row>
    <row r="2585" spans="1:11" hidden="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H2585" s="5">
        <v>0</v>
      </c>
      <c r="I2585" s="6">
        <v>317.02758619421581</v>
      </c>
      <c r="J2585" s="5">
        <v>2640</v>
      </c>
      <c r="K2585" s="6">
        <f t="shared" si="104"/>
        <v>0</v>
      </c>
    </row>
    <row r="2586" spans="1:11" hidden="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H2586" s="5">
        <v>0</v>
      </c>
      <c r="I2586" s="6">
        <v>52.837931032368999</v>
      </c>
      <c r="J2586" s="5">
        <v>440</v>
      </c>
      <c r="K2586" s="6">
        <f t="shared" si="104"/>
        <v>0</v>
      </c>
    </row>
    <row r="2587" spans="1:11" hidden="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H2587" s="5">
        <v>11520</v>
      </c>
      <c r="I2587" s="6">
        <v>3592.9793102011122</v>
      </c>
      <c r="J2587" s="5">
        <v>27820</v>
      </c>
      <c r="K2587" s="6">
        <f t="shared" si="104"/>
        <v>3.2062528073269601</v>
      </c>
    </row>
    <row r="2588" spans="1:11" hidden="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H2588" s="5">
        <v>1470</v>
      </c>
      <c r="I2588" s="6">
        <v>1585.2222221588099</v>
      </c>
      <c r="J2588" s="5">
        <v>11490</v>
      </c>
      <c r="K2588" s="6">
        <f t="shared" si="104"/>
        <v>0.92731478240199261</v>
      </c>
    </row>
    <row r="2589" spans="1:11" hidden="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H2589" s="5">
        <v>4170</v>
      </c>
      <c r="I2589" s="6">
        <v>2219.311111022334</v>
      </c>
      <c r="J2589" s="5">
        <v>16800</v>
      </c>
      <c r="K2589" s="6">
        <f t="shared" si="104"/>
        <v>1.8789614395608887</v>
      </c>
    </row>
    <row r="2590" spans="1:11" hidden="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H2590" s="5">
        <v>3900</v>
      </c>
      <c r="I2590" s="6">
        <v>2959.0814813631118</v>
      </c>
      <c r="J2590" s="5">
        <v>22400</v>
      </c>
      <c r="K2590" s="6">
        <f t="shared" si="104"/>
        <v>1.3179765493322781</v>
      </c>
    </row>
    <row r="2591" spans="1:11" hidden="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H2591" s="5">
        <v>0</v>
      </c>
      <c r="I2591" s="6">
        <v>1796.5851851133182</v>
      </c>
      <c r="J2591" s="5">
        <v>0</v>
      </c>
      <c r="K2591" s="6">
        <f t="shared" si="104"/>
        <v>0</v>
      </c>
    </row>
    <row r="2592" spans="1:11" hidden="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H2592" s="5">
        <v>2260</v>
      </c>
      <c r="I2592" s="6">
        <v>1912.3542857142861</v>
      </c>
      <c r="J2592" s="5">
        <v>16320</v>
      </c>
      <c r="K2592" s="6">
        <f t="shared" si="104"/>
        <v>1.1817893875014192</v>
      </c>
    </row>
    <row r="2593" spans="1:11" hidden="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H2593" s="5">
        <v>4225</v>
      </c>
      <c r="I2593" s="6">
        <v>2812.2857142428579</v>
      </c>
      <c r="J2593" s="5">
        <v>20000</v>
      </c>
      <c r="K2593" s="6">
        <f t="shared" si="104"/>
        <v>1.5023366859926188</v>
      </c>
    </row>
    <row r="2594" spans="1:11" hidden="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H2594" s="5">
        <v>1175</v>
      </c>
      <c r="I2594" s="6">
        <v>1768.8376470588223</v>
      </c>
      <c r="J2594" s="5">
        <v>12800</v>
      </c>
      <c r="K2594" s="6">
        <f t="shared" si="104"/>
        <v>0.66427803702265142</v>
      </c>
    </row>
    <row r="2595" spans="1:11" hidden="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H2595" s="5">
        <v>4600</v>
      </c>
      <c r="I2595" s="6">
        <v>2263.7999998868127</v>
      </c>
      <c r="J2595" s="5">
        <v>17920</v>
      </c>
      <c r="K2595" s="6">
        <f t="shared" si="104"/>
        <v>2.0319816239199553</v>
      </c>
    </row>
    <row r="2596" spans="1:11" hidden="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H2596" s="5">
        <v>690</v>
      </c>
      <c r="I2596" s="6">
        <v>994.97117647058747</v>
      </c>
      <c r="J2596" s="5">
        <v>7200</v>
      </c>
      <c r="K2596" s="6">
        <f t="shared" si="104"/>
        <v>0.69348742588464041</v>
      </c>
    </row>
    <row r="2597" spans="1:11" hidden="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H2597" s="5">
        <v>1530</v>
      </c>
      <c r="I2597" s="6">
        <v>994.97117647058747</v>
      </c>
      <c r="J2597" s="5">
        <v>7920</v>
      </c>
      <c r="K2597" s="6">
        <f t="shared" si="104"/>
        <v>1.5377329878311592</v>
      </c>
    </row>
    <row r="2598" spans="1:11" hidden="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H2598" s="5">
        <v>2850</v>
      </c>
      <c r="I2598" s="6">
        <v>2263.7999998868127</v>
      </c>
      <c r="J2598" s="5">
        <v>17920</v>
      </c>
      <c r="K2598" s="6">
        <f t="shared" si="104"/>
        <v>1.2589451365591027</v>
      </c>
    </row>
    <row r="2599" spans="1:11" hidden="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H2599" s="5">
        <v>6240</v>
      </c>
      <c r="I2599" s="6">
        <v>6727.0499997982479</v>
      </c>
      <c r="J2599" s="5">
        <v>49210</v>
      </c>
      <c r="K2599" s="6">
        <f t="shared" si="104"/>
        <v>0.92759827861947586</v>
      </c>
    </row>
    <row r="2600" spans="1:11" hidden="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H2600" s="5">
        <v>1350</v>
      </c>
      <c r="I2600" s="6">
        <v>994.95</v>
      </c>
      <c r="J2600" s="5">
        <v>7200</v>
      </c>
      <c r="K2600" s="6">
        <f t="shared" si="104"/>
        <v>1.3568521031207599</v>
      </c>
    </row>
    <row r="2601" spans="1:11" hidden="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H2601" s="5">
        <v>1000</v>
      </c>
      <c r="I2601" s="6">
        <v>831.6</v>
      </c>
      <c r="J2601" s="5">
        <v>6300</v>
      </c>
      <c r="K2601" s="6">
        <f t="shared" si="104"/>
        <v>1.2025012025012025</v>
      </c>
    </row>
    <row r="2602" spans="1:11" hidden="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H2602" s="5">
        <v>3225</v>
      </c>
      <c r="I2602" s="6">
        <v>1267.2</v>
      </c>
      <c r="J2602" s="5">
        <v>9600</v>
      </c>
      <c r="K2602" s="6">
        <f t="shared" si="104"/>
        <v>2.5449810606060606</v>
      </c>
    </row>
    <row r="2603" spans="1:11" hidden="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H2603" s="5">
        <v>270</v>
      </c>
      <c r="I2603" s="6">
        <v>316.8</v>
      </c>
      <c r="J2603" s="5">
        <v>2400</v>
      </c>
      <c r="K2603" s="6">
        <f t="shared" si="104"/>
        <v>0.85227272727272729</v>
      </c>
    </row>
    <row r="2604" spans="1:11" hidden="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H2604" s="5">
        <v>10950</v>
      </c>
      <c r="I2604" s="6">
        <v>3603.6</v>
      </c>
      <c r="J2604" s="5">
        <v>27296</v>
      </c>
      <c r="K2604" s="6">
        <f t="shared" si="104"/>
        <v>3.0386280386280387</v>
      </c>
    </row>
    <row r="2605" spans="1:11" hidden="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H2605" s="5">
        <v>5375</v>
      </c>
      <c r="I2605" s="6">
        <v>3682.8</v>
      </c>
      <c r="J2605" s="5">
        <v>27900</v>
      </c>
      <c r="K2605" s="6">
        <f t="shared" si="104"/>
        <v>1.4594873465841207</v>
      </c>
    </row>
    <row r="2606" spans="1:11" hidden="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H2606" s="5">
        <v>2325</v>
      </c>
      <c r="I2606" s="6">
        <v>2376</v>
      </c>
      <c r="J2606" s="5">
        <v>18000</v>
      </c>
      <c r="K2606" s="6">
        <f t="shared" si="104"/>
        <v>0.97853535353535348</v>
      </c>
    </row>
    <row r="2607" spans="1:11" hidden="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H2607" s="5">
        <v>1020</v>
      </c>
      <c r="I2607" s="6">
        <v>950.4</v>
      </c>
      <c r="J2607" s="5">
        <v>7200</v>
      </c>
      <c r="K2607" s="6">
        <f t="shared" si="104"/>
        <v>1.0732323232323233</v>
      </c>
    </row>
    <row r="2608" spans="1:11" hidden="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H2608" s="5">
        <v>1575</v>
      </c>
      <c r="I2608" s="6">
        <v>1346.4</v>
      </c>
      <c r="J2608" s="5">
        <v>10200</v>
      </c>
      <c r="K2608" s="6">
        <f t="shared" si="104"/>
        <v>1.1697860962566844</v>
      </c>
    </row>
    <row r="2609" spans="1:11" hidden="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H2609" s="5">
        <v>3360</v>
      </c>
      <c r="I2609" s="6">
        <v>2851.2</v>
      </c>
      <c r="J2609" s="5">
        <v>21600</v>
      </c>
      <c r="K2609" s="6">
        <f t="shared" si="104"/>
        <v>1.1784511784511784</v>
      </c>
    </row>
    <row r="2610" spans="1:11" hidden="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H2610" s="5">
        <v>2760</v>
      </c>
      <c r="I2610" s="6">
        <v>2138.4</v>
      </c>
      <c r="J2610" s="5">
        <v>16200</v>
      </c>
      <c r="K2610" s="6">
        <f t="shared" si="104"/>
        <v>1.2906846240179572</v>
      </c>
    </row>
    <row r="2611" spans="1:11" hidden="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H2611" s="5">
        <v>2975</v>
      </c>
      <c r="I2611" s="6">
        <v>963.6</v>
      </c>
      <c r="J2611" s="5">
        <v>7570</v>
      </c>
      <c r="K2611" s="6">
        <f t="shared" si="104"/>
        <v>3.0873806558738064</v>
      </c>
    </row>
    <row r="2612" spans="1:11" hidden="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H2612" s="5">
        <v>6075</v>
      </c>
      <c r="I2612" s="6">
        <v>3168</v>
      </c>
      <c r="J2612" s="5">
        <v>24000</v>
      </c>
      <c r="K2612" s="6">
        <f t="shared" si="104"/>
        <v>1.9176136363636365</v>
      </c>
    </row>
    <row r="2613" spans="1:11" hidden="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H2613" s="5">
        <v>2280</v>
      </c>
      <c r="I2613" s="6">
        <v>1188</v>
      </c>
      <c r="J2613" s="5">
        <v>9000</v>
      </c>
      <c r="K2613" s="6">
        <f t="shared" si="104"/>
        <v>1.9191919191919191</v>
      </c>
    </row>
    <row r="2614" spans="1:11" hidden="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H2614" s="5">
        <v>5025</v>
      </c>
      <c r="I2614" s="6">
        <v>2732.4</v>
      </c>
      <c r="J2614" s="5">
        <v>20700</v>
      </c>
      <c r="K2614" s="6">
        <f t="shared" si="104"/>
        <v>1.8390425999121651</v>
      </c>
    </row>
    <row r="2615" spans="1:11" hidden="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H2615" s="5">
        <v>1380</v>
      </c>
      <c r="I2615" s="6">
        <v>673.2</v>
      </c>
      <c r="J2615" s="5">
        <v>5100</v>
      </c>
      <c r="K2615" s="6">
        <f t="shared" si="104"/>
        <v>2.0499108734402851</v>
      </c>
    </row>
    <row r="2616" spans="1:11" hidden="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H2616" s="5">
        <v>1640</v>
      </c>
      <c r="I2616" s="6">
        <v>1100.4749999999999</v>
      </c>
      <c r="J2616" s="5">
        <v>8000</v>
      </c>
      <c r="K2616" s="6">
        <f t="shared" si="104"/>
        <v>1.4902655671414617</v>
      </c>
    </row>
    <row r="2617" spans="1:11" hidden="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H2617" s="5">
        <v>1975</v>
      </c>
      <c r="I2617" s="6">
        <v>1287</v>
      </c>
      <c r="J2617" s="5">
        <v>9400</v>
      </c>
      <c r="K2617" s="6">
        <f t="shared" si="104"/>
        <v>1.5345765345765345</v>
      </c>
    </row>
    <row r="2618" spans="1:11" hidden="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H2618" s="5">
        <v>5250</v>
      </c>
      <c r="I2618" s="6">
        <v>2641.14</v>
      </c>
      <c r="J2618" s="5">
        <v>19200</v>
      </c>
      <c r="K2618" s="6">
        <f t="shared" ref="K2618:K2666" si="107">+H2618/I2618</f>
        <v>1.987778004952407</v>
      </c>
    </row>
    <row r="2619" spans="1:11" hidden="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H2619" s="5">
        <v>2000</v>
      </c>
      <c r="I2619" s="6">
        <v>2641.14</v>
      </c>
      <c r="J2619" s="5">
        <v>19200</v>
      </c>
      <c r="K2619" s="6">
        <f t="shared" si="107"/>
        <v>0.75724876379139316</v>
      </c>
    </row>
    <row r="2620" spans="1:11" hidden="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H2620" s="5">
        <v>2880</v>
      </c>
      <c r="I2620" s="6">
        <v>1430.6174906250001</v>
      </c>
      <c r="J2620" s="5">
        <v>10400</v>
      </c>
      <c r="K2620" s="6">
        <f t="shared" si="107"/>
        <v>2.013116726779149</v>
      </c>
    </row>
    <row r="2621" spans="1:11" hidden="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H2621" s="5">
        <v>1920</v>
      </c>
      <c r="I2621" s="6">
        <v>1430.6175000000001</v>
      </c>
      <c r="J2621" s="5">
        <v>10400</v>
      </c>
      <c r="K2621" s="6">
        <f t="shared" si="107"/>
        <v>1.3420778090579766</v>
      </c>
    </row>
    <row r="2622" spans="1:11" hidden="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H2622" s="5">
        <v>4590</v>
      </c>
      <c r="I2622" s="6">
        <v>2861.2350000000001</v>
      </c>
      <c r="J2622" s="5">
        <v>20800</v>
      </c>
      <c r="K2622" s="6">
        <f t="shared" si="107"/>
        <v>1.6042023811396127</v>
      </c>
    </row>
    <row r="2623" spans="1:11" hidden="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H2623" s="5">
        <v>4450</v>
      </c>
      <c r="I2623" s="6">
        <v>3071.9505625000002</v>
      </c>
      <c r="J2623" s="5">
        <v>22400</v>
      </c>
      <c r="K2623" s="6">
        <f t="shared" si="107"/>
        <v>1.4485910204162016</v>
      </c>
    </row>
    <row r="2624" spans="1:11" hidden="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H2624" s="5">
        <v>3180</v>
      </c>
      <c r="I2624" s="6">
        <v>1097.125</v>
      </c>
      <c r="J2624" s="5">
        <v>8000</v>
      </c>
      <c r="K2624" s="6">
        <f t="shared" si="107"/>
        <v>2.8984846758573544</v>
      </c>
    </row>
    <row r="2625" spans="1:11" hidden="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H2625" s="5">
        <v>3700</v>
      </c>
      <c r="I2625" s="6">
        <v>2852.5250000000001</v>
      </c>
      <c r="J2625" s="5">
        <v>20800</v>
      </c>
      <c r="K2625" s="6">
        <f t="shared" si="107"/>
        <v>1.2970964321083951</v>
      </c>
    </row>
    <row r="2626" spans="1:11" hidden="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H2626" s="5">
        <v>2400</v>
      </c>
      <c r="I2626" s="6">
        <v>2633.1</v>
      </c>
      <c r="J2626" s="5">
        <v>19200</v>
      </c>
      <c r="K2626" s="6">
        <f t="shared" si="107"/>
        <v>0.91147316850860205</v>
      </c>
    </row>
    <row r="2627" spans="1:11" hidden="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H2627" s="5">
        <v>3270</v>
      </c>
      <c r="I2627" s="6">
        <v>2633.1</v>
      </c>
      <c r="J2627" s="5">
        <v>19200</v>
      </c>
      <c r="K2627" s="6">
        <f t="shared" si="107"/>
        <v>1.2418821920929703</v>
      </c>
    </row>
    <row r="2628" spans="1:11" hidden="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H2628" s="5">
        <v>3540</v>
      </c>
      <c r="I2628" s="6">
        <v>2852.5250000000001</v>
      </c>
      <c r="J2628" s="5">
        <v>20800</v>
      </c>
      <c r="K2628" s="6">
        <f t="shared" si="107"/>
        <v>1.241005775584789</v>
      </c>
    </row>
    <row r="2629" spans="1:11" hidden="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H2629" s="5">
        <v>3480</v>
      </c>
      <c r="I2629" s="6">
        <v>2852.5250000000001</v>
      </c>
      <c r="J2629" s="5">
        <v>20800</v>
      </c>
      <c r="K2629" s="6">
        <f t="shared" si="107"/>
        <v>1.2199717793884366</v>
      </c>
    </row>
    <row r="2630" spans="1:11" hidden="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H2630" s="5">
        <v>3025</v>
      </c>
      <c r="I2630" s="6">
        <v>3071.95</v>
      </c>
      <c r="J2630" s="5">
        <v>22400</v>
      </c>
      <c r="K2630" s="6">
        <f t="shared" si="107"/>
        <v>0.98471654812090048</v>
      </c>
    </row>
    <row r="2631" spans="1:11" hidden="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H2631" s="5">
        <v>2725</v>
      </c>
      <c r="I2631" s="6">
        <v>1645.6875</v>
      </c>
      <c r="J2631" s="5">
        <v>12000</v>
      </c>
      <c r="K2631" s="6">
        <f t="shared" si="107"/>
        <v>1.6558429227906271</v>
      </c>
    </row>
    <row r="2632" spans="1:11" hidden="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H2632" s="5">
        <v>7860</v>
      </c>
      <c r="I2632" s="6">
        <v>4121.4642855494085</v>
      </c>
      <c r="J2632" s="5">
        <v>31200</v>
      </c>
      <c r="K2632" s="6">
        <f t="shared" si="107"/>
        <v>1.9070891934108387</v>
      </c>
    </row>
    <row r="2633" spans="1:11" hidden="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H2633" s="5">
        <v>1350</v>
      </c>
      <c r="I2633" s="6">
        <v>1056.7857142434418</v>
      </c>
      <c r="J2633" s="5">
        <v>8000</v>
      </c>
      <c r="K2633" s="6">
        <f t="shared" si="107"/>
        <v>1.2774586009297748</v>
      </c>
    </row>
    <row r="2634" spans="1:11" hidden="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H2634" s="5">
        <v>5970</v>
      </c>
      <c r="I2634" s="6">
        <v>2641.9642856076484</v>
      </c>
      <c r="J2634" s="5">
        <v>19996</v>
      </c>
      <c r="K2634" s="6">
        <f t="shared" si="107"/>
        <v>2.2596823252010418</v>
      </c>
    </row>
    <row r="2635" spans="1:11" hidden="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H2635" s="5">
        <v>1200</v>
      </c>
      <c r="I2635" s="6">
        <v>528.39285712153003</v>
      </c>
      <c r="J2635" s="5">
        <v>4000</v>
      </c>
      <c r="K2635" s="6">
        <f t="shared" si="107"/>
        <v>2.2710375127648645</v>
      </c>
    </row>
    <row r="2636" spans="1:11" hidden="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H2636" s="5">
        <v>4260</v>
      </c>
      <c r="I2636" s="6">
        <v>1902.2142856375078</v>
      </c>
      <c r="J2636" s="5">
        <v>14400</v>
      </c>
      <c r="K2636" s="6">
        <f t="shared" si="107"/>
        <v>2.2394953250875749</v>
      </c>
    </row>
    <row r="2637" spans="1:11" hidden="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H2637" s="5">
        <v>400</v>
      </c>
      <c r="I2637" s="6">
        <v>634.05652706821195</v>
      </c>
      <c r="J2637" s="5">
        <v>4800</v>
      </c>
      <c r="K2637" s="6">
        <f t="shared" si="107"/>
        <v>0.63085857951741886</v>
      </c>
    </row>
    <row r="2638" spans="1:11" hidden="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H2638" s="5">
        <v>8140</v>
      </c>
      <c r="I2638" s="6">
        <v>4487.9999999102474</v>
      </c>
      <c r="J2638" s="5">
        <v>31740</v>
      </c>
      <c r="K2638" s="6">
        <f t="shared" si="107"/>
        <v>1.8137254902323499</v>
      </c>
    </row>
    <row r="2639" spans="1:11" hidden="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H2639" s="5">
        <v>4375</v>
      </c>
      <c r="I2639" s="6">
        <v>1702.8</v>
      </c>
      <c r="J2639" s="5">
        <v>12900</v>
      </c>
      <c r="K2639" s="6">
        <f t="shared" si="107"/>
        <v>2.5692976274371624</v>
      </c>
    </row>
    <row r="2640" spans="1:11" hidden="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H2640" s="5">
        <v>3400</v>
      </c>
      <c r="I2640" s="6">
        <v>3009.6</v>
      </c>
      <c r="J2640" s="5">
        <v>22800</v>
      </c>
      <c r="K2640" s="6">
        <f t="shared" si="107"/>
        <v>1.129718234981393</v>
      </c>
    </row>
    <row r="2641" spans="1:11" hidden="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H2641" s="5">
        <v>3030</v>
      </c>
      <c r="I2641" s="6">
        <v>1386</v>
      </c>
      <c r="J2641" s="5">
        <v>10500</v>
      </c>
      <c r="K2641" s="6">
        <f t="shared" si="107"/>
        <v>2.1861471861471862</v>
      </c>
    </row>
    <row r="2642" spans="1:11" hidden="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H2642" s="5">
        <v>3090</v>
      </c>
      <c r="I2642" s="6">
        <v>1386</v>
      </c>
      <c r="J2642" s="5">
        <v>10500</v>
      </c>
      <c r="K2642" s="6">
        <f t="shared" si="107"/>
        <v>2.2294372294372296</v>
      </c>
    </row>
    <row r="2643" spans="1:11" hidden="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H2643" s="5">
        <v>1175</v>
      </c>
      <c r="I2643" s="6">
        <v>1029.5999999999999</v>
      </c>
      <c r="J2643" s="5">
        <v>7800</v>
      </c>
      <c r="K2643" s="6">
        <f t="shared" si="107"/>
        <v>1.1412198912198914</v>
      </c>
    </row>
    <row r="2644" spans="1:11" hidden="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H2644" s="5">
        <v>2400</v>
      </c>
      <c r="I2644" s="6">
        <v>2653.2</v>
      </c>
      <c r="J2644" s="5">
        <v>20100</v>
      </c>
      <c r="K2644" s="6">
        <f t="shared" si="107"/>
        <v>0.90456806874717333</v>
      </c>
    </row>
    <row r="2645" spans="1:11" hidden="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H2645" s="5">
        <v>2880</v>
      </c>
      <c r="I2645" s="6">
        <v>1768.8</v>
      </c>
      <c r="J2645" s="5">
        <v>13400</v>
      </c>
      <c r="K2645" s="6">
        <f t="shared" si="107"/>
        <v>1.6282225237449119</v>
      </c>
    </row>
    <row r="2646" spans="1:11" hidden="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H2646" s="5">
        <v>1035</v>
      </c>
      <c r="I2646" s="6">
        <v>1029.5999999999999</v>
      </c>
      <c r="J2646" s="5">
        <v>7800</v>
      </c>
      <c r="K2646" s="6">
        <f t="shared" si="107"/>
        <v>1.0052447552447554</v>
      </c>
    </row>
    <row r="2647" spans="1:11" hidden="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H2647" s="5">
        <v>2150</v>
      </c>
      <c r="I2647" s="6">
        <v>1346.4</v>
      </c>
      <c r="J2647" s="5">
        <v>10200</v>
      </c>
      <c r="K2647" s="6">
        <f t="shared" si="107"/>
        <v>1.5968508615567438</v>
      </c>
    </row>
    <row r="2648" spans="1:11" hidden="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H2648" s="5">
        <v>1260</v>
      </c>
      <c r="I2648" s="6">
        <v>440.18999062500001</v>
      </c>
      <c r="J2648" s="5">
        <v>3200</v>
      </c>
      <c r="K2648" s="6">
        <f t="shared" si="107"/>
        <v>2.8624003880937861</v>
      </c>
    </row>
    <row r="2649" spans="1:11" hidden="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H2649" s="5">
        <v>1350</v>
      </c>
      <c r="I2649" s="6">
        <v>880.38</v>
      </c>
      <c r="J2649" s="5">
        <v>6400</v>
      </c>
      <c r="K2649" s="6">
        <f t="shared" si="107"/>
        <v>1.5334287466775711</v>
      </c>
    </row>
    <row r="2650" spans="1:11" hidden="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H2650" s="5">
        <v>525</v>
      </c>
      <c r="I2650" s="6">
        <v>330.14249999999998</v>
      </c>
      <c r="J2650" s="5">
        <v>2400</v>
      </c>
      <c r="K2650" s="6">
        <f t="shared" si="107"/>
        <v>1.5902224039619257</v>
      </c>
    </row>
    <row r="2651" spans="1:11" hidden="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H2651" s="5">
        <v>4225</v>
      </c>
      <c r="I2651" s="6">
        <v>1650.7125000000001</v>
      </c>
      <c r="J2651" s="5">
        <v>12000</v>
      </c>
      <c r="K2651" s="6">
        <f t="shared" si="107"/>
        <v>2.5595008216149084</v>
      </c>
    </row>
    <row r="2652" spans="1:11" hidden="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H2652" s="5">
        <v>4020</v>
      </c>
      <c r="I2652" s="6">
        <v>1287.0000000000018</v>
      </c>
      <c r="J2652" s="5">
        <v>9400</v>
      </c>
      <c r="K2652" s="6">
        <f t="shared" si="107"/>
        <v>3.123543123543119</v>
      </c>
    </row>
    <row r="2653" spans="1:11" hidden="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H2653" s="5">
        <v>4850</v>
      </c>
      <c r="I2653" s="6">
        <v>2641.14</v>
      </c>
      <c r="J2653" s="5">
        <v>19200</v>
      </c>
      <c r="K2653" s="6">
        <f t="shared" si="107"/>
        <v>1.8363282521941284</v>
      </c>
    </row>
    <row r="2654" spans="1:11" hidden="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H2654" s="5">
        <v>2430</v>
      </c>
      <c r="I2654" s="6">
        <v>880.38</v>
      </c>
      <c r="J2654" s="5">
        <v>6400</v>
      </c>
      <c r="K2654" s="6">
        <f t="shared" si="107"/>
        <v>2.7601717440196278</v>
      </c>
    </row>
    <row r="2655" spans="1:11" hidden="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H2655" s="5">
        <v>1900</v>
      </c>
      <c r="I2655" s="6">
        <v>880.38</v>
      </c>
      <c r="J2655" s="5">
        <v>6400</v>
      </c>
      <c r="K2655" s="6">
        <f t="shared" si="107"/>
        <v>2.1581589768054705</v>
      </c>
    </row>
    <row r="2656" spans="1:11" hidden="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H2656" s="5">
        <v>700</v>
      </c>
      <c r="I2656" s="6">
        <v>1755.4</v>
      </c>
      <c r="J2656" s="5">
        <v>12800</v>
      </c>
      <c r="K2656" s="6">
        <f t="shared" si="107"/>
        <v>0.39876951122251336</v>
      </c>
    </row>
    <row r="2657" spans="1:11" hidden="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H2657" s="5">
        <v>4460</v>
      </c>
      <c r="I2657" s="6">
        <v>2413.6749943750001</v>
      </c>
      <c r="J2657" s="5">
        <v>17600</v>
      </c>
      <c r="K2657" s="6">
        <f t="shared" si="107"/>
        <v>1.8478047004646032</v>
      </c>
    </row>
    <row r="2658" spans="1:11" hidden="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H2658" s="5">
        <v>880</v>
      </c>
      <c r="I2658" s="6">
        <v>1645.6875</v>
      </c>
      <c r="J2658" s="5">
        <v>12000</v>
      </c>
      <c r="K2658" s="6">
        <f t="shared" si="107"/>
        <v>0.53473092552504653</v>
      </c>
    </row>
    <row r="2659" spans="1:11" hidden="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H2659" s="5">
        <v>1000</v>
      </c>
      <c r="I2659" s="6">
        <v>726.32013058333712</v>
      </c>
      <c r="J2659" s="5">
        <v>5712</v>
      </c>
      <c r="K2659" s="6">
        <f t="shared" si="107"/>
        <v>1.376803365200493</v>
      </c>
    </row>
    <row r="2660" spans="1:11" hidden="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H2660" s="5">
        <v>2040</v>
      </c>
      <c r="I2660" s="6">
        <v>924.39958333667107</v>
      </c>
      <c r="J2660" s="5">
        <v>6720</v>
      </c>
      <c r="K2660" s="6">
        <f t="shared" si="107"/>
        <v>2.206837861865437</v>
      </c>
    </row>
    <row r="2661" spans="1:11" hidden="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H2661" s="5">
        <v>320</v>
      </c>
      <c r="I2661" s="6">
        <v>1122.485208333339</v>
      </c>
      <c r="J2661" s="5">
        <v>8160</v>
      </c>
      <c r="K2661" s="6">
        <f t="shared" si="107"/>
        <v>0.28508170764685137</v>
      </c>
    </row>
    <row r="2662" spans="1:11" hidden="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H2662" s="5">
        <v>420</v>
      </c>
      <c r="I2662" s="6">
        <v>396.17125000000198</v>
      </c>
      <c r="J2662" s="5">
        <v>2880</v>
      </c>
      <c r="K2662" s="6">
        <f t="shared" si="107"/>
        <v>1.0601476003117285</v>
      </c>
    </row>
    <row r="2663" spans="1:11" hidden="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H2663" s="5">
        <v>2760</v>
      </c>
      <c r="I2663" s="6">
        <v>1535.9749999999999</v>
      </c>
      <c r="J2663" s="5">
        <v>11200</v>
      </c>
      <c r="K2663" s="6">
        <f t="shared" si="107"/>
        <v>1.7969042464883869</v>
      </c>
    </row>
    <row r="2664" spans="1:11" hidden="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H2664" s="5">
        <v>1740</v>
      </c>
      <c r="I2664" s="6">
        <v>1535.9749999999999</v>
      </c>
      <c r="J2664" s="5">
        <v>11200</v>
      </c>
      <c r="K2664" s="6">
        <f t="shared" si="107"/>
        <v>1.1328309380035484</v>
      </c>
    </row>
    <row r="2665" spans="1:11" hidden="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H2665" s="5">
        <v>1230</v>
      </c>
      <c r="I2665" s="6">
        <v>594.25687500000299</v>
      </c>
      <c r="J2665" s="5">
        <v>4320</v>
      </c>
      <c r="K2665" s="6">
        <f t="shared" si="107"/>
        <v>2.0698119815609939</v>
      </c>
    </row>
    <row r="2666" spans="1:11" hidden="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H2666" s="5">
        <v>4720</v>
      </c>
      <c r="I2666" s="6">
        <v>2575.1131250013459</v>
      </c>
      <c r="J2666" s="5">
        <v>18720</v>
      </c>
      <c r="K2666" s="6">
        <f t="shared" si="107"/>
        <v>1.8329291844207944</v>
      </c>
    </row>
    <row r="2667" spans="1:11" hidden="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H2667" s="5">
        <v>960</v>
      </c>
      <c r="I2667" s="6">
        <v>528.37931032368999</v>
      </c>
      <c r="J2667" s="5">
        <v>4000</v>
      </c>
      <c r="K2667" s="6">
        <f t="shared" ref="K2667:K2673" si="109">IFERROR(H2667/I2667,"")</f>
        <v>1.8168765908186209</v>
      </c>
    </row>
    <row r="2668" spans="1:11" hidden="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H2668" s="5">
        <v>3775</v>
      </c>
      <c r="I2668" s="6">
        <v>2272.0310343918732</v>
      </c>
      <c r="J2668" s="5">
        <v>17200</v>
      </c>
      <c r="K2668" s="6">
        <f t="shared" si="109"/>
        <v>1.6615089947529735</v>
      </c>
    </row>
    <row r="2669" spans="1:11" hidden="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H2669" s="5">
        <v>1900</v>
      </c>
      <c r="I2669" s="6">
        <v>1162.4344827121224</v>
      </c>
      <c r="J2669" s="5">
        <v>8800</v>
      </c>
      <c r="K2669" s="6">
        <f t="shared" si="109"/>
        <v>1.6345007209068969</v>
      </c>
    </row>
    <row r="2670" spans="1:11" hidden="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H2670" s="5">
        <v>700</v>
      </c>
      <c r="I2670" s="6">
        <v>1162.4344827121181</v>
      </c>
      <c r="J2670" s="5">
        <v>8800</v>
      </c>
      <c r="K2670" s="6">
        <f t="shared" si="109"/>
        <v>0.60218447612359582</v>
      </c>
    </row>
    <row r="2671" spans="1:11" hidden="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H2671" s="5">
        <v>840</v>
      </c>
      <c r="I2671" s="6">
        <v>1056.7586206473827</v>
      </c>
      <c r="J2671" s="5">
        <v>8000</v>
      </c>
      <c r="K2671" s="6">
        <f t="shared" si="109"/>
        <v>0.7948835084831446</v>
      </c>
    </row>
    <row r="2672" spans="1:11" hidden="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H2672" s="5">
        <v>1130</v>
      </c>
      <c r="I2672" s="6">
        <v>1109.596551679753</v>
      </c>
      <c r="J2672" s="5">
        <v>8400</v>
      </c>
      <c r="K2672" s="6">
        <f t="shared" si="109"/>
        <v>1.0183881684647986</v>
      </c>
    </row>
    <row r="2673" spans="1:11" hidden="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H2673" s="5">
        <v>3825</v>
      </c>
      <c r="I2673" s="6">
        <v>1902.1655171652881</v>
      </c>
      <c r="J2673" s="5">
        <v>14400</v>
      </c>
      <c r="K2673" s="6">
        <f t="shared" si="109"/>
        <v>2.0108660184841463</v>
      </c>
    </row>
    <row r="2674" spans="1:11" hidden="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H2674" s="5">
        <v>975</v>
      </c>
      <c r="I2674" s="6">
        <v>951.10714281909407</v>
      </c>
      <c r="J2674" s="5">
        <v>7200</v>
      </c>
      <c r="K2674" s="6">
        <f t="shared" ref="K2674:K2736" si="110">+H2674/I2674</f>
        <v>1.0251210995115516</v>
      </c>
    </row>
    <row r="2675" spans="1:11" hidden="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H2675" s="5">
        <v>6120</v>
      </c>
      <c r="I2675" s="6">
        <v>3804.4285712763772</v>
      </c>
      <c r="J2675" s="5">
        <v>28800</v>
      </c>
      <c r="K2675" s="6">
        <f t="shared" si="110"/>
        <v>1.6086515715412035</v>
      </c>
    </row>
    <row r="2676" spans="1:11" hidden="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H2676" s="5">
        <v>3480</v>
      </c>
      <c r="I2676" s="6">
        <v>2641.8965516184649</v>
      </c>
      <c r="J2676" s="5">
        <v>20000</v>
      </c>
      <c r="K2676" s="6">
        <f t="shared" si="110"/>
        <v>1.3172355283434927</v>
      </c>
    </row>
    <row r="2677" spans="1:11" hidden="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H2677" s="5">
        <v>6960</v>
      </c>
      <c r="I2677" s="6">
        <v>3592.9793102010913</v>
      </c>
      <c r="J2677" s="5">
        <v>26044</v>
      </c>
      <c r="K2677" s="6">
        <f t="shared" si="110"/>
        <v>1.937111071093383</v>
      </c>
    </row>
    <row r="2678" spans="1:11" hidden="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H2678" s="5">
        <v>2325</v>
      </c>
      <c r="I2678" s="6">
        <v>1268.1103447768633</v>
      </c>
      <c r="J2678" s="5">
        <v>9600</v>
      </c>
      <c r="K2678" s="6">
        <f t="shared" si="110"/>
        <v>1.8334366639120092</v>
      </c>
    </row>
    <row r="2679" spans="1:11" hidden="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H2679" s="5">
        <v>525</v>
      </c>
      <c r="I2679" s="6">
        <v>528.37931032368999</v>
      </c>
      <c r="J2679" s="5">
        <v>4000</v>
      </c>
      <c r="K2679" s="6">
        <f t="shared" si="110"/>
        <v>0.99360438560393327</v>
      </c>
    </row>
    <row r="2680" spans="1:11" hidden="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H2680" s="5">
        <v>1440</v>
      </c>
      <c r="I2680" s="6">
        <v>1162.4344827121247</v>
      </c>
      <c r="J2680" s="5">
        <v>8800</v>
      </c>
      <c r="K2680" s="6">
        <f t="shared" si="110"/>
        <v>1.2387794937399617</v>
      </c>
    </row>
    <row r="2681" spans="1:11" hidden="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H2681" s="5">
        <v>720</v>
      </c>
      <c r="I2681" s="6">
        <v>528.3915024419166</v>
      </c>
      <c r="J2681" s="5">
        <v>4000</v>
      </c>
      <c r="K2681" s="6">
        <f t="shared" si="110"/>
        <v>1.3626260011233733</v>
      </c>
    </row>
    <row r="2682" spans="1:11" hidden="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H2682" s="5">
        <v>7410</v>
      </c>
      <c r="I2682" s="6">
        <v>3910.1071427007282</v>
      </c>
      <c r="J2682" s="5">
        <v>29260</v>
      </c>
      <c r="K2682" s="6">
        <f t="shared" si="110"/>
        <v>1.8950887353132426</v>
      </c>
    </row>
    <row r="2683" spans="1:11" hidden="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H2683" s="5">
        <v>2440</v>
      </c>
      <c r="I2683" s="6">
        <v>1902.2142856381945</v>
      </c>
      <c r="J2683" s="5">
        <v>14400</v>
      </c>
      <c r="K2683" s="6">
        <f t="shared" si="110"/>
        <v>1.2827156322093218</v>
      </c>
    </row>
    <row r="2684" spans="1:11" hidden="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H2684" s="5">
        <v>2490</v>
      </c>
      <c r="I2684" s="6">
        <v>1162.4642856677858</v>
      </c>
      <c r="J2684" s="5">
        <v>8800</v>
      </c>
      <c r="K2684" s="6">
        <f t="shared" si="110"/>
        <v>2.1420012904479058</v>
      </c>
    </row>
    <row r="2685" spans="1:11" hidden="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H2685" s="5">
        <v>300</v>
      </c>
      <c r="I2685" s="6">
        <v>317.03571427303262</v>
      </c>
      <c r="J2685" s="5">
        <v>2400</v>
      </c>
      <c r="K2685" s="6">
        <f t="shared" si="110"/>
        <v>0.94626563031835154</v>
      </c>
    </row>
    <row r="2686" spans="1:11" hidden="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H2686" s="5">
        <v>1500</v>
      </c>
      <c r="I2686" s="6">
        <v>951.10714281875391</v>
      </c>
      <c r="J2686" s="5">
        <v>7200</v>
      </c>
      <c r="K2686" s="6">
        <f t="shared" si="110"/>
        <v>1.5771093838644894</v>
      </c>
    </row>
    <row r="2687" spans="1:11" hidden="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H2687" s="5">
        <v>1260</v>
      </c>
      <c r="I2687" s="6">
        <v>898.26785710660101</v>
      </c>
      <c r="J2687" s="5">
        <v>6800</v>
      </c>
      <c r="K2687" s="6">
        <f t="shared" si="110"/>
        <v>1.4026996402371223</v>
      </c>
    </row>
    <row r="2688" spans="1:11" hidden="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H2688" s="5">
        <v>2075</v>
      </c>
      <c r="I2688" s="6">
        <v>1162.4642856673661</v>
      </c>
      <c r="J2688" s="5">
        <v>8800</v>
      </c>
      <c r="K2688" s="6">
        <f t="shared" si="110"/>
        <v>1.7850010753738992</v>
      </c>
    </row>
    <row r="2689" spans="1:11" hidden="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H2689" s="5">
        <v>1410</v>
      </c>
      <c r="I2689" s="6">
        <v>686.91071425798896</v>
      </c>
      <c r="J2689" s="5">
        <v>5200</v>
      </c>
      <c r="K2689" s="6">
        <f t="shared" si="110"/>
        <v>2.0526685211528584</v>
      </c>
    </row>
    <row r="2690" spans="1:11" hidden="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H2690" s="5">
        <v>975</v>
      </c>
      <c r="I2690" s="6">
        <v>845.428571394752</v>
      </c>
      <c r="J2690" s="5">
        <v>6400</v>
      </c>
      <c r="K2690" s="6">
        <f t="shared" si="110"/>
        <v>1.1532612369504931</v>
      </c>
    </row>
    <row r="2691" spans="1:11" hidden="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H2691" s="5">
        <v>4875</v>
      </c>
      <c r="I2691" s="6">
        <v>3910.1071427007355</v>
      </c>
      <c r="J2691" s="5">
        <v>29600</v>
      </c>
      <c r="K2691" s="6">
        <f t="shared" si="110"/>
        <v>1.2467689048113415</v>
      </c>
    </row>
    <row r="2692" spans="1:11" hidden="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H2692" s="5">
        <v>5625</v>
      </c>
      <c r="I2692" s="6">
        <v>4015.7857141250793</v>
      </c>
      <c r="J2692" s="5">
        <v>30400</v>
      </c>
      <c r="K2692" s="6">
        <f t="shared" si="110"/>
        <v>1.4007221501422968</v>
      </c>
    </row>
    <row r="2693" spans="1:11" hidden="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H2693" s="5">
        <v>5700</v>
      </c>
      <c r="I2693" s="6">
        <v>2747.5751230427709</v>
      </c>
      <c r="J2693" s="5">
        <v>20800</v>
      </c>
      <c r="K2693" s="6">
        <f t="shared" si="110"/>
        <v>2.0745565616009798</v>
      </c>
    </row>
    <row r="2694" spans="1:11" hidden="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H2694" s="5">
        <v>1950</v>
      </c>
      <c r="I2694" s="6">
        <v>1056.75862064738</v>
      </c>
      <c r="J2694" s="5">
        <v>9600</v>
      </c>
      <c r="K2694" s="6">
        <f t="shared" si="110"/>
        <v>1.8452652875501618</v>
      </c>
    </row>
    <row r="2695" spans="1:11" hidden="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H2695" s="5">
        <v>0</v>
      </c>
      <c r="I2695" s="6">
        <v>317.02758619421581</v>
      </c>
      <c r="J2695" s="5">
        <v>2640</v>
      </c>
      <c r="K2695" s="6">
        <f t="shared" si="110"/>
        <v>0</v>
      </c>
    </row>
    <row r="2696" spans="1:11" hidden="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H2696" s="5">
        <v>0</v>
      </c>
      <c r="I2696" s="6">
        <v>52.837931032368999</v>
      </c>
      <c r="J2696" s="5">
        <v>440</v>
      </c>
      <c r="K2696" s="6">
        <f t="shared" si="110"/>
        <v>0</v>
      </c>
    </row>
    <row r="2697" spans="1:11" hidden="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H2697" s="5">
        <v>8220</v>
      </c>
      <c r="I2697" s="6">
        <v>3592.9793102011122</v>
      </c>
      <c r="J2697" s="5">
        <v>27820</v>
      </c>
      <c r="K2697" s="6">
        <f t="shared" si="110"/>
        <v>2.2877949718947579</v>
      </c>
    </row>
    <row r="2698" spans="1:11" hidden="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H2698" s="5">
        <v>1500</v>
      </c>
      <c r="I2698" s="6">
        <v>1585.2222221588099</v>
      </c>
      <c r="J2698" s="5">
        <v>11490</v>
      </c>
      <c r="K2698" s="6">
        <f t="shared" si="110"/>
        <v>0.94623957387958424</v>
      </c>
    </row>
    <row r="2699" spans="1:11" hidden="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H2699" s="5">
        <v>3090</v>
      </c>
      <c r="I2699" s="6">
        <v>2219.311111022334</v>
      </c>
      <c r="J2699" s="5">
        <v>16800</v>
      </c>
      <c r="K2699" s="6">
        <f t="shared" si="110"/>
        <v>1.3923239444228168</v>
      </c>
    </row>
    <row r="2700" spans="1:11" hidden="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H2700" s="5">
        <v>3625</v>
      </c>
      <c r="I2700" s="6">
        <v>2959.0814813631118</v>
      </c>
      <c r="J2700" s="5">
        <v>22400</v>
      </c>
      <c r="K2700" s="6">
        <f t="shared" si="110"/>
        <v>1.2250423054691046</v>
      </c>
    </row>
    <row r="2701" spans="1:11" hidden="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H2701" s="5">
        <v>0</v>
      </c>
      <c r="I2701" s="6">
        <v>1796.5851851133182</v>
      </c>
      <c r="J2701" s="5">
        <v>0</v>
      </c>
      <c r="K2701" s="6">
        <f t="shared" si="110"/>
        <v>0</v>
      </c>
    </row>
    <row r="2702" spans="1:11" hidden="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H2702" s="5">
        <v>2300</v>
      </c>
      <c r="I2702" s="6">
        <v>1912.3542857142861</v>
      </c>
      <c r="J2702" s="5">
        <v>16320</v>
      </c>
      <c r="K2702" s="6">
        <f t="shared" si="110"/>
        <v>1.2027060138288779</v>
      </c>
    </row>
    <row r="2703" spans="1:11" hidden="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H2703" s="5">
        <v>3825</v>
      </c>
      <c r="I2703" s="6">
        <v>2812.2857142428579</v>
      </c>
      <c r="J2703" s="5">
        <v>20000</v>
      </c>
      <c r="K2703" s="6">
        <f t="shared" si="110"/>
        <v>1.3601036269637319</v>
      </c>
    </row>
    <row r="2704" spans="1:11" hidden="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H2704" s="5">
        <v>1075</v>
      </c>
      <c r="I2704" s="6">
        <v>1768.8376470588223</v>
      </c>
      <c r="J2704" s="5">
        <v>12800</v>
      </c>
      <c r="K2704" s="6">
        <f t="shared" si="110"/>
        <v>0.60774373599944709</v>
      </c>
    </row>
    <row r="2705" spans="1:11" hidden="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H2705" s="5">
        <v>3540</v>
      </c>
      <c r="I2705" s="6">
        <v>2263.7999998868127</v>
      </c>
      <c r="J2705" s="5">
        <v>17920</v>
      </c>
      <c r="K2705" s="6">
        <f t="shared" si="110"/>
        <v>1.563742380147096</v>
      </c>
    </row>
    <row r="2706" spans="1:11" hidden="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H2706" s="5">
        <v>1350</v>
      </c>
      <c r="I2706" s="6">
        <v>994.97117647058747</v>
      </c>
      <c r="J2706" s="5">
        <v>7200</v>
      </c>
      <c r="K2706" s="6">
        <f t="shared" si="110"/>
        <v>1.3568232245569052</v>
      </c>
    </row>
    <row r="2707" spans="1:11" hidden="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H2707" s="5">
        <v>1750</v>
      </c>
      <c r="I2707" s="6">
        <v>994.97117647058747</v>
      </c>
      <c r="J2707" s="5">
        <v>7920</v>
      </c>
      <c r="K2707" s="6">
        <f t="shared" si="110"/>
        <v>1.7588449207219141</v>
      </c>
    </row>
    <row r="2708" spans="1:11" hidden="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H2708" s="5">
        <v>3950</v>
      </c>
      <c r="I2708" s="6">
        <v>2263.7999998868127</v>
      </c>
      <c r="J2708" s="5">
        <v>17920</v>
      </c>
      <c r="K2708" s="6">
        <f t="shared" si="110"/>
        <v>1.7448537857573529</v>
      </c>
    </row>
    <row r="2709" spans="1:11" hidden="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H2709" s="5">
        <v>6510</v>
      </c>
      <c r="I2709" s="6">
        <v>6727.0499997982479</v>
      </c>
      <c r="J2709" s="5">
        <v>49210</v>
      </c>
      <c r="K2709" s="6">
        <f t="shared" si="110"/>
        <v>0.96773474259820313</v>
      </c>
    </row>
    <row r="2710" spans="1:11" hidden="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H2710" s="5">
        <v>1080</v>
      </c>
      <c r="I2710" s="6">
        <v>994.95</v>
      </c>
      <c r="J2710" s="5">
        <v>7200</v>
      </c>
      <c r="K2710" s="6">
        <f t="shared" si="110"/>
        <v>1.0854816824966078</v>
      </c>
    </row>
    <row r="2711" spans="1:11" hidden="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H2711" s="5">
        <v>1190</v>
      </c>
      <c r="I2711" s="6">
        <v>831.6</v>
      </c>
      <c r="J2711" s="5">
        <v>6300</v>
      </c>
      <c r="K2711" s="6">
        <f t="shared" si="110"/>
        <v>1.430976430976431</v>
      </c>
    </row>
    <row r="2712" spans="1:11" hidden="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H2712" s="5">
        <v>2875</v>
      </c>
      <c r="I2712" s="6">
        <v>1267.2</v>
      </c>
      <c r="J2712" s="5">
        <v>9600</v>
      </c>
      <c r="K2712" s="6">
        <f t="shared" si="110"/>
        <v>2.2687815656565657</v>
      </c>
    </row>
    <row r="2713" spans="1:11" hidden="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H2713" s="5">
        <v>330</v>
      </c>
      <c r="I2713" s="6">
        <v>316.8</v>
      </c>
      <c r="J2713" s="5">
        <v>2400</v>
      </c>
      <c r="K2713" s="6">
        <f t="shared" si="110"/>
        <v>1.0416666666666665</v>
      </c>
    </row>
    <row r="2714" spans="1:11" hidden="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H2714" s="5">
        <v>10770</v>
      </c>
      <c r="I2714" s="6">
        <v>3603.6</v>
      </c>
      <c r="J2714" s="5">
        <v>27296</v>
      </c>
      <c r="K2714" s="6">
        <f t="shared" si="110"/>
        <v>2.9886779886779888</v>
      </c>
    </row>
    <row r="2715" spans="1:11" hidden="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H2715" s="5">
        <v>7100</v>
      </c>
      <c r="I2715" s="6">
        <v>3682.8</v>
      </c>
      <c r="J2715" s="5">
        <v>27900</v>
      </c>
      <c r="K2715" s="6">
        <f t="shared" si="110"/>
        <v>1.9278809601390245</v>
      </c>
    </row>
    <row r="2716" spans="1:11" hidden="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H2716" s="5">
        <v>2350</v>
      </c>
      <c r="I2716" s="6">
        <v>2376</v>
      </c>
      <c r="J2716" s="5">
        <v>18000</v>
      </c>
      <c r="K2716" s="6">
        <f t="shared" si="110"/>
        <v>0.98905723905723908</v>
      </c>
    </row>
    <row r="2717" spans="1:11" hidden="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H2717" s="5">
        <v>1200</v>
      </c>
      <c r="I2717" s="6">
        <v>950.4</v>
      </c>
      <c r="J2717" s="5">
        <v>7200</v>
      </c>
      <c r="K2717" s="6">
        <f t="shared" si="110"/>
        <v>1.2626262626262628</v>
      </c>
    </row>
    <row r="2718" spans="1:11" hidden="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H2718" s="5">
        <v>1475</v>
      </c>
      <c r="I2718" s="6">
        <v>1346.4</v>
      </c>
      <c r="J2718" s="5">
        <v>10200</v>
      </c>
      <c r="K2718" s="6">
        <f t="shared" si="110"/>
        <v>1.095513963161022</v>
      </c>
    </row>
    <row r="2719" spans="1:11" hidden="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H2719" s="5">
        <v>4080</v>
      </c>
      <c r="I2719" s="6">
        <v>2851.2</v>
      </c>
      <c r="J2719" s="5">
        <v>21600</v>
      </c>
      <c r="K2719" s="6">
        <f t="shared" si="110"/>
        <v>1.430976430976431</v>
      </c>
    </row>
    <row r="2720" spans="1:11" hidden="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H2720" s="5">
        <v>2520</v>
      </c>
      <c r="I2720" s="6">
        <v>2138.4</v>
      </c>
      <c r="J2720" s="5">
        <v>16200</v>
      </c>
      <c r="K2720" s="6">
        <f t="shared" si="110"/>
        <v>1.1784511784511784</v>
      </c>
    </row>
    <row r="2721" spans="1:11" hidden="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H2721" s="5">
        <v>2875</v>
      </c>
      <c r="I2721" s="6">
        <v>963.6</v>
      </c>
      <c r="J2721" s="5">
        <v>7570</v>
      </c>
      <c r="K2721" s="6">
        <f t="shared" si="110"/>
        <v>2.9836031548360316</v>
      </c>
    </row>
    <row r="2722" spans="1:11" hidden="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H2722" s="5">
        <v>8075</v>
      </c>
      <c r="I2722" s="6">
        <v>3168</v>
      </c>
      <c r="J2722" s="5">
        <v>24000</v>
      </c>
      <c r="K2722" s="6">
        <f t="shared" si="110"/>
        <v>2.5489267676767677</v>
      </c>
    </row>
    <row r="2723" spans="1:11" hidden="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H2723" s="5">
        <v>2700</v>
      </c>
      <c r="I2723" s="6">
        <v>1188</v>
      </c>
      <c r="J2723" s="5">
        <v>9000</v>
      </c>
      <c r="K2723" s="6">
        <f t="shared" si="110"/>
        <v>2.2727272727272729</v>
      </c>
    </row>
    <row r="2724" spans="1:11" hidden="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H2724" s="5">
        <v>4350</v>
      </c>
      <c r="I2724" s="6">
        <v>2732.4</v>
      </c>
      <c r="J2724" s="5">
        <v>20700</v>
      </c>
      <c r="K2724" s="6">
        <f t="shared" si="110"/>
        <v>1.5920070267896353</v>
      </c>
    </row>
    <row r="2725" spans="1:11" hidden="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H2725" s="5">
        <v>1320</v>
      </c>
      <c r="I2725" s="6">
        <v>673.2</v>
      </c>
      <c r="J2725" s="5">
        <v>5100</v>
      </c>
      <c r="K2725" s="6">
        <f t="shared" si="110"/>
        <v>1.9607843137254901</v>
      </c>
    </row>
    <row r="2726" spans="1:11" hidden="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H2726" s="5">
        <v>1780</v>
      </c>
      <c r="I2726" s="6">
        <v>1100.4749999999999</v>
      </c>
      <c r="J2726" s="5">
        <v>8000</v>
      </c>
      <c r="K2726" s="6">
        <f t="shared" si="110"/>
        <v>1.6174833594584159</v>
      </c>
    </row>
    <row r="2727" spans="1:11" hidden="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H2727" s="5">
        <v>1525</v>
      </c>
      <c r="I2727" s="6">
        <v>1287</v>
      </c>
      <c r="J2727" s="5">
        <v>9400</v>
      </c>
      <c r="K2727" s="6">
        <f t="shared" si="110"/>
        <v>1.184926184926185</v>
      </c>
    </row>
    <row r="2728" spans="1:11" hidden="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H2728" s="5">
        <v>6120</v>
      </c>
      <c r="I2728" s="6">
        <v>2641.14</v>
      </c>
      <c r="J2728" s="5">
        <v>19200</v>
      </c>
      <c r="K2728" s="6">
        <f t="shared" si="110"/>
        <v>2.317181217201663</v>
      </c>
    </row>
    <row r="2729" spans="1:11" hidden="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H2729" s="5">
        <v>2225</v>
      </c>
      <c r="I2729" s="6">
        <v>2641.14</v>
      </c>
      <c r="J2729" s="5">
        <v>19200</v>
      </c>
      <c r="K2729" s="6">
        <f t="shared" si="110"/>
        <v>0.84243924971792483</v>
      </c>
    </row>
    <row r="2730" spans="1:11" hidden="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H2730" s="5">
        <v>3450</v>
      </c>
      <c r="I2730" s="6">
        <v>1430.6174906250001</v>
      </c>
      <c r="J2730" s="5">
        <v>10400</v>
      </c>
      <c r="K2730" s="6">
        <f t="shared" si="110"/>
        <v>2.4115460789541889</v>
      </c>
    </row>
    <row r="2731" spans="1:11" hidden="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H2731" s="5">
        <v>1920</v>
      </c>
      <c r="I2731" s="6">
        <v>1430.6175000000001</v>
      </c>
      <c r="J2731" s="5">
        <v>10400</v>
      </c>
      <c r="K2731" s="6">
        <f t="shared" si="110"/>
        <v>1.3420778090579766</v>
      </c>
    </row>
    <row r="2732" spans="1:11" hidden="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H2732" s="5">
        <v>4650</v>
      </c>
      <c r="I2732" s="6">
        <v>2861.2350000000001</v>
      </c>
      <c r="J2732" s="5">
        <v>20800</v>
      </c>
      <c r="K2732" s="6">
        <f t="shared" si="110"/>
        <v>1.6251723469061437</v>
      </c>
    </row>
    <row r="2733" spans="1:11" hidden="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H2733" s="5">
        <v>4775</v>
      </c>
      <c r="I2733" s="6">
        <v>3071.9505625000002</v>
      </c>
      <c r="J2733" s="5">
        <v>22400</v>
      </c>
      <c r="K2733" s="6">
        <f t="shared" si="110"/>
        <v>1.5543869938173849</v>
      </c>
    </row>
    <row r="2734" spans="1:11" hidden="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H2734" s="5">
        <v>3040</v>
      </c>
      <c r="I2734" s="6">
        <v>1097.125</v>
      </c>
      <c r="J2734" s="5">
        <v>8000</v>
      </c>
      <c r="K2734" s="6">
        <f t="shared" si="110"/>
        <v>2.7708784322661502</v>
      </c>
    </row>
    <row r="2735" spans="1:11" hidden="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H2735" s="5">
        <v>3220</v>
      </c>
      <c r="I2735" s="6">
        <v>2852.5250000000001</v>
      </c>
      <c r="J2735" s="5">
        <v>20800</v>
      </c>
      <c r="K2735" s="6">
        <f t="shared" si="110"/>
        <v>1.1288244625375763</v>
      </c>
    </row>
    <row r="2736" spans="1:11" hidden="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H2736" s="5">
        <v>2430</v>
      </c>
      <c r="I2736" s="6">
        <v>2633.1</v>
      </c>
      <c r="J2736" s="5">
        <v>19200</v>
      </c>
      <c r="K2736" s="6">
        <f t="shared" si="110"/>
        <v>0.92286658311495962</v>
      </c>
    </row>
    <row r="2737" spans="1:11" hidden="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H2737" s="5">
        <v>2880</v>
      </c>
      <c r="I2737" s="6">
        <v>2633.1</v>
      </c>
      <c r="J2737" s="5">
        <v>19200</v>
      </c>
      <c r="K2737" s="6">
        <f t="shared" ref="K2737:K2800" si="112">+H2737/I2737</f>
        <v>1.0937678022103225</v>
      </c>
    </row>
    <row r="2738" spans="1:11" hidden="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H2738" s="5">
        <v>2910</v>
      </c>
      <c r="I2738" s="6">
        <v>2852.5250000000001</v>
      </c>
      <c r="J2738" s="5">
        <v>20800</v>
      </c>
      <c r="K2738" s="6">
        <f t="shared" si="112"/>
        <v>1.0201488155230891</v>
      </c>
    </row>
    <row r="2739" spans="1:11" hidden="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H2739" s="5">
        <v>2340</v>
      </c>
      <c r="I2739" s="6">
        <v>2852.5250000000001</v>
      </c>
      <c r="J2739" s="5">
        <v>20800</v>
      </c>
      <c r="K2739" s="6">
        <f t="shared" si="112"/>
        <v>0.82032585165774174</v>
      </c>
    </row>
    <row r="2740" spans="1:11" hidden="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H2740" s="5">
        <v>3000</v>
      </c>
      <c r="I2740" s="6">
        <v>3071.95</v>
      </c>
      <c r="J2740" s="5">
        <v>22400</v>
      </c>
      <c r="K2740" s="6">
        <f t="shared" si="112"/>
        <v>0.97657839483064512</v>
      </c>
    </row>
    <row r="2741" spans="1:11" hidden="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H2741" s="5">
        <v>2525</v>
      </c>
      <c r="I2741" s="6">
        <v>1645.6875</v>
      </c>
      <c r="J2741" s="5">
        <v>12000</v>
      </c>
      <c r="K2741" s="6">
        <f t="shared" si="112"/>
        <v>1.5343131669894801</v>
      </c>
    </row>
    <row r="2742" spans="1:11" hidden="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H2742" s="5">
        <v>8460</v>
      </c>
      <c r="I2742" s="6">
        <v>4121.4642855494085</v>
      </c>
      <c r="J2742" s="5">
        <v>31200</v>
      </c>
      <c r="K2742" s="6">
        <f t="shared" si="112"/>
        <v>2.0526685211521243</v>
      </c>
    </row>
    <row r="2743" spans="1:11" hidden="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H2743" s="5">
        <v>1980</v>
      </c>
      <c r="I2743" s="6">
        <v>1056.7857142434418</v>
      </c>
      <c r="J2743" s="5">
        <v>8000</v>
      </c>
      <c r="K2743" s="6">
        <f t="shared" si="112"/>
        <v>1.8736059480303364</v>
      </c>
    </row>
    <row r="2744" spans="1:11" hidden="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H2744" s="5">
        <v>7110</v>
      </c>
      <c r="I2744" s="6">
        <v>2641.9642856076484</v>
      </c>
      <c r="J2744" s="5">
        <v>19996</v>
      </c>
      <c r="K2744" s="6">
        <f t="shared" si="112"/>
        <v>2.6911794526263662</v>
      </c>
    </row>
    <row r="2745" spans="1:11" hidden="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H2745" s="5">
        <v>1240</v>
      </c>
      <c r="I2745" s="6">
        <v>528.39285712153003</v>
      </c>
      <c r="J2745" s="5">
        <v>4000</v>
      </c>
      <c r="K2745" s="6">
        <f t="shared" si="112"/>
        <v>2.34673876319036</v>
      </c>
    </row>
    <row r="2746" spans="1:11" hidden="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H2746" s="5">
        <v>4020</v>
      </c>
      <c r="I2746" s="6">
        <v>1902.2142856375078</v>
      </c>
      <c r="J2746" s="5">
        <v>14400</v>
      </c>
      <c r="K2746" s="6">
        <f t="shared" si="112"/>
        <v>2.1133265743784158</v>
      </c>
    </row>
    <row r="2747" spans="1:11" hidden="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H2747" s="5">
        <v>840</v>
      </c>
      <c r="I2747" s="6">
        <v>634.05652706821195</v>
      </c>
      <c r="J2747" s="5">
        <v>4800</v>
      </c>
      <c r="K2747" s="6">
        <f t="shared" si="112"/>
        <v>1.3248030169865794</v>
      </c>
    </row>
    <row r="2748" spans="1:11" hidden="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H2748" s="5">
        <v>8100</v>
      </c>
      <c r="I2748" s="6">
        <v>4487.9999999102474</v>
      </c>
      <c r="J2748" s="5">
        <v>31740</v>
      </c>
      <c r="K2748" s="6">
        <f t="shared" si="112"/>
        <v>1.8048128342606922</v>
      </c>
    </row>
    <row r="2749" spans="1:11" hidden="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H2749" s="5">
        <v>4350</v>
      </c>
      <c r="I2749" s="6">
        <v>1702.8</v>
      </c>
      <c r="J2749" s="5">
        <v>12900</v>
      </c>
      <c r="K2749" s="6">
        <f t="shared" si="112"/>
        <v>2.5546159267089501</v>
      </c>
    </row>
    <row r="2750" spans="1:11" hidden="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H2750" s="5">
        <v>3840</v>
      </c>
      <c r="I2750" s="6">
        <v>3009.6</v>
      </c>
      <c r="J2750" s="5">
        <v>22800</v>
      </c>
      <c r="K2750" s="6">
        <f t="shared" si="112"/>
        <v>1.2759170653907497</v>
      </c>
    </row>
    <row r="2751" spans="1:11" hidden="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H2751" s="5">
        <v>2490</v>
      </c>
      <c r="I2751" s="6">
        <v>1386</v>
      </c>
      <c r="J2751" s="5">
        <v>10500</v>
      </c>
      <c r="K2751" s="6">
        <f t="shared" si="112"/>
        <v>1.7965367965367964</v>
      </c>
    </row>
    <row r="2752" spans="1:11" hidden="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H2752" s="5">
        <v>3210</v>
      </c>
      <c r="I2752" s="6">
        <v>1386</v>
      </c>
      <c r="J2752" s="5">
        <v>10500</v>
      </c>
      <c r="K2752" s="6">
        <f t="shared" si="112"/>
        <v>2.3160173160173159</v>
      </c>
    </row>
    <row r="2753" spans="1:11" hidden="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H2753" s="5">
        <v>1350</v>
      </c>
      <c r="I2753" s="6">
        <v>1029.5999999999999</v>
      </c>
      <c r="J2753" s="5">
        <v>7800</v>
      </c>
      <c r="K2753" s="6">
        <f t="shared" si="112"/>
        <v>1.3111888111888113</v>
      </c>
    </row>
    <row r="2754" spans="1:11" hidden="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H2754" s="5">
        <v>2150</v>
      </c>
      <c r="I2754" s="6">
        <v>2653.2</v>
      </c>
      <c r="J2754" s="5">
        <v>20100</v>
      </c>
      <c r="K2754" s="6">
        <f t="shared" si="112"/>
        <v>0.8103422282526761</v>
      </c>
    </row>
    <row r="2755" spans="1:11" hidden="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H2755" s="5">
        <v>3390</v>
      </c>
      <c r="I2755" s="6">
        <v>1768.8</v>
      </c>
      <c r="J2755" s="5">
        <v>13400</v>
      </c>
      <c r="K2755" s="6">
        <f t="shared" si="112"/>
        <v>1.9165535956580733</v>
      </c>
    </row>
    <row r="2756" spans="1:11" hidden="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H2756" s="5">
        <v>1770</v>
      </c>
      <c r="I2756" s="6">
        <v>1029.5999999999999</v>
      </c>
      <c r="J2756" s="5">
        <v>7800</v>
      </c>
      <c r="K2756" s="6">
        <f t="shared" si="112"/>
        <v>1.7191142191142192</v>
      </c>
    </row>
    <row r="2757" spans="1:11" hidden="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H2757" s="5">
        <v>2700</v>
      </c>
      <c r="I2757" s="6">
        <v>1346.4</v>
      </c>
      <c r="J2757" s="5">
        <v>10200</v>
      </c>
      <c r="K2757" s="6">
        <f t="shared" si="112"/>
        <v>2.0053475935828877</v>
      </c>
    </row>
    <row r="2758" spans="1:11" hidden="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H2758" s="5">
        <v>660</v>
      </c>
      <c r="I2758" s="6">
        <v>440.18999062500001</v>
      </c>
      <c r="J2758" s="5">
        <v>3200</v>
      </c>
      <c r="K2758" s="6">
        <f t="shared" si="112"/>
        <v>1.499352584239602</v>
      </c>
    </row>
    <row r="2759" spans="1:11" hidden="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H2759" s="5">
        <v>1350</v>
      </c>
      <c r="I2759" s="6">
        <v>880.38</v>
      </c>
      <c r="J2759" s="5">
        <v>6400</v>
      </c>
      <c r="K2759" s="6">
        <f t="shared" si="112"/>
        <v>1.5334287466775711</v>
      </c>
    </row>
    <row r="2760" spans="1:11" hidden="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H2760" s="5">
        <v>525</v>
      </c>
      <c r="I2760" s="6">
        <v>330.14249999999998</v>
      </c>
      <c r="J2760" s="5">
        <v>2400</v>
      </c>
      <c r="K2760" s="6">
        <f t="shared" si="112"/>
        <v>1.5902224039619257</v>
      </c>
    </row>
    <row r="2761" spans="1:11" hidden="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H2761" s="5">
        <v>4275</v>
      </c>
      <c r="I2761" s="6">
        <v>1650.7125000000001</v>
      </c>
      <c r="J2761" s="5">
        <v>12000</v>
      </c>
      <c r="K2761" s="6">
        <f t="shared" si="112"/>
        <v>2.5897907721665643</v>
      </c>
    </row>
    <row r="2762" spans="1:11" hidden="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H2762" s="5">
        <v>3300</v>
      </c>
      <c r="I2762" s="6">
        <v>1287.0000000000018</v>
      </c>
      <c r="J2762" s="5">
        <v>9400</v>
      </c>
      <c r="K2762" s="6">
        <f t="shared" si="112"/>
        <v>2.5641025641025603</v>
      </c>
    </row>
    <row r="2763" spans="1:11" hidden="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H2763" s="5">
        <v>8025</v>
      </c>
      <c r="I2763" s="6">
        <v>2641.14</v>
      </c>
      <c r="J2763" s="5">
        <v>19200</v>
      </c>
      <c r="K2763" s="6">
        <f t="shared" si="112"/>
        <v>3.0384606647129648</v>
      </c>
    </row>
    <row r="2764" spans="1:11" hidden="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H2764" s="5">
        <v>2700</v>
      </c>
      <c r="I2764" s="6">
        <v>880.38</v>
      </c>
      <c r="J2764" s="5">
        <v>6400</v>
      </c>
      <c r="K2764" s="6">
        <f t="shared" si="112"/>
        <v>3.0668574933551422</v>
      </c>
    </row>
    <row r="2765" spans="1:11" hidden="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H2765" s="5">
        <v>2580</v>
      </c>
      <c r="I2765" s="6">
        <v>880.38</v>
      </c>
      <c r="J2765" s="5">
        <v>6400</v>
      </c>
      <c r="K2765" s="6">
        <f t="shared" si="112"/>
        <v>2.9305527158726914</v>
      </c>
    </row>
    <row r="2766" spans="1:11" hidden="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H2766" s="5">
        <v>740</v>
      </c>
      <c r="I2766" s="6">
        <v>1755.4</v>
      </c>
      <c r="J2766" s="5">
        <v>12800</v>
      </c>
      <c r="K2766" s="6">
        <f t="shared" si="112"/>
        <v>0.42155634043522844</v>
      </c>
    </row>
    <row r="2767" spans="1:11" hidden="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H2767" s="5">
        <v>3500</v>
      </c>
      <c r="I2767" s="6">
        <v>2413.6749943750001</v>
      </c>
      <c r="J2767" s="5">
        <v>17600</v>
      </c>
      <c r="K2767" s="6">
        <f t="shared" si="112"/>
        <v>1.4500709532793972</v>
      </c>
    </row>
    <row r="2768" spans="1:11" hidden="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H2768" s="5">
        <v>920</v>
      </c>
      <c r="I2768" s="6">
        <v>1645.6875</v>
      </c>
      <c r="J2768" s="5">
        <v>12000</v>
      </c>
      <c r="K2768" s="6">
        <f t="shared" si="112"/>
        <v>0.55903687668527591</v>
      </c>
    </row>
    <row r="2769" spans="1:11" hidden="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H2769" s="5">
        <v>1000</v>
      </c>
      <c r="I2769" s="6">
        <v>726.32013058333712</v>
      </c>
      <c r="J2769" s="5">
        <v>5712</v>
      </c>
      <c r="K2769" s="6">
        <f t="shared" si="112"/>
        <v>1.376803365200493</v>
      </c>
    </row>
    <row r="2770" spans="1:11" hidden="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H2770" s="5">
        <v>1890</v>
      </c>
      <c r="I2770" s="6">
        <v>924.39958333667107</v>
      </c>
      <c r="J2770" s="5">
        <v>6720</v>
      </c>
      <c r="K2770" s="6">
        <f t="shared" si="112"/>
        <v>2.04457037202239</v>
      </c>
    </row>
    <row r="2771" spans="1:11" hidden="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H2771" s="5">
        <v>60</v>
      </c>
      <c r="I2771" s="6">
        <v>1122.485208333339</v>
      </c>
      <c r="J2771" s="5">
        <v>8160</v>
      </c>
      <c r="K2771" s="6">
        <f t="shared" si="112"/>
        <v>5.3452820183784631E-2</v>
      </c>
    </row>
    <row r="2772" spans="1:11" hidden="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H2772" s="5">
        <v>360</v>
      </c>
      <c r="I2772" s="6">
        <v>396.17125000000198</v>
      </c>
      <c r="J2772" s="5">
        <v>2880</v>
      </c>
      <c r="K2772" s="6">
        <f t="shared" si="112"/>
        <v>0.90869794312433882</v>
      </c>
    </row>
    <row r="2773" spans="1:11" hidden="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H2773" s="5">
        <v>2670</v>
      </c>
      <c r="I2773" s="6">
        <v>1535.9749999999999</v>
      </c>
      <c r="J2773" s="5">
        <v>11200</v>
      </c>
      <c r="K2773" s="6">
        <f t="shared" si="112"/>
        <v>1.7383095427985482</v>
      </c>
    </row>
    <row r="2774" spans="1:11" hidden="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H2774" s="5">
        <v>2660</v>
      </c>
      <c r="I2774" s="6">
        <v>1535.9749999999999</v>
      </c>
      <c r="J2774" s="5">
        <v>11200</v>
      </c>
      <c r="K2774" s="6">
        <f t="shared" si="112"/>
        <v>1.731799020166344</v>
      </c>
    </row>
    <row r="2775" spans="1:11" hidden="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H2775" s="5">
        <v>960</v>
      </c>
      <c r="I2775" s="6">
        <v>594.25687500000299</v>
      </c>
      <c r="J2775" s="5">
        <v>4320</v>
      </c>
      <c r="K2775" s="6">
        <f t="shared" si="112"/>
        <v>1.6154630099988245</v>
      </c>
    </row>
    <row r="2776" spans="1:11" hidden="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H2776" s="5">
        <v>5540</v>
      </c>
      <c r="I2776" s="6">
        <v>2575.1131250013459</v>
      </c>
      <c r="J2776" s="5">
        <v>18720</v>
      </c>
      <c r="K2776" s="6">
        <f t="shared" si="112"/>
        <v>2.1513617969684748</v>
      </c>
    </row>
    <row r="2777" spans="1:11" hidden="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H2777" s="5">
        <v>990</v>
      </c>
      <c r="I2777" s="6">
        <v>528.37931032368999</v>
      </c>
      <c r="J2777" s="5">
        <v>4000</v>
      </c>
      <c r="K2777" s="6">
        <f t="shared" ref="K2777:K2783" si="113">IFERROR(H2777/I2777,"")</f>
        <v>1.8736539842817028</v>
      </c>
    </row>
    <row r="2778" spans="1:11" hidden="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H2778" s="5">
        <v>5000</v>
      </c>
      <c r="I2778" s="6">
        <v>2272.0310343918732</v>
      </c>
      <c r="J2778" s="5">
        <v>17200</v>
      </c>
      <c r="K2778" s="6">
        <f t="shared" si="113"/>
        <v>2.2006741652357267</v>
      </c>
    </row>
    <row r="2779" spans="1:11" hidden="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H2779" s="5">
        <v>1950</v>
      </c>
      <c r="I2779" s="6">
        <v>1162.4344827121224</v>
      </c>
      <c r="J2779" s="5">
        <v>8800</v>
      </c>
      <c r="K2779" s="6">
        <f t="shared" si="113"/>
        <v>1.6775138977728681</v>
      </c>
    </row>
    <row r="2780" spans="1:11" hidden="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H2780" s="5">
        <v>910</v>
      </c>
      <c r="I2780" s="6">
        <v>1162.4344827121181</v>
      </c>
      <c r="J2780" s="5">
        <v>8800</v>
      </c>
      <c r="K2780" s="6">
        <f t="shared" si="113"/>
        <v>0.78283981896067467</v>
      </c>
    </row>
    <row r="2781" spans="1:11" hidden="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H2781" s="5">
        <v>1290</v>
      </c>
      <c r="I2781" s="6">
        <v>1056.7586206473827</v>
      </c>
      <c r="J2781" s="5">
        <v>8000</v>
      </c>
      <c r="K2781" s="6">
        <f t="shared" si="113"/>
        <v>1.2207139594562577</v>
      </c>
    </row>
    <row r="2782" spans="1:11" hidden="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H2782" s="5">
        <v>1380</v>
      </c>
      <c r="I2782" s="6">
        <v>1109.596551679753</v>
      </c>
      <c r="J2782" s="5">
        <v>8400</v>
      </c>
      <c r="K2782" s="6">
        <f t="shared" si="113"/>
        <v>1.2436952853817895</v>
      </c>
    </row>
    <row r="2783" spans="1:11" hidden="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H2783" s="5">
        <v>3950</v>
      </c>
      <c r="I2783" s="6">
        <v>1902.1655171652881</v>
      </c>
      <c r="J2783" s="5">
        <v>14400</v>
      </c>
      <c r="K2783" s="6">
        <f t="shared" si="113"/>
        <v>2.076580594251602</v>
      </c>
    </row>
    <row r="2784" spans="1:11" hidden="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H2784" s="5">
        <v>825</v>
      </c>
      <c r="I2784" s="6">
        <v>951.10714281909407</v>
      </c>
      <c r="J2784" s="5">
        <v>7200</v>
      </c>
      <c r="K2784" s="6">
        <f t="shared" si="112"/>
        <v>0.86741016112515901</v>
      </c>
    </row>
    <row r="2785" spans="1:11" hidden="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H2785" s="5">
        <v>7710</v>
      </c>
      <c r="I2785" s="6">
        <v>3804.4285712763772</v>
      </c>
      <c r="J2785" s="5">
        <v>28800</v>
      </c>
      <c r="K2785" s="6">
        <f t="shared" si="112"/>
        <v>2.0265855582651437</v>
      </c>
    </row>
    <row r="2786" spans="1:11" hidden="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H2786" s="5">
        <v>4170</v>
      </c>
      <c r="I2786" s="6">
        <v>2641.8965516184649</v>
      </c>
      <c r="J2786" s="5">
        <v>20000</v>
      </c>
      <c r="K2786" s="6">
        <f t="shared" si="112"/>
        <v>1.5784115382736681</v>
      </c>
    </row>
    <row r="2787" spans="1:11" hidden="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H2787" s="5">
        <v>10410</v>
      </c>
      <c r="I2787" s="6">
        <v>3592.9793102010913</v>
      </c>
      <c r="J2787" s="5">
        <v>26044</v>
      </c>
      <c r="K2787" s="6">
        <f t="shared" si="112"/>
        <v>2.897316989954327</v>
      </c>
    </row>
    <row r="2788" spans="1:11" hidden="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H2788" s="5">
        <v>3525</v>
      </c>
      <c r="I2788" s="6">
        <v>1268.1103447768633</v>
      </c>
      <c r="J2788" s="5">
        <v>9600</v>
      </c>
      <c r="K2788" s="6">
        <f t="shared" si="112"/>
        <v>2.7797265549633687</v>
      </c>
    </row>
    <row r="2789" spans="1:11" hidden="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H2789" s="5">
        <v>425</v>
      </c>
      <c r="I2789" s="6">
        <v>528.37931032368999</v>
      </c>
      <c r="J2789" s="5">
        <v>4000</v>
      </c>
      <c r="K2789" s="6">
        <f t="shared" si="112"/>
        <v>0.80434640739366026</v>
      </c>
    </row>
    <row r="2790" spans="1:11" hidden="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H2790" s="5">
        <v>1350</v>
      </c>
      <c r="I2790" s="6">
        <v>1162.4344827121247</v>
      </c>
      <c r="J2790" s="5">
        <v>8800</v>
      </c>
      <c r="K2790" s="6">
        <f t="shared" si="112"/>
        <v>1.161355775381214</v>
      </c>
    </row>
    <row r="2791" spans="1:11" hidden="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H2791" s="5">
        <v>1740</v>
      </c>
      <c r="I2791" s="6">
        <v>528.3915024419166</v>
      </c>
      <c r="J2791" s="5">
        <v>4000</v>
      </c>
      <c r="K2791" s="6">
        <f t="shared" si="112"/>
        <v>3.2930128360481525</v>
      </c>
    </row>
    <row r="2792" spans="1:11" hidden="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H2792" s="5">
        <v>9600</v>
      </c>
      <c r="I2792" s="6">
        <v>3910.1071427007282</v>
      </c>
      <c r="J2792" s="5">
        <v>29260</v>
      </c>
      <c r="K2792" s="6">
        <f t="shared" si="112"/>
        <v>2.4551756894746464</v>
      </c>
    </row>
    <row r="2793" spans="1:11" hidden="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H2793" s="5">
        <v>3625</v>
      </c>
      <c r="I2793" s="6">
        <v>1902.2142856381945</v>
      </c>
      <c r="J2793" s="5">
        <v>14400</v>
      </c>
      <c r="K2793" s="6">
        <f t="shared" si="112"/>
        <v>1.9056738388355703</v>
      </c>
    </row>
    <row r="2794" spans="1:11" hidden="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H2794" s="5">
        <v>2190</v>
      </c>
      <c r="I2794" s="6">
        <v>1162.4642856677858</v>
      </c>
      <c r="J2794" s="5">
        <v>8800</v>
      </c>
      <c r="K2794" s="6">
        <f t="shared" si="112"/>
        <v>1.8839288458156278</v>
      </c>
    </row>
    <row r="2795" spans="1:11" hidden="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H2795" s="5">
        <v>330</v>
      </c>
      <c r="I2795" s="6">
        <v>317.03571427303262</v>
      </c>
      <c r="J2795" s="5">
        <v>2400</v>
      </c>
      <c r="K2795" s="6">
        <f t="shared" si="112"/>
        <v>1.0408921933501867</v>
      </c>
    </row>
    <row r="2796" spans="1:11" hidden="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H2796" s="5">
        <v>1525</v>
      </c>
      <c r="I2796" s="6">
        <v>951.10714281875391</v>
      </c>
      <c r="J2796" s="5">
        <v>7200</v>
      </c>
      <c r="K2796" s="6">
        <f t="shared" si="112"/>
        <v>1.6033945402622309</v>
      </c>
    </row>
    <row r="2797" spans="1:11" hidden="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H2797" s="5">
        <v>1100</v>
      </c>
      <c r="I2797" s="6">
        <v>898.26785710660101</v>
      </c>
      <c r="J2797" s="5">
        <v>6800</v>
      </c>
      <c r="K2797" s="6">
        <f t="shared" si="112"/>
        <v>1.2245790510006622</v>
      </c>
    </row>
    <row r="2798" spans="1:11" hidden="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H2798" s="5">
        <v>1500</v>
      </c>
      <c r="I2798" s="6">
        <v>1162.4642856673661</v>
      </c>
      <c r="J2798" s="5">
        <v>8800</v>
      </c>
      <c r="K2798" s="6">
        <f t="shared" si="112"/>
        <v>1.2903622231618548</v>
      </c>
    </row>
    <row r="2799" spans="1:11" hidden="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H2799" s="5">
        <v>1320</v>
      </c>
      <c r="I2799" s="6">
        <v>686.91071425798896</v>
      </c>
      <c r="J2799" s="5">
        <v>5200</v>
      </c>
      <c r="K2799" s="6">
        <f t="shared" si="112"/>
        <v>1.9216471261856549</v>
      </c>
    </row>
    <row r="2800" spans="1:11" hidden="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H2800" s="5">
        <v>1450</v>
      </c>
      <c r="I2800" s="6">
        <v>845.428571394752</v>
      </c>
      <c r="J2800" s="5">
        <v>6400</v>
      </c>
      <c r="K2800" s="6">
        <f t="shared" si="112"/>
        <v>1.7151064549520154</v>
      </c>
    </row>
    <row r="2801" spans="1:11" hidden="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H2801" s="5">
        <v>7375</v>
      </c>
      <c r="I2801" s="6">
        <v>3910.1071427007355</v>
      </c>
      <c r="J2801" s="5">
        <v>29600</v>
      </c>
      <c r="K2801" s="6">
        <f t="shared" ref="K2801:K2863" si="115">+H2801/I2801</f>
        <v>1.886137573945363</v>
      </c>
    </row>
    <row r="2802" spans="1:11" hidden="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H2802" s="5">
        <v>4625</v>
      </c>
      <c r="I2802" s="6">
        <v>4015.7857141250793</v>
      </c>
      <c r="J2802" s="5">
        <v>30400</v>
      </c>
      <c r="K2802" s="6">
        <f t="shared" si="115"/>
        <v>1.1517048790058886</v>
      </c>
    </row>
    <row r="2803" spans="1:11" hidden="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H2803" s="5">
        <v>8460</v>
      </c>
      <c r="I2803" s="6">
        <v>2747.5751230427709</v>
      </c>
      <c r="J2803" s="5">
        <v>20800</v>
      </c>
      <c r="K2803" s="6">
        <f t="shared" si="115"/>
        <v>3.0790786861656647</v>
      </c>
    </row>
    <row r="2804" spans="1:11" hidden="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H2804" s="5">
        <v>1950</v>
      </c>
      <c r="I2804" s="6">
        <v>1056.75862064738</v>
      </c>
      <c r="J2804" s="5">
        <v>9600</v>
      </c>
      <c r="K2804" s="6">
        <f t="shared" si="115"/>
        <v>1.8452652875501618</v>
      </c>
    </row>
    <row r="2805" spans="1:11" hidden="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H2805" s="5">
        <v>0</v>
      </c>
      <c r="I2805" s="6">
        <v>317.02758619421581</v>
      </c>
      <c r="J2805" s="5">
        <v>2640</v>
      </c>
      <c r="K2805" s="6">
        <f t="shared" si="115"/>
        <v>0</v>
      </c>
    </row>
    <row r="2806" spans="1:11" hidden="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H2806" s="5">
        <v>0</v>
      </c>
      <c r="I2806" s="6">
        <v>52.837931032368999</v>
      </c>
      <c r="J2806" s="5">
        <v>440</v>
      </c>
      <c r="K2806" s="6">
        <f t="shared" si="115"/>
        <v>0</v>
      </c>
    </row>
    <row r="2807" spans="1:11" hidden="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H2807" s="5">
        <v>7200</v>
      </c>
      <c r="I2807" s="6">
        <v>3592.9793102011122</v>
      </c>
      <c r="J2807" s="5">
        <v>27820</v>
      </c>
      <c r="K2807" s="6">
        <f t="shared" si="115"/>
        <v>2.0039080045793498</v>
      </c>
    </row>
    <row r="2808" spans="1:11" hidden="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H2808" s="5">
        <v>3000</v>
      </c>
      <c r="I2808" s="6">
        <v>1585.2222221588099</v>
      </c>
      <c r="J2808" s="5">
        <v>11490</v>
      </c>
      <c r="K2808" s="6">
        <f t="shared" si="115"/>
        <v>1.8924791477591685</v>
      </c>
    </row>
    <row r="2809" spans="1:11" hidden="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H2809" s="5">
        <v>3780</v>
      </c>
      <c r="I2809" s="6">
        <v>2219.311111022334</v>
      </c>
      <c r="J2809" s="5">
        <v>16800</v>
      </c>
      <c r="K2809" s="6">
        <f t="shared" si="115"/>
        <v>1.7032312329832517</v>
      </c>
    </row>
    <row r="2810" spans="1:11" hidden="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H2810" s="5">
        <v>2600</v>
      </c>
      <c r="I2810" s="6">
        <v>2959.0814813631118</v>
      </c>
      <c r="J2810" s="5">
        <v>22400</v>
      </c>
      <c r="K2810" s="6">
        <f t="shared" si="115"/>
        <v>0.87865103288818547</v>
      </c>
    </row>
    <row r="2811" spans="1:11" hidden="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H2811" s="5">
        <v>0</v>
      </c>
      <c r="I2811" s="6">
        <v>1796.5851851133182</v>
      </c>
      <c r="J2811" s="5">
        <v>0</v>
      </c>
      <c r="K2811" s="6">
        <f t="shared" si="115"/>
        <v>0</v>
      </c>
    </row>
    <row r="2812" spans="1:11" hidden="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H2812" s="5">
        <v>2125</v>
      </c>
      <c r="I2812" s="6">
        <v>1912.3542857142861</v>
      </c>
      <c r="J2812" s="5">
        <v>16320</v>
      </c>
      <c r="K2812" s="6">
        <f t="shared" si="115"/>
        <v>1.1111957736462459</v>
      </c>
    </row>
    <row r="2813" spans="1:11" hidden="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H2813" s="5">
        <v>3810</v>
      </c>
      <c r="I2813" s="6">
        <v>2812.2857142428579</v>
      </c>
      <c r="J2813" s="5">
        <v>20000</v>
      </c>
      <c r="K2813" s="6">
        <f t="shared" si="115"/>
        <v>1.3547698872501486</v>
      </c>
    </row>
    <row r="2814" spans="1:11" hidden="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H2814" s="5">
        <v>1200</v>
      </c>
      <c r="I2814" s="6">
        <v>1768.8376470588223</v>
      </c>
      <c r="J2814" s="5">
        <v>12800</v>
      </c>
      <c r="K2814" s="6">
        <f t="shared" si="115"/>
        <v>0.67841161227845248</v>
      </c>
    </row>
    <row r="2815" spans="1:11" hidden="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H2815" s="5">
        <v>3680</v>
      </c>
      <c r="I2815" s="6">
        <v>2263.7999998868127</v>
      </c>
      <c r="J2815" s="5">
        <v>17920</v>
      </c>
      <c r="K2815" s="6">
        <f t="shared" si="115"/>
        <v>1.6255852991359641</v>
      </c>
    </row>
    <row r="2816" spans="1:11" hidden="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H2816" s="5">
        <v>1080</v>
      </c>
      <c r="I2816" s="6">
        <v>994.97117647058747</v>
      </c>
      <c r="J2816" s="5">
        <v>7200</v>
      </c>
      <c r="K2816" s="6">
        <f t="shared" si="115"/>
        <v>1.0854585796455241</v>
      </c>
    </row>
    <row r="2817" spans="1:11" hidden="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H2817" s="5">
        <v>1080</v>
      </c>
      <c r="I2817" s="6">
        <v>994.97117647058747</v>
      </c>
      <c r="J2817" s="5">
        <v>7920</v>
      </c>
      <c r="K2817" s="6">
        <f t="shared" si="115"/>
        <v>1.0854585796455241</v>
      </c>
    </row>
    <row r="2818" spans="1:11" hidden="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H2818" s="5">
        <v>4100</v>
      </c>
      <c r="I2818" s="6">
        <v>2263.7999998868127</v>
      </c>
      <c r="J2818" s="5">
        <v>17920</v>
      </c>
      <c r="K2818" s="6">
        <f t="shared" si="115"/>
        <v>1.8111140561025687</v>
      </c>
    </row>
    <row r="2819" spans="1:11" hidden="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H2819" s="5">
        <v>7590</v>
      </c>
      <c r="I2819" s="6">
        <v>6727.0499997982479</v>
      </c>
      <c r="J2819" s="5">
        <v>49210</v>
      </c>
      <c r="K2819" s="6">
        <f t="shared" si="115"/>
        <v>1.1282805985131124</v>
      </c>
    </row>
    <row r="2820" spans="1:11" hidden="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H2820" s="5">
        <v>930</v>
      </c>
      <c r="I2820" s="6">
        <v>994.95</v>
      </c>
      <c r="J2820" s="5">
        <v>7200</v>
      </c>
      <c r="K2820" s="6">
        <f t="shared" si="115"/>
        <v>0.9347203377054123</v>
      </c>
    </row>
    <row r="2821" spans="1:11" hidden="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H2821" s="5">
        <v>975</v>
      </c>
      <c r="I2821" s="6">
        <v>831.6</v>
      </c>
      <c r="J2821" s="5">
        <v>6300</v>
      </c>
      <c r="K2821" s="6">
        <f t="shared" si="115"/>
        <v>1.1724386724386724</v>
      </c>
    </row>
    <row r="2822" spans="1:11" hidden="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H2822" s="5">
        <v>3675</v>
      </c>
      <c r="I2822" s="6">
        <v>1267.2</v>
      </c>
      <c r="J2822" s="5">
        <v>9600</v>
      </c>
      <c r="K2822" s="6">
        <f t="shared" si="115"/>
        <v>2.9000946969696968</v>
      </c>
    </row>
    <row r="2823" spans="1:11" hidden="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H2823" s="5">
        <v>420</v>
      </c>
      <c r="I2823" s="6">
        <v>316.8</v>
      </c>
      <c r="J2823" s="5">
        <v>2400</v>
      </c>
      <c r="K2823" s="6">
        <f t="shared" si="115"/>
        <v>1.3257575757575757</v>
      </c>
    </row>
    <row r="2824" spans="1:11" hidden="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H2824" s="5">
        <v>12450</v>
      </c>
      <c r="I2824" s="6">
        <v>3603.6</v>
      </c>
      <c r="J2824" s="5">
        <v>27296</v>
      </c>
      <c r="K2824" s="6">
        <f t="shared" si="115"/>
        <v>3.4548784548784548</v>
      </c>
    </row>
    <row r="2825" spans="1:11" hidden="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H2825" s="5">
        <v>4675</v>
      </c>
      <c r="I2825" s="6">
        <v>3682.8</v>
      </c>
      <c r="J2825" s="5">
        <v>27900</v>
      </c>
      <c r="K2825" s="6">
        <f t="shared" si="115"/>
        <v>1.2694145758661888</v>
      </c>
    </row>
    <row r="2826" spans="1:11" hidden="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H2826" s="5">
        <v>1825</v>
      </c>
      <c r="I2826" s="6">
        <v>2376</v>
      </c>
      <c r="J2826" s="5">
        <v>18000</v>
      </c>
      <c r="K2826" s="6">
        <f t="shared" si="115"/>
        <v>0.76809764309764306</v>
      </c>
    </row>
    <row r="2827" spans="1:11" hidden="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H2827" s="5">
        <v>1560</v>
      </c>
      <c r="I2827" s="6">
        <v>950.4</v>
      </c>
      <c r="J2827" s="5">
        <v>7200</v>
      </c>
      <c r="K2827" s="6">
        <f t="shared" si="115"/>
        <v>1.6414141414141414</v>
      </c>
    </row>
    <row r="2828" spans="1:11" hidden="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H2828" s="5">
        <v>1425</v>
      </c>
      <c r="I2828" s="6">
        <v>1346.4</v>
      </c>
      <c r="J2828" s="5">
        <v>10200</v>
      </c>
      <c r="K2828" s="6">
        <f t="shared" si="115"/>
        <v>1.0583778966131907</v>
      </c>
    </row>
    <row r="2829" spans="1:11" hidden="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H2829" s="5">
        <v>4620</v>
      </c>
      <c r="I2829" s="6">
        <v>2851.2</v>
      </c>
      <c r="J2829" s="5">
        <v>21600</v>
      </c>
      <c r="K2829" s="6">
        <f t="shared" si="115"/>
        <v>1.6203703703703705</v>
      </c>
    </row>
    <row r="2830" spans="1:11" hidden="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H2830" s="5">
        <v>2375</v>
      </c>
      <c r="I2830" s="6">
        <v>2138.4</v>
      </c>
      <c r="J2830" s="5">
        <v>16200</v>
      </c>
      <c r="K2830" s="6">
        <f t="shared" si="115"/>
        <v>1.1106434717545828</v>
      </c>
    </row>
    <row r="2831" spans="1:11" hidden="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H2831" s="5">
        <v>1525</v>
      </c>
      <c r="I2831" s="6">
        <v>963.6</v>
      </c>
      <c r="J2831" s="5">
        <v>7570</v>
      </c>
      <c r="K2831" s="6">
        <f t="shared" si="115"/>
        <v>1.5826068908260689</v>
      </c>
    </row>
    <row r="2832" spans="1:11" hidden="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H2832" s="5">
        <v>7700</v>
      </c>
      <c r="I2832" s="6">
        <v>3168</v>
      </c>
      <c r="J2832" s="5">
        <v>24000</v>
      </c>
      <c r="K2832" s="6">
        <f t="shared" si="115"/>
        <v>2.4305555555555554</v>
      </c>
    </row>
    <row r="2833" spans="1:11" hidden="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H2833" s="5">
        <v>2340</v>
      </c>
      <c r="I2833" s="6">
        <v>1188</v>
      </c>
      <c r="J2833" s="5">
        <v>9000</v>
      </c>
      <c r="K2833" s="6">
        <f t="shared" si="115"/>
        <v>1.9696969696969697</v>
      </c>
    </row>
    <row r="2834" spans="1:11" hidden="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H2834" s="5">
        <v>3350</v>
      </c>
      <c r="I2834" s="6">
        <v>2732.4</v>
      </c>
      <c r="J2834" s="5">
        <v>20700</v>
      </c>
      <c r="K2834" s="6">
        <f t="shared" si="115"/>
        <v>1.2260283999414434</v>
      </c>
    </row>
    <row r="2835" spans="1:11" hidden="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H2835" s="5">
        <v>1050</v>
      </c>
      <c r="I2835" s="6">
        <v>673.2</v>
      </c>
      <c r="J2835" s="5">
        <v>5100</v>
      </c>
      <c r="K2835" s="6">
        <f t="shared" si="115"/>
        <v>1.5597147950089125</v>
      </c>
    </row>
    <row r="2836" spans="1:11" hidden="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H2836" s="5">
        <v>1650</v>
      </c>
      <c r="I2836" s="6">
        <v>1100.4749999999999</v>
      </c>
      <c r="J2836" s="5">
        <v>8000</v>
      </c>
      <c r="K2836" s="6">
        <f t="shared" si="115"/>
        <v>1.4993525523069584</v>
      </c>
    </row>
    <row r="2837" spans="1:11" hidden="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H2837" s="5">
        <v>1650</v>
      </c>
      <c r="I2837" s="6">
        <v>1287</v>
      </c>
      <c r="J2837" s="5">
        <v>9400</v>
      </c>
      <c r="K2837" s="6">
        <f t="shared" si="115"/>
        <v>1.2820512820512822</v>
      </c>
    </row>
    <row r="2838" spans="1:11" hidden="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H2838" s="5">
        <v>6090</v>
      </c>
      <c r="I2838" s="6">
        <v>2641.14</v>
      </c>
      <c r="J2838" s="5">
        <v>19200</v>
      </c>
      <c r="K2838" s="6">
        <f t="shared" si="115"/>
        <v>2.305822485744792</v>
      </c>
    </row>
    <row r="2839" spans="1:11" hidden="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H2839" s="5">
        <v>2100</v>
      </c>
      <c r="I2839" s="6">
        <v>2641.14</v>
      </c>
      <c r="J2839" s="5">
        <v>19200</v>
      </c>
      <c r="K2839" s="6">
        <f t="shared" si="115"/>
        <v>0.79511120198096286</v>
      </c>
    </row>
    <row r="2840" spans="1:11" hidden="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H2840" s="5">
        <v>3510</v>
      </c>
      <c r="I2840" s="6">
        <v>1430.6174906250001</v>
      </c>
      <c r="J2840" s="5">
        <v>10400</v>
      </c>
      <c r="K2840" s="6">
        <f t="shared" si="115"/>
        <v>2.4534860107620879</v>
      </c>
    </row>
    <row r="2841" spans="1:11" hidden="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H2841" s="5">
        <v>1710</v>
      </c>
      <c r="I2841" s="6">
        <v>1430.6175000000001</v>
      </c>
      <c r="J2841" s="5">
        <v>10400</v>
      </c>
      <c r="K2841" s="6">
        <f t="shared" si="115"/>
        <v>1.1952880486922604</v>
      </c>
    </row>
    <row r="2842" spans="1:11" hidden="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H2842" s="5">
        <v>4290</v>
      </c>
      <c r="I2842" s="6">
        <v>2861.2350000000001</v>
      </c>
      <c r="J2842" s="5">
        <v>20800</v>
      </c>
      <c r="K2842" s="6">
        <f t="shared" si="115"/>
        <v>1.4993525523069582</v>
      </c>
    </row>
    <row r="2843" spans="1:11" hidden="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H2843" s="5">
        <v>4425</v>
      </c>
      <c r="I2843" s="6">
        <v>3071.9505625000002</v>
      </c>
      <c r="J2843" s="5">
        <v>22400</v>
      </c>
      <c r="K2843" s="6">
        <f t="shared" si="115"/>
        <v>1.4404528686161107</v>
      </c>
    </row>
    <row r="2844" spans="1:11" hidden="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H2844" s="5">
        <v>4325</v>
      </c>
      <c r="I2844" s="6">
        <v>1097.125</v>
      </c>
      <c r="J2844" s="5">
        <v>8000</v>
      </c>
      <c r="K2844" s="6">
        <f t="shared" si="115"/>
        <v>3.9421214537997038</v>
      </c>
    </row>
    <row r="2845" spans="1:11" hidden="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H2845" s="5">
        <v>4800</v>
      </c>
      <c r="I2845" s="6">
        <v>2852.5250000000001</v>
      </c>
      <c r="J2845" s="5">
        <v>20800</v>
      </c>
      <c r="K2845" s="6">
        <f t="shared" si="115"/>
        <v>1.6827196957081882</v>
      </c>
    </row>
    <row r="2846" spans="1:11" hidden="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H2846" s="5">
        <v>2250</v>
      </c>
      <c r="I2846" s="6">
        <v>2633.1</v>
      </c>
      <c r="J2846" s="5">
        <v>19200</v>
      </c>
      <c r="K2846" s="6">
        <f t="shared" si="115"/>
        <v>0.85450609547681444</v>
      </c>
    </row>
    <row r="2847" spans="1:11" hidden="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H2847" s="5">
        <v>2700</v>
      </c>
      <c r="I2847" s="6">
        <v>2633.1</v>
      </c>
      <c r="J2847" s="5">
        <v>19200</v>
      </c>
      <c r="K2847" s="6">
        <f t="shared" si="115"/>
        <v>1.0254073145721774</v>
      </c>
    </row>
    <row r="2848" spans="1:11" hidden="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H2848" s="5">
        <v>2670</v>
      </c>
      <c r="I2848" s="6">
        <v>2852.5250000000001</v>
      </c>
      <c r="J2848" s="5">
        <v>20800</v>
      </c>
      <c r="K2848" s="6">
        <f t="shared" si="115"/>
        <v>0.93601283073767971</v>
      </c>
    </row>
    <row r="2849" spans="1:11" hidden="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H2849" s="5">
        <v>3420</v>
      </c>
      <c r="I2849" s="6">
        <v>2852.5250000000001</v>
      </c>
      <c r="J2849" s="5">
        <v>20800</v>
      </c>
      <c r="K2849" s="6">
        <f t="shared" si="115"/>
        <v>1.1989377831920842</v>
      </c>
    </row>
    <row r="2850" spans="1:11" hidden="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H2850" s="5">
        <v>2775</v>
      </c>
      <c r="I2850" s="6">
        <v>3071.95</v>
      </c>
      <c r="J2850" s="5">
        <v>22400</v>
      </c>
      <c r="K2850" s="6">
        <f t="shared" si="115"/>
        <v>0.90333501521834669</v>
      </c>
    </row>
    <row r="2851" spans="1:11" hidden="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H2851" s="5">
        <v>2875</v>
      </c>
      <c r="I2851" s="6">
        <v>1645.6875</v>
      </c>
      <c r="J2851" s="5">
        <v>12000</v>
      </c>
      <c r="K2851" s="6">
        <f t="shared" si="115"/>
        <v>1.7469902396414871</v>
      </c>
    </row>
    <row r="2852" spans="1:11" hidden="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H2852" s="5">
        <v>6480</v>
      </c>
      <c r="I2852" s="6">
        <v>4121.4642855494085</v>
      </c>
      <c r="J2852" s="5">
        <v>31200</v>
      </c>
      <c r="K2852" s="6">
        <f t="shared" si="115"/>
        <v>1.5722567396058822</v>
      </c>
    </row>
    <row r="2853" spans="1:11" hidden="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H2853" s="5">
        <v>1830</v>
      </c>
      <c r="I2853" s="6">
        <v>1056.7857142434418</v>
      </c>
      <c r="J2853" s="5">
        <v>8000</v>
      </c>
      <c r="K2853" s="6">
        <f t="shared" si="115"/>
        <v>1.7316661034825838</v>
      </c>
    </row>
    <row r="2854" spans="1:11" hidden="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H2854" s="5">
        <v>8190</v>
      </c>
      <c r="I2854" s="6">
        <v>2641.9642856076484</v>
      </c>
      <c r="J2854" s="5">
        <v>19996</v>
      </c>
      <c r="K2854" s="6">
        <f t="shared" si="115"/>
        <v>3.099966204924042</v>
      </c>
    </row>
    <row r="2855" spans="1:11" hidden="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H2855" s="5">
        <v>1140</v>
      </c>
      <c r="I2855" s="6">
        <v>528.39285712153003</v>
      </c>
      <c r="J2855" s="5">
        <v>4000</v>
      </c>
      <c r="K2855" s="6">
        <f t="shared" si="115"/>
        <v>2.1574856371266211</v>
      </c>
    </row>
    <row r="2856" spans="1:11" hidden="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H2856" s="5">
        <v>4080</v>
      </c>
      <c r="I2856" s="6">
        <v>1902.2142856375078</v>
      </c>
      <c r="J2856" s="5">
        <v>14400</v>
      </c>
      <c r="K2856" s="6">
        <f t="shared" si="115"/>
        <v>2.1448687620557059</v>
      </c>
    </row>
    <row r="2857" spans="1:11" hidden="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H2857" s="5">
        <v>740</v>
      </c>
      <c r="I2857" s="6">
        <v>634.05652706821195</v>
      </c>
      <c r="J2857" s="5">
        <v>4800</v>
      </c>
      <c r="K2857" s="6">
        <f t="shared" si="115"/>
        <v>1.1670883721072247</v>
      </c>
    </row>
    <row r="2858" spans="1:11" hidden="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H2858" s="5">
        <v>7720</v>
      </c>
      <c r="I2858" s="6">
        <v>4487.9999999102474</v>
      </c>
      <c r="J2858" s="5">
        <v>31740</v>
      </c>
      <c r="K2858" s="6">
        <f t="shared" si="115"/>
        <v>1.7201426025299438</v>
      </c>
    </row>
    <row r="2859" spans="1:11" hidden="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H2859" s="5">
        <v>3075</v>
      </c>
      <c r="I2859" s="6">
        <v>1702.8</v>
      </c>
      <c r="J2859" s="5">
        <v>12900</v>
      </c>
      <c r="K2859" s="6">
        <f t="shared" si="115"/>
        <v>1.8058491895701199</v>
      </c>
    </row>
    <row r="2860" spans="1:11" hidden="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H2860" s="5">
        <v>3300</v>
      </c>
      <c r="I2860" s="6">
        <v>3009.6</v>
      </c>
      <c r="J2860" s="5">
        <v>22800</v>
      </c>
      <c r="K2860" s="6">
        <f t="shared" si="115"/>
        <v>1.0964912280701755</v>
      </c>
    </row>
    <row r="2861" spans="1:11" hidden="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H2861" s="5">
        <v>2520</v>
      </c>
      <c r="I2861" s="6">
        <v>1386</v>
      </c>
      <c r="J2861" s="5">
        <v>10500</v>
      </c>
      <c r="K2861" s="6">
        <f t="shared" si="115"/>
        <v>1.8181818181818181</v>
      </c>
    </row>
    <row r="2862" spans="1:11" hidden="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H2862" s="5">
        <v>2700</v>
      </c>
      <c r="I2862" s="6">
        <v>1386</v>
      </c>
      <c r="J2862" s="5">
        <v>10500</v>
      </c>
      <c r="K2862" s="6">
        <f t="shared" si="115"/>
        <v>1.948051948051948</v>
      </c>
    </row>
    <row r="2863" spans="1:11" hidden="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H2863" s="5">
        <v>1550</v>
      </c>
      <c r="I2863" s="6">
        <v>1029.5999999999999</v>
      </c>
      <c r="J2863" s="5">
        <v>7800</v>
      </c>
      <c r="K2863" s="6">
        <f t="shared" si="115"/>
        <v>1.5054390054390057</v>
      </c>
    </row>
    <row r="2864" spans="1:11" hidden="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H2864" s="5">
        <v>3525</v>
      </c>
      <c r="I2864" s="6">
        <v>2653.2</v>
      </c>
      <c r="J2864" s="5">
        <v>20100</v>
      </c>
      <c r="K2864" s="6">
        <f t="shared" ref="K2864:K2926" si="117">+H2864/I2864</f>
        <v>1.3285843509724107</v>
      </c>
    </row>
    <row r="2865" spans="1:11" hidden="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H2865" s="5">
        <v>3690</v>
      </c>
      <c r="I2865" s="6">
        <v>1768.8</v>
      </c>
      <c r="J2865" s="5">
        <v>13400</v>
      </c>
      <c r="K2865" s="6">
        <f t="shared" si="117"/>
        <v>2.0861601085481682</v>
      </c>
    </row>
    <row r="2866" spans="1:11" hidden="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H2866" s="5">
        <v>1560</v>
      </c>
      <c r="I2866" s="6">
        <v>1029.5999999999999</v>
      </c>
      <c r="J2866" s="5">
        <v>7800</v>
      </c>
      <c r="K2866" s="6">
        <f t="shared" si="117"/>
        <v>1.5151515151515154</v>
      </c>
    </row>
    <row r="2867" spans="1:11" hidden="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H2867" s="5">
        <v>2950</v>
      </c>
      <c r="I2867" s="6">
        <v>1346.4</v>
      </c>
      <c r="J2867" s="5">
        <v>10200</v>
      </c>
      <c r="K2867" s="6">
        <f t="shared" si="117"/>
        <v>2.191027926322044</v>
      </c>
    </row>
    <row r="2868" spans="1:11" hidden="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H2868" s="5">
        <v>780</v>
      </c>
      <c r="I2868" s="6">
        <v>440.18999062500001</v>
      </c>
      <c r="J2868" s="5">
        <v>3200</v>
      </c>
      <c r="K2868" s="6">
        <f t="shared" si="117"/>
        <v>1.7719621450104388</v>
      </c>
    </row>
    <row r="2869" spans="1:11" hidden="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H2869" s="5">
        <v>1825</v>
      </c>
      <c r="I2869" s="6">
        <v>880.38</v>
      </c>
      <c r="J2869" s="5">
        <v>6400</v>
      </c>
      <c r="K2869" s="6">
        <f t="shared" si="117"/>
        <v>2.0729684908789388</v>
      </c>
    </row>
    <row r="2870" spans="1:11" hidden="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H2870" s="5">
        <v>500</v>
      </c>
      <c r="I2870" s="6">
        <v>330.14249999999998</v>
      </c>
      <c r="J2870" s="5">
        <v>2400</v>
      </c>
      <c r="K2870" s="6">
        <f t="shared" si="117"/>
        <v>1.5144975275827863</v>
      </c>
    </row>
    <row r="2871" spans="1:11" hidden="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H2871" s="5">
        <v>4575</v>
      </c>
      <c r="I2871" s="6">
        <v>1650.7125000000001</v>
      </c>
      <c r="J2871" s="5">
        <v>12000</v>
      </c>
      <c r="K2871" s="6">
        <f t="shared" si="117"/>
        <v>2.7715304754764984</v>
      </c>
    </row>
    <row r="2872" spans="1:11" hidden="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H2872" s="5">
        <v>2080</v>
      </c>
      <c r="I2872" s="6">
        <v>1287.0000000000018</v>
      </c>
      <c r="J2872" s="5">
        <v>9400</v>
      </c>
      <c r="K2872" s="6">
        <f t="shared" si="117"/>
        <v>1.6161616161616139</v>
      </c>
    </row>
    <row r="2873" spans="1:11" hidden="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H2873" s="5">
        <v>5950</v>
      </c>
      <c r="I2873" s="6">
        <v>2641.14</v>
      </c>
      <c r="J2873" s="5">
        <v>19200</v>
      </c>
      <c r="K2873" s="6">
        <f t="shared" si="117"/>
        <v>2.2528150722793945</v>
      </c>
    </row>
    <row r="2874" spans="1:11" hidden="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H2874" s="5">
        <v>2370</v>
      </c>
      <c r="I2874" s="6">
        <v>880.38</v>
      </c>
      <c r="J2874" s="5">
        <v>6400</v>
      </c>
      <c r="K2874" s="6">
        <f t="shared" si="117"/>
        <v>2.6920193552784024</v>
      </c>
    </row>
    <row r="2875" spans="1:11" hidden="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H2875" s="5">
        <v>2380</v>
      </c>
      <c r="I2875" s="6">
        <v>880.38</v>
      </c>
      <c r="J2875" s="5">
        <v>6400</v>
      </c>
      <c r="K2875" s="6">
        <f t="shared" si="117"/>
        <v>2.7033780867352735</v>
      </c>
    </row>
    <row r="2876" spans="1:11" hidden="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H2876" s="5">
        <v>550</v>
      </c>
      <c r="I2876" s="6">
        <v>1755.4</v>
      </c>
      <c r="J2876" s="5">
        <v>12800</v>
      </c>
      <c r="K2876" s="6">
        <f t="shared" si="117"/>
        <v>0.31331890167483195</v>
      </c>
    </row>
    <row r="2877" spans="1:11" hidden="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H2877" s="5">
        <v>2940</v>
      </c>
      <c r="I2877" s="6">
        <v>2413.6749943750001</v>
      </c>
      <c r="J2877" s="5">
        <v>17600</v>
      </c>
      <c r="K2877" s="6">
        <f t="shared" si="117"/>
        <v>1.2180596007546935</v>
      </c>
    </row>
    <row r="2878" spans="1:11" hidden="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H2878" s="5">
        <v>1200</v>
      </c>
      <c r="I2878" s="6">
        <v>1645.6875</v>
      </c>
      <c r="J2878" s="5">
        <v>12000</v>
      </c>
      <c r="K2878" s="6">
        <f t="shared" si="117"/>
        <v>0.72917853480688166</v>
      </c>
    </row>
    <row r="2879" spans="1:11" hidden="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H2879" s="5">
        <v>700</v>
      </c>
      <c r="I2879" s="6">
        <v>726.32013058333712</v>
      </c>
      <c r="J2879" s="5">
        <v>5712</v>
      </c>
      <c r="K2879" s="6">
        <f t="shared" si="117"/>
        <v>0.96376235564034507</v>
      </c>
    </row>
    <row r="2880" spans="1:11" hidden="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H2880" s="5">
        <v>2070</v>
      </c>
      <c r="I2880" s="6">
        <v>924.39958333667107</v>
      </c>
      <c r="J2880" s="5">
        <v>6720</v>
      </c>
      <c r="K2880" s="6">
        <f t="shared" si="117"/>
        <v>2.2392913598340463</v>
      </c>
    </row>
    <row r="2881" spans="1:11" hidden="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H2881" s="5">
        <v>100</v>
      </c>
      <c r="I2881" s="6">
        <v>1122.485208333339</v>
      </c>
      <c r="J2881" s="5">
        <v>8160</v>
      </c>
      <c r="K2881" s="6">
        <f t="shared" si="117"/>
        <v>8.9088033639641059E-2</v>
      </c>
    </row>
    <row r="2882" spans="1:11" hidden="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H2882" s="5">
        <v>240</v>
      </c>
      <c r="I2882" s="6">
        <v>396.17125000000198</v>
      </c>
      <c r="J2882" s="5">
        <v>2880</v>
      </c>
      <c r="K2882" s="6">
        <f t="shared" si="117"/>
        <v>0.60579862874955914</v>
      </c>
    </row>
    <row r="2883" spans="1:11" hidden="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H2883" s="5">
        <v>2160</v>
      </c>
      <c r="I2883" s="6">
        <v>1535.9749999999999</v>
      </c>
      <c r="J2883" s="5">
        <v>11200</v>
      </c>
      <c r="K2883" s="6">
        <f t="shared" si="117"/>
        <v>1.4062728885561289</v>
      </c>
    </row>
    <row r="2884" spans="1:11" hidden="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H2884" s="5">
        <v>2360</v>
      </c>
      <c r="I2884" s="6">
        <v>1535.9749999999999</v>
      </c>
      <c r="J2884" s="5">
        <v>11200</v>
      </c>
      <c r="K2884" s="6">
        <f t="shared" si="117"/>
        <v>1.536483341200215</v>
      </c>
    </row>
    <row r="2885" spans="1:11" hidden="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H2885" s="5">
        <v>810</v>
      </c>
      <c r="I2885" s="6">
        <v>594.25687500000299</v>
      </c>
      <c r="J2885" s="5">
        <v>4320</v>
      </c>
      <c r="K2885" s="6">
        <f t="shared" si="117"/>
        <v>1.3630469146865081</v>
      </c>
    </row>
    <row r="2886" spans="1:11" hidden="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H2886" s="5">
        <v>4460</v>
      </c>
      <c r="I2886" s="6">
        <v>2575.1131250013459</v>
      </c>
      <c r="J2886" s="5">
        <v>18720</v>
      </c>
      <c r="K2886" s="6">
        <f t="shared" si="117"/>
        <v>1.7319627462959202</v>
      </c>
    </row>
    <row r="2887" spans="1:11" hidden="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H2887" s="5">
        <v>750</v>
      </c>
      <c r="I2887" s="6">
        <v>528.37931032368999</v>
      </c>
      <c r="J2887" s="5">
        <v>4000</v>
      </c>
      <c r="K2887" s="6">
        <f t="shared" ref="K2887:K2893" si="118">IFERROR(H2887/I2887,"")</f>
        <v>1.4194348365770475</v>
      </c>
    </row>
    <row r="2888" spans="1:11" hidden="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H2888" s="5">
        <v>3400</v>
      </c>
      <c r="I2888" s="6">
        <v>2272.0310343918732</v>
      </c>
      <c r="J2888" s="5">
        <v>17200</v>
      </c>
      <c r="K2888" s="6">
        <f t="shared" si="118"/>
        <v>1.4964584323602941</v>
      </c>
    </row>
    <row r="2889" spans="1:11" hidden="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H2889" s="5">
        <v>1080</v>
      </c>
      <c r="I2889" s="6">
        <v>1162.4344827121224</v>
      </c>
      <c r="J2889" s="5">
        <v>8800</v>
      </c>
      <c r="K2889" s="6">
        <f t="shared" si="118"/>
        <v>0.92908462030497307</v>
      </c>
    </row>
    <row r="2890" spans="1:11" hidden="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H2890" s="5">
        <v>910</v>
      </c>
      <c r="I2890" s="6">
        <v>1162.4344827121181</v>
      </c>
      <c r="J2890" s="5">
        <v>8800</v>
      </c>
      <c r="K2890" s="6">
        <f t="shared" si="118"/>
        <v>0.78283981896067467</v>
      </c>
    </row>
    <row r="2891" spans="1:11" hidden="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H2891" s="5">
        <v>1380</v>
      </c>
      <c r="I2891" s="6">
        <v>1056.7586206473827</v>
      </c>
      <c r="J2891" s="5">
        <v>8000</v>
      </c>
      <c r="K2891" s="6">
        <f t="shared" si="118"/>
        <v>1.3058800496508804</v>
      </c>
    </row>
    <row r="2892" spans="1:11" hidden="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H2892" s="5">
        <v>1260</v>
      </c>
      <c r="I2892" s="6">
        <v>1109.596551679753</v>
      </c>
      <c r="J2892" s="5">
        <v>8400</v>
      </c>
      <c r="K2892" s="6">
        <f t="shared" si="118"/>
        <v>1.1355478692616339</v>
      </c>
    </row>
    <row r="2893" spans="1:11" hidden="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H2893" s="5">
        <v>2250</v>
      </c>
      <c r="I2893" s="6">
        <v>1902.1655171652881</v>
      </c>
      <c r="J2893" s="5">
        <v>14400</v>
      </c>
      <c r="K2893" s="6">
        <f t="shared" si="118"/>
        <v>1.1828623638142037</v>
      </c>
    </row>
    <row r="2894" spans="1:11" hidden="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H2894" s="5">
        <v>1000</v>
      </c>
      <c r="I2894" s="6">
        <v>951.10714281909407</v>
      </c>
      <c r="J2894" s="5">
        <v>7200</v>
      </c>
      <c r="K2894" s="6">
        <f t="shared" si="117"/>
        <v>1.0514062559092836</v>
      </c>
    </row>
    <row r="2895" spans="1:11" hidden="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H2895" s="5">
        <v>5400</v>
      </c>
      <c r="I2895" s="6">
        <v>3804.4285712763772</v>
      </c>
      <c r="J2895" s="5">
        <v>28800</v>
      </c>
      <c r="K2895" s="6">
        <f t="shared" si="117"/>
        <v>1.4193984454775326</v>
      </c>
    </row>
    <row r="2896" spans="1:11" hidden="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H2896" s="5">
        <v>5640</v>
      </c>
      <c r="I2896" s="6">
        <v>2641.8965516184649</v>
      </c>
      <c r="J2896" s="5">
        <v>20000</v>
      </c>
      <c r="K2896" s="6">
        <f t="shared" si="117"/>
        <v>2.1348299942118674</v>
      </c>
    </row>
    <row r="2897" spans="1:11" hidden="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H2897" s="5">
        <v>10500</v>
      </c>
      <c r="I2897" s="6">
        <v>3592.9793102010913</v>
      </c>
      <c r="J2897" s="5">
        <v>26044</v>
      </c>
      <c r="K2897" s="6">
        <f t="shared" si="117"/>
        <v>2.9223658400115688</v>
      </c>
    </row>
    <row r="2898" spans="1:11" hidden="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H2898" s="5">
        <v>2975</v>
      </c>
      <c r="I2898" s="6">
        <v>1268.1103447768633</v>
      </c>
      <c r="J2898" s="5">
        <v>9600</v>
      </c>
      <c r="K2898" s="6">
        <f t="shared" si="117"/>
        <v>2.3460103548981626</v>
      </c>
    </row>
    <row r="2899" spans="1:11" hidden="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H2899" s="5">
        <v>475</v>
      </c>
      <c r="I2899" s="6">
        <v>528.37931032368999</v>
      </c>
      <c r="J2899" s="5">
        <v>4000</v>
      </c>
      <c r="K2899" s="6">
        <f t="shared" si="117"/>
        <v>0.89897539649879676</v>
      </c>
    </row>
    <row r="2900" spans="1:11" hidden="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H2900" s="5">
        <v>1290</v>
      </c>
      <c r="I2900" s="6">
        <v>1162.4344827121247</v>
      </c>
      <c r="J2900" s="5">
        <v>8800</v>
      </c>
      <c r="K2900" s="6">
        <f t="shared" si="117"/>
        <v>1.109739963142049</v>
      </c>
    </row>
    <row r="2901" spans="1:11" hidden="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H2901" s="5">
        <v>960</v>
      </c>
      <c r="I2901" s="6">
        <v>528.3915024419166</v>
      </c>
      <c r="J2901" s="5">
        <v>4000</v>
      </c>
      <c r="K2901" s="6">
        <f t="shared" si="117"/>
        <v>1.8168346681644978</v>
      </c>
    </row>
    <row r="2902" spans="1:11" hidden="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H2902" s="5">
        <v>12900</v>
      </c>
      <c r="I2902" s="6">
        <v>3910.1071427007282</v>
      </c>
      <c r="J2902" s="5">
        <v>29260</v>
      </c>
      <c r="K2902" s="6">
        <f t="shared" si="117"/>
        <v>3.2991423327315559</v>
      </c>
    </row>
    <row r="2903" spans="1:11" hidden="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H2903" s="5">
        <v>2700</v>
      </c>
      <c r="I2903" s="6">
        <v>1902.2142856381945</v>
      </c>
      <c r="J2903" s="5">
        <v>14400</v>
      </c>
      <c r="K2903" s="6">
        <f t="shared" si="117"/>
        <v>1.4193984454775281</v>
      </c>
    </row>
    <row r="2904" spans="1:11" hidden="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H2904" s="5">
        <v>2880</v>
      </c>
      <c r="I2904" s="6">
        <v>1162.4642856677858</v>
      </c>
      <c r="J2904" s="5">
        <v>8800</v>
      </c>
      <c r="K2904" s="6">
        <f t="shared" si="117"/>
        <v>2.4774954684698667</v>
      </c>
    </row>
    <row r="2905" spans="1:11" hidden="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H2905" s="5">
        <v>540</v>
      </c>
      <c r="I2905" s="6">
        <v>317.03571427303262</v>
      </c>
      <c r="J2905" s="5">
        <v>2400</v>
      </c>
      <c r="K2905" s="6">
        <f t="shared" si="117"/>
        <v>1.7032781345730328</v>
      </c>
    </row>
    <row r="2906" spans="1:11" hidden="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H2906" s="5">
        <v>1175</v>
      </c>
      <c r="I2906" s="6">
        <v>951.10714281875391</v>
      </c>
      <c r="J2906" s="5">
        <v>7200</v>
      </c>
      <c r="K2906" s="6">
        <f t="shared" si="117"/>
        <v>1.2354023506938501</v>
      </c>
    </row>
    <row r="2907" spans="1:11" hidden="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H2907" s="5">
        <v>1075</v>
      </c>
      <c r="I2907" s="6">
        <v>898.26785710660101</v>
      </c>
      <c r="J2907" s="5">
        <v>6800</v>
      </c>
      <c r="K2907" s="6">
        <f t="shared" si="117"/>
        <v>1.1967477089324654</v>
      </c>
    </row>
    <row r="2908" spans="1:11" hidden="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H2908" s="5">
        <v>1400</v>
      </c>
      <c r="I2908" s="6">
        <v>1162.4642856673661</v>
      </c>
      <c r="J2908" s="5">
        <v>8800</v>
      </c>
      <c r="K2908" s="6">
        <f t="shared" si="117"/>
        <v>1.2043380749510646</v>
      </c>
    </row>
    <row r="2909" spans="1:11" hidden="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H2909" s="5">
        <v>1020</v>
      </c>
      <c r="I2909" s="6">
        <v>686.91071425798896</v>
      </c>
      <c r="J2909" s="5">
        <v>5200</v>
      </c>
      <c r="K2909" s="6">
        <f t="shared" si="117"/>
        <v>1.4849091429616423</v>
      </c>
    </row>
    <row r="2910" spans="1:11" hidden="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H2910" s="5">
        <v>2100</v>
      </c>
      <c r="I2910" s="6">
        <v>845.428571394752</v>
      </c>
      <c r="J2910" s="5">
        <v>6400</v>
      </c>
      <c r="K2910" s="6">
        <f t="shared" si="117"/>
        <v>2.4839472795856774</v>
      </c>
    </row>
    <row r="2911" spans="1:11" hidden="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H2911" s="5">
        <v>6475</v>
      </c>
      <c r="I2911" s="6">
        <v>3910.1071427007355</v>
      </c>
      <c r="J2911" s="5">
        <v>29600</v>
      </c>
      <c r="K2911" s="6">
        <f t="shared" si="117"/>
        <v>1.6559648530571152</v>
      </c>
    </row>
    <row r="2912" spans="1:11" hidden="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H2912" s="5">
        <v>4975</v>
      </c>
      <c r="I2912" s="6">
        <v>4015.7857141250793</v>
      </c>
      <c r="J2912" s="5">
        <v>30400</v>
      </c>
      <c r="K2912" s="6">
        <f t="shared" si="117"/>
        <v>1.2388609239036315</v>
      </c>
    </row>
    <row r="2913" spans="1:11" hidden="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H2913" s="5">
        <v>8580</v>
      </c>
      <c r="I2913" s="6">
        <v>2747.5751230427709</v>
      </c>
      <c r="J2913" s="5">
        <v>20800</v>
      </c>
      <c r="K2913" s="6">
        <f t="shared" si="117"/>
        <v>3.1227535611467383</v>
      </c>
    </row>
    <row r="2914" spans="1:11" hidden="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H2914" s="5">
        <v>1170</v>
      </c>
      <c r="I2914" s="6">
        <v>1056.75862064738</v>
      </c>
      <c r="J2914" s="5">
        <v>9600</v>
      </c>
      <c r="K2914" s="6">
        <f t="shared" si="117"/>
        <v>1.1071591725300971</v>
      </c>
    </row>
    <row r="2915" spans="1:11" hidden="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H2915" s="5">
        <v>0</v>
      </c>
      <c r="I2915" s="6">
        <v>317.02758619421581</v>
      </c>
      <c r="J2915" s="5">
        <v>2640</v>
      </c>
      <c r="K2915" s="6">
        <f t="shared" si="117"/>
        <v>0</v>
      </c>
    </row>
    <row r="2916" spans="1:11" hidden="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H2916" s="5">
        <v>0</v>
      </c>
      <c r="I2916" s="6">
        <v>52.837931032368999</v>
      </c>
      <c r="J2916" s="5">
        <v>440</v>
      </c>
      <c r="K2916" s="6">
        <f t="shared" si="117"/>
        <v>0</v>
      </c>
    </row>
    <row r="2917" spans="1:11" hidden="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H2917" s="5">
        <v>6390</v>
      </c>
      <c r="I2917" s="6">
        <v>3592.9793102011122</v>
      </c>
      <c r="J2917" s="5">
        <v>27820</v>
      </c>
      <c r="K2917" s="6">
        <f t="shared" si="117"/>
        <v>1.778468354064173</v>
      </c>
    </row>
    <row r="2918" spans="1:11" hidden="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H2918" s="5">
        <v>5310</v>
      </c>
      <c r="I2918" s="6">
        <v>1585.2222221588099</v>
      </c>
      <c r="J2918" s="5">
        <v>11490</v>
      </c>
      <c r="K2918" s="6">
        <f t="shared" si="117"/>
        <v>3.3496880915337282</v>
      </c>
    </row>
    <row r="2919" spans="1:11" hidden="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H2919" s="5">
        <v>3450</v>
      </c>
      <c r="I2919" s="6">
        <v>2219.311111022334</v>
      </c>
      <c r="J2919" s="5">
        <v>16800</v>
      </c>
      <c r="K2919" s="6">
        <f t="shared" si="117"/>
        <v>1.5545364428021742</v>
      </c>
    </row>
    <row r="2920" spans="1:11" hidden="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H2920" s="5">
        <v>2525</v>
      </c>
      <c r="I2920" s="6">
        <v>2959.0814813631118</v>
      </c>
      <c r="J2920" s="5">
        <v>22400</v>
      </c>
      <c r="K2920" s="6">
        <f t="shared" si="117"/>
        <v>0.85330533001641085</v>
      </c>
    </row>
    <row r="2921" spans="1:11" hidden="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H2921" s="5">
        <v>0</v>
      </c>
      <c r="I2921" s="6">
        <v>1796.5851851133182</v>
      </c>
      <c r="J2921" s="5">
        <v>13600</v>
      </c>
      <c r="K2921" s="6">
        <f t="shared" si="117"/>
        <v>0</v>
      </c>
    </row>
    <row r="2922" spans="1:11" hidden="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H2922" s="5">
        <v>1950</v>
      </c>
      <c r="I2922" s="6">
        <v>1912.3542857142861</v>
      </c>
      <c r="J2922" s="5">
        <v>16320</v>
      </c>
      <c r="K2922" s="6">
        <f t="shared" si="117"/>
        <v>1.0196855334636139</v>
      </c>
    </row>
    <row r="2923" spans="1:11" hidden="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H2923" s="5">
        <v>2010</v>
      </c>
      <c r="I2923" s="6">
        <v>2812.2857142428579</v>
      </c>
      <c r="J2923" s="5">
        <v>20000</v>
      </c>
      <c r="K2923" s="6">
        <f t="shared" si="117"/>
        <v>0.71472112162015711</v>
      </c>
    </row>
    <row r="2924" spans="1:11" hidden="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H2924" s="5">
        <v>750</v>
      </c>
      <c r="I2924" s="6">
        <v>1768.8376470588223</v>
      </c>
      <c r="J2924" s="5">
        <v>12800</v>
      </c>
      <c r="K2924" s="6">
        <f t="shared" si="117"/>
        <v>0.4240072576740328</v>
      </c>
    </row>
    <row r="2925" spans="1:11" hidden="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H2925" s="5">
        <v>3040</v>
      </c>
      <c r="I2925" s="6">
        <v>2263.7999998868127</v>
      </c>
      <c r="J2925" s="5">
        <v>17920</v>
      </c>
      <c r="K2925" s="6">
        <f t="shared" si="117"/>
        <v>1.3428748123297096</v>
      </c>
    </row>
    <row r="2926" spans="1:11" hidden="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H2926" s="5">
        <v>900</v>
      </c>
      <c r="I2926" s="6">
        <v>994.97117647058747</v>
      </c>
      <c r="J2926" s="5">
        <v>7200</v>
      </c>
      <c r="K2926" s="6">
        <f t="shared" si="117"/>
        <v>0.90454881637127005</v>
      </c>
    </row>
    <row r="2927" spans="1:11" hidden="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H2927" s="5">
        <v>900</v>
      </c>
      <c r="I2927" s="6">
        <v>994.97117647058747</v>
      </c>
      <c r="J2927" s="5">
        <v>7920</v>
      </c>
      <c r="K2927" s="6">
        <f t="shared" ref="K2927:K2990" si="120">+H2927/I2927</f>
        <v>0.90454881637127005</v>
      </c>
    </row>
    <row r="2928" spans="1:11" hidden="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H2928" s="5">
        <v>2400</v>
      </c>
      <c r="I2928" s="6">
        <v>2263.7999998868127</v>
      </c>
      <c r="J2928" s="5">
        <v>17920</v>
      </c>
      <c r="K2928" s="6">
        <f t="shared" si="120"/>
        <v>1.060164325523455</v>
      </c>
    </row>
    <row r="2929" spans="1:11" hidden="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H2929" s="5">
        <v>11400</v>
      </c>
      <c r="I2929" s="6">
        <v>6727.0499997982479</v>
      </c>
      <c r="J2929" s="5">
        <v>49210</v>
      </c>
      <c r="K2929" s="6">
        <f t="shared" si="120"/>
        <v>1.6946507013240424</v>
      </c>
    </row>
    <row r="2930" spans="1:11" hidden="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H2930" s="5">
        <v>990</v>
      </c>
      <c r="I2930" s="6">
        <v>994.95</v>
      </c>
      <c r="J2930" s="5">
        <v>7200</v>
      </c>
      <c r="K2930" s="6">
        <f t="shared" si="120"/>
        <v>0.99502487562189046</v>
      </c>
    </row>
    <row r="2931" spans="1:11" hidden="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H2931" s="5">
        <v>1550</v>
      </c>
      <c r="I2931" s="6">
        <v>831.6</v>
      </c>
      <c r="J2931" s="5">
        <v>6300</v>
      </c>
      <c r="K2931" s="6">
        <f t="shared" si="120"/>
        <v>1.8638768638768639</v>
      </c>
    </row>
    <row r="2932" spans="1:11" hidden="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H2932" s="5">
        <v>3775</v>
      </c>
      <c r="I2932" s="6">
        <v>1267.2</v>
      </c>
      <c r="J2932" s="5">
        <v>9600</v>
      </c>
      <c r="K2932" s="6">
        <f t="shared" si="120"/>
        <v>2.9790088383838382</v>
      </c>
    </row>
    <row r="2933" spans="1:11" hidden="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H2933" s="5">
        <v>660</v>
      </c>
      <c r="I2933" s="6">
        <v>316.8</v>
      </c>
      <c r="J2933" s="5">
        <v>2400</v>
      </c>
      <c r="K2933" s="6">
        <f t="shared" si="120"/>
        <v>2.083333333333333</v>
      </c>
    </row>
    <row r="2934" spans="1:11" hidden="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H2934" s="5">
        <v>9240</v>
      </c>
      <c r="I2934" s="6">
        <v>3603.6</v>
      </c>
      <c r="J2934" s="5">
        <v>27296</v>
      </c>
      <c r="K2934" s="6">
        <f t="shared" si="120"/>
        <v>2.5641025641025643</v>
      </c>
    </row>
    <row r="2935" spans="1:11" hidden="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H2935" s="5">
        <v>3700</v>
      </c>
      <c r="I2935" s="6">
        <v>3682.8</v>
      </c>
      <c r="J2935" s="5">
        <v>27900</v>
      </c>
      <c r="K2935" s="6">
        <f t="shared" si="120"/>
        <v>1.0046703595090691</v>
      </c>
    </row>
    <row r="2936" spans="1:11" hidden="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H2936" s="5">
        <v>2650</v>
      </c>
      <c r="I2936" s="6">
        <v>2376</v>
      </c>
      <c r="J2936" s="5">
        <v>18000</v>
      </c>
      <c r="K2936" s="6">
        <f t="shared" si="120"/>
        <v>1.1153198653198653</v>
      </c>
    </row>
    <row r="2937" spans="1:11" hidden="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H2937" s="5">
        <v>2070</v>
      </c>
      <c r="I2937" s="6">
        <v>950.4</v>
      </c>
      <c r="J2937" s="5">
        <v>7200</v>
      </c>
      <c r="K2937" s="6">
        <f t="shared" si="120"/>
        <v>2.1780303030303032</v>
      </c>
    </row>
    <row r="2938" spans="1:11" hidden="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H2938" s="5">
        <v>1650</v>
      </c>
      <c r="I2938" s="6">
        <v>1346.4</v>
      </c>
      <c r="J2938" s="5">
        <v>10200</v>
      </c>
      <c r="K2938" s="6">
        <f t="shared" si="120"/>
        <v>1.2254901960784312</v>
      </c>
    </row>
    <row r="2939" spans="1:11" hidden="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H2939" s="5">
        <v>5790</v>
      </c>
      <c r="I2939" s="6">
        <v>2851.2</v>
      </c>
      <c r="J2939" s="5">
        <v>21600</v>
      </c>
      <c r="K2939" s="6">
        <f t="shared" si="120"/>
        <v>2.0307239057239057</v>
      </c>
    </row>
    <row r="2940" spans="1:11" hidden="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H2940" s="5">
        <v>2275</v>
      </c>
      <c r="I2940" s="6">
        <v>2138.4</v>
      </c>
      <c r="J2940" s="5">
        <v>16200</v>
      </c>
      <c r="K2940" s="6">
        <f t="shared" si="120"/>
        <v>1.0638795361017583</v>
      </c>
    </row>
    <row r="2941" spans="1:11" hidden="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H2941" s="5">
        <v>1250</v>
      </c>
      <c r="I2941" s="6">
        <v>963.6</v>
      </c>
      <c r="J2941" s="5">
        <v>7570</v>
      </c>
      <c r="K2941" s="6">
        <f t="shared" si="120"/>
        <v>1.2972187629721876</v>
      </c>
    </row>
    <row r="2942" spans="1:11" hidden="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H2942" s="5">
        <v>6325</v>
      </c>
      <c r="I2942" s="6">
        <v>3168</v>
      </c>
      <c r="J2942" s="5">
        <v>24000</v>
      </c>
      <c r="K2942" s="6">
        <f t="shared" si="120"/>
        <v>1.9965277777777777</v>
      </c>
    </row>
    <row r="2943" spans="1:11" hidden="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H2943" s="5">
        <v>2580</v>
      </c>
      <c r="I2943" s="6">
        <v>1188</v>
      </c>
      <c r="J2943" s="5">
        <v>9000</v>
      </c>
      <c r="K2943" s="6">
        <f t="shared" si="120"/>
        <v>2.1717171717171717</v>
      </c>
    </row>
    <row r="2944" spans="1:11" hidden="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H2944" s="5">
        <v>3400</v>
      </c>
      <c r="I2944" s="6">
        <v>2732.4</v>
      </c>
      <c r="J2944" s="5">
        <v>20700</v>
      </c>
      <c r="K2944" s="6">
        <f t="shared" si="120"/>
        <v>1.244327331283853</v>
      </c>
    </row>
    <row r="2945" spans="1:11" hidden="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H2945" s="5">
        <v>1050</v>
      </c>
      <c r="I2945" s="6">
        <v>673.2</v>
      </c>
      <c r="J2945" s="5">
        <v>5100</v>
      </c>
      <c r="K2945" s="6">
        <f t="shared" si="120"/>
        <v>1.5597147950089125</v>
      </c>
    </row>
    <row r="2946" spans="1:11" hidden="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H2946" s="5">
        <v>1175</v>
      </c>
      <c r="I2946" s="6">
        <v>1100.4749999999999</v>
      </c>
      <c r="J2946" s="5">
        <v>8000</v>
      </c>
      <c r="K2946" s="6">
        <f t="shared" si="120"/>
        <v>1.0677207569458644</v>
      </c>
    </row>
    <row r="2947" spans="1:11" hidden="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H2947" s="5">
        <v>1975</v>
      </c>
      <c r="I2947" s="6">
        <v>1287</v>
      </c>
      <c r="J2947" s="5">
        <v>9400</v>
      </c>
      <c r="K2947" s="6">
        <f t="shared" si="120"/>
        <v>1.5345765345765345</v>
      </c>
    </row>
    <row r="2948" spans="1:11" hidden="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H2948" s="5">
        <v>5850</v>
      </c>
      <c r="I2948" s="6">
        <v>2641.14</v>
      </c>
      <c r="J2948" s="5">
        <v>19200</v>
      </c>
      <c r="K2948" s="6">
        <f t="shared" si="120"/>
        <v>2.2149526340898249</v>
      </c>
    </row>
    <row r="2949" spans="1:11" hidden="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H2949" s="5">
        <v>3090</v>
      </c>
      <c r="I2949" s="6">
        <v>2641.14</v>
      </c>
      <c r="J2949" s="5">
        <v>19200</v>
      </c>
      <c r="K2949" s="6">
        <f t="shared" si="120"/>
        <v>1.1699493400577023</v>
      </c>
    </row>
    <row r="2950" spans="1:11" hidden="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H2950" s="5">
        <v>3600</v>
      </c>
      <c r="I2950" s="6">
        <v>1430.6174906250001</v>
      </c>
      <c r="J2950" s="5">
        <v>10400</v>
      </c>
      <c r="K2950" s="6">
        <f t="shared" si="120"/>
        <v>2.5163959084739362</v>
      </c>
    </row>
    <row r="2951" spans="1:11" hidden="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H2951" s="5">
        <v>1080</v>
      </c>
      <c r="I2951" s="6">
        <v>1430.6175000000001</v>
      </c>
      <c r="J2951" s="5">
        <v>10400</v>
      </c>
      <c r="K2951" s="6">
        <f t="shared" si="120"/>
        <v>0.75491876759511189</v>
      </c>
    </row>
    <row r="2952" spans="1:11" hidden="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H2952" s="5">
        <v>3030</v>
      </c>
      <c r="I2952" s="6">
        <v>2861.2350000000001</v>
      </c>
      <c r="J2952" s="5">
        <v>20800</v>
      </c>
      <c r="K2952" s="6">
        <f t="shared" si="120"/>
        <v>1.0589832712098097</v>
      </c>
    </row>
    <row r="2953" spans="1:11" hidden="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H2953" s="5">
        <v>3525</v>
      </c>
      <c r="I2953" s="6">
        <v>3071.9505625000002</v>
      </c>
      <c r="J2953" s="5">
        <v>22400</v>
      </c>
      <c r="K2953" s="6">
        <f t="shared" si="120"/>
        <v>1.147479403812834</v>
      </c>
    </row>
    <row r="2954" spans="1:11" hidden="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H2954" s="5">
        <v>3900</v>
      </c>
      <c r="I2954" s="6">
        <v>1097.125</v>
      </c>
      <c r="J2954" s="5">
        <v>8000</v>
      </c>
      <c r="K2954" s="6">
        <f t="shared" si="120"/>
        <v>3.5547453571835481</v>
      </c>
    </row>
    <row r="2955" spans="1:11" hidden="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H2955" s="5">
        <v>4425</v>
      </c>
      <c r="I2955" s="6">
        <v>2852.5250000000001</v>
      </c>
      <c r="J2955" s="5">
        <v>20800</v>
      </c>
      <c r="K2955" s="6">
        <f t="shared" si="120"/>
        <v>1.5512572194809862</v>
      </c>
    </row>
    <row r="2956" spans="1:11" hidden="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H2956" s="5">
        <v>1860</v>
      </c>
      <c r="I2956" s="6">
        <v>2633.1</v>
      </c>
      <c r="J2956" s="5">
        <v>19200</v>
      </c>
      <c r="K2956" s="6">
        <f t="shared" si="120"/>
        <v>0.70639170559416664</v>
      </c>
    </row>
    <row r="2957" spans="1:11" hidden="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H2957" s="5">
        <v>1830</v>
      </c>
      <c r="I2957" s="6">
        <v>2633.1</v>
      </c>
      <c r="J2957" s="5">
        <v>19200</v>
      </c>
      <c r="K2957" s="6">
        <f t="shared" si="120"/>
        <v>0.69499829098780908</v>
      </c>
    </row>
    <row r="2958" spans="1:11" hidden="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H2958" s="5">
        <v>4800</v>
      </c>
      <c r="I2958" s="6">
        <v>2852.5250000000001</v>
      </c>
      <c r="J2958" s="5">
        <v>20800</v>
      </c>
      <c r="K2958" s="6">
        <f t="shared" si="120"/>
        <v>1.6827196957081882</v>
      </c>
    </row>
    <row r="2959" spans="1:11" hidden="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H2959" s="5">
        <v>4140</v>
      </c>
      <c r="I2959" s="6">
        <v>2852.5250000000001</v>
      </c>
      <c r="J2959" s="5">
        <v>20800</v>
      </c>
      <c r="K2959" s="6">
        <f t="shared" si="120"/>
        <v>1.4513457375483123</v>
      </c>
    </row>
    <row r="2960" spans="1:11" hidden="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H2960" s="5">
        <v>3000</v>
      </c>
      <c r="I2960" s="6">
        <v>3071.95</v>
      </c>
      <c r="J2960" s="5">
        <v>22400</v>
      </c>
      <c r="K2960" s="6">
        <f t="shared" si="120"/>
        <v>0.97657839483064512</v>
      </c>
    </row>
    <row r="2961" spans="1:11" hidden="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H2961" s="5">
        <v>2675</v>
      </c>
      <c r="I2961" s="6">
        <v>1645.6875</v>
      </c>
      <c r="J2961" s="5">
        <v>12000</v>
      </c>
      <c r="K2961" s="6">
        <f t="shared" si="120"/>
        <v>1.6254604838403404</v>
      </c>
    </row>
    <row r="2962" spans="1:11" hidden="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H2962" s="5">
        <v>7640</v>
      </c>
      <c r="I2962" s="6">
        <v>4121.4642855494085</v>
      </c>
      <c r="J2962" s="5">
        <v>31200</v>
      </c>
      <c r="K2962" s="6">
        <f t="shared" si="120"/>
        <v>1.8537101065723673</v>
      </c>
    </row>
    <row r="2963" spans="1:11" hidden="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H2963" s="5">
        <v>1395</v>
      </c>
      <c r="I2963" s="6">
        <v>1056.7857142434418</v>
      </c>
      <c r="J2963" s="5">
        <v>8000</v>
      </c>
      <c r="K2963" s="6">
        <f t="shared" si="120"/>
        <v>1.3200405542941007</v>
      </c>
    </row>
    <row r="2964" spans="1:11" hidden="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H2964" s="5">
        <v>5460</v>
      </c>
      <c r="I2964" s="6">
        <v>2641.9642856076484</v>
      </c>
      <c r="J2964" s="5">
        <v>19996</v>
      </c>
      <c r="K2964" s="6">
        <f t="shared" si="120"/>
        <v>2.066644136616028</v>
      </c>
    </row>
    <row r="2965" spans="1:11" hidden="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H2965" s="5">
        <v>1140</v>
      </c>
      <c r="I2965" s="6">
        <v>528.39285712153003</v>
      </c>
      <c r="J2965" s="5">
        <v>4000</v>
      </c>
      <c r="K2965" s="6">
        <f t="shared" si="120"/>
        <v>2.1574856371266211</v>
      </c>
    </row>
    <row r="2966" spans="1:11" hidden="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H2966" s="5">
        <v>3540</v>
      </c>
      <c r="I2966" s="6">
        <v>1902.2142856375078</v>
      </c>
      <c r="J2966" s="5">
        <v>14400</v>
      </c>
      <c r="K2966" s="6">
        <f t="shared" si="120"/>
        <v>1.8609890729600975</v>
      </c>
    </row>
    <row r="2967" spans="1:11" hidden="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H2967" s="5">
        <v>660</v>
      </c>
      <c r="I2967" s="6">
        <v>634.05652706821195</v>
      </c>
      <c r="J2967" s="5">
        <v>4800</v>
      </c>
      <c r="K2967" s="6">
        <f t="shared" si="120"/>
        <v>1.0409166562037411</v>
      </c>
    </row>
    <row r="2968" spans="1:11" hidden="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H2968" s="5">
        <v>6260</v>
      </c>
      <c r="I2968" s="6">
        <v>4487.9999999102474</v>
      </c>
      <c r="J2968" s="5">
        <v>31740</v>
      </c>
      <c r="K2968" s="6">
        <f t="shared" si="120"/>
        <v>1.3948306595644362</v>
      </c>
    </row>
    <row r="2969" spans="1:11" hidden="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H2969" s="5">
        <v>2525</v>
      </c>
      <c r="I2969" s="6">
        <v>1702.8</v>
      </c>
      <c r="J2969" s="5">
        <v>12900</v>
      </c>
      <c r="K2969" s="6">
        <f t="shared" si="120"/>
        <v>1.482851773549448</v>
      </c>
    </row>
    <row r="2970" spans="1:11" hidden="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H2970" s="5">
        <v>4220</v>
      </c>
      <c r="I2970" s="6">
        <v>3009.6</v>
      </c>
      <c r="J2970" s="5">
        <v>22800</v>
      </c>
      <c r="K2970" s="6">
        <f t="shared" si="120"/>
        <v>1.402179691653376</v>
      </c>
    </row>
    <row r="2971" spans="1:11" hidden="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H2971" s="5">
        <v>2700</v>
      </c>
      <c r="I2971" s="6">
        <v>1386</v>
      </c>
      <c r="J2971" s="5">
        <v>10500</v>
      </c>
      <c r="K2971" s="6">
        <f t="shared" si="120"/>
        <v>1.948051948051948</v>
      </c>
    </row>
    <row r="2972" spans="1:11" hidden="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H2972" s="5">
        <v>2490</v>
      </c>
      <c r="I2972" s="6">
        <v>1386</v>
      </c>
      <c r="J2972" s="5">
        <v>10500</v>
      </c>
      <c r="K2972" s="6">
        <f t="shared" si="120"/>
        <v>1.7965367965367964</v>
      </c>
    </row>
    <row r="2973" spans="1:11" hidden="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H2973" s="5">
        <v>1825</v>
      </c>
      <c r="I2973" s="6">
        <v>1029.5999999999999</v>
      </c>
      <c r="J2973" s="5">
        <v>7800</v>
      </c>
      <c r="K2973" s="6">
        <f t="shared" si="120"/>
        <v>1.7725330225330227</v>
      </c>
    </row>
    <row r="2974" spans="1:11" hidden="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H2974" s="5">
        <v>3875</v>
      </c>
      <c r="I2974" s="6">
        <v>2653.2</v>
      </c>
      <c r="J2974" s="5">
        <v>20100</v>
      </c>
      <c r="K2974" s="6">
        <f t="shared" si="120"/>
        <v>1.4605005276647069</v>
      </c>
    </row>
    <row r="2975" spans="1:11" hidden="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H2975" s="5">
        <v>3630</v>
      </c>
      <c r="I2975" s="6">
        <v>1768.8</v>
      </c>
      <c r="J2975" s="5">
        <v>13400</v>
      </c>
      <c r="K2975" s="6">
        <f t="shared" si="120"/>
        <v>2.0522388059701493</v>
      </c>
    </row>
    <row r="2976" spans="1:11" hidden="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H2976" s="5">
        <v>1545</v>
      </c>
      <c r="I2976" s="6">
        <v>1029.5999999999999</v>
      </c>
      <c r="J2976" s="5">
        <v>7800</v>
      </c>
      <c r="K2976" s="6">
        <f t="shared" si="120"/>
        <v>1.5005827505827507</v>
      </c>
    </row>
    <row r="2977" spans="1:11" hidden="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H2977" s="5">
        <v>2950</v>
      </c>
      <c r="I2977" s="6">
        <v>1346.4</v>
      </c>
      <c r="J2977" s="5">
        <v>10200</v>
      </c>
      <c r="K2977" s="6">
        <f t="shared" si="120"/>
        <v>2.191027926322044</v>
      </c>
    </row>
    <row r="2978" spans="1:11" hidden="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H2978" s="5">
        <v>540</v>
      </c>
      <c r="I2978" s="6">
        <v>440.18999062500001</v>
      </c>
      <c r="J2978" s="5">
        <v>3200</v>
      </c>
      <c r="K2978" s="6">
        <f t="shared" si="120"/>
        <v>1.2267430234687653</v>
      </c>
    </row>
    <row r="2979" spans="1:11" hidden="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H2979" s="5">
        <v>1700</v>
      </c>
      <c r="I2979" s="6">
        <v>880.38</v>
      </c>
      <c r="J2979" s="5">
        <v>6400</v>
      </c>
      <c r="K2979" s="6">
        <f t="shared" si="120"/>
        <v>1.9309843476680524</v>
      </c>
    </row>
    <row r="2980" spans="1:11" hidden="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H2980" s="5">
        <v>650</v>
      </c>
      <c r="I2980" s="6">
        <v>330.14249999999998</v>
      </c>
      <c r="J2980" s="5">
        <v>2400</v>
      </c>
      <c r="K2980" s="6">
        <f t="shared" si="120"/>
        <v>1.9688467858576222</v>
      </c>
    </row>
    <row r="2981" spans="1:11" hidden="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H2981" s="5">
        <v>3925</v>
      </c>
      <c r="I2981" s="6">
        <v>1650.7125000000001</v>
      </c>
      <c r="J2981" s="5">
        <v>12000</v>
      </c>
      <c r="K2981" s="6">
        <f t="shared" si="120"/>
        <v>2.3777611183049743</v>
      </c>
    </row>
    <row r="2982" spans="1:11" hidden="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H2982" s="5">
        <v>1360</v>
      </c>
      <c r="I2982" s="6">
        <v>1287.0000000000018</v>
      </c>
      <c r="J2982" s="5">
        <v>9400</v>
      </c>
      <c r="K2982" s="6">
        <f t="shared" si="120"/>
        <v>1.0567210567210552</v>
      </c>
    </row>
    <row r="2983" spans="1:11" hidden="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H2983" s="5">
        <v>6075</v>
      </c>
      <c r="I2983" s="6">
        <v>2641.14</v>
      </c>
      <c r="J2983" s="5">
        <v>19200</v>
      </c>
      <c r="K2983" s="6">
        <f t="shared" si="120"/>
        <v>2.3001431200163567</v>
      </c>
    </row>
    <row r="2984" spans="1:11" hidden="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H2984" s="5">
        <v>1920</v>
      </c>
      <c r="I2984" s="6">
        <v>880.38</v>
      </c>
      <c r="J2984" s="5">
        <v>6400</v>
      </c>
      <c r="K2984" s="6">
        <f t="shared" si="120"/>
        <v>2.1808764397192122</v>
      </c>
    </row>
    <row r="2985" spans="1:11" hidden="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H2985" s="5">
        <v>1900</v>
      </c>
      <c r="I2985" s="6">
        <v>880.38</v>
      </c>
      <c r="J2985" s="5">
        <v>6400</v>
      </c>
      <c r="K2985" s="6">
        <f t="shared" si="120"/>
        <v>2.1581589768054705</v>
      </c>
    </row>
    <row r="2986" spans="1:11" hidden="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H2986" s="5">
        <v>620</v>
      </c>
      <c r="I2986" s="6">
        <v>1755.4</v>
      </c>
      <c r="J2986" s="5">
        <v>12800</v>
      </c>
      <c r="K2986" s="6">
        <f t="shared" si="120"/>
        <v>0.35319585279708327</v>
      </c>
    </row>
    <row r="2987" spans="1:11" hidden="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H2987" s="5">
        <v>2880</v>
      </c>
      <c r="I2987" s="6">
        <v>2413.6749943750001</v>
      </c>
      <c r="J2987" s="5">
        <v>17600</v>
      </c>
      <c r="K2987" s="6">
        <f t="shared" si="120"/>
        <v>1.1932012415556184</v>
      </c>
    </row>
    <row r="2988" spans="1:11" hidden="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H2988" s="5">
        <v>2180</v>
      </c>
      <c r="I2988" s="6">
        <v>1645.6875</v>
      </c>
      <c r="J2988" s="5">
        <v>12000</v>
      </c>
      <c r="K2988" s="6">
        <f t="shared" si="120"/>
        <v>1.3246743382325017</v>
      </c>
    </row>
    <row r="2989" spans="1:11" hidden="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H2989" s="5">
        <v>660</v>
      </c>
      <c r="I2989" s="6">
        <v>726.32013058333712</v>
      </c>
      <c r="J2989" s="5">
        <v>5712</v>
      </c>
      <c r="K2989" s="6">
        <f t="shared" si="120"/>
        <v>0.90869022103232533</v>
      </c>
    </row>
    <row r="2990" spans="1:11" hidden="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H2990" s="5">
        <v>2460</v>
      </c>
      <c r="I2990" s="6">
        <v>924.39958333667107</v>
      </c>
      <c r="J2990" s="5">
        <v>6720</v>
      </c>
      <c r="K2990" s="6">
        <f t="shared" si="120"/>
        <v>2.6611868334259681</v>
      </c>
    </row>
    <row r="2991" spans="1:11" hidden="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H2991" s="5">
        <v>160</v>
      </c>
      <c r="I2991" s="6">
        <v>1122.485208333339</v>
      </c>
      <c r="J2991" s="5">
        <v>8160</v>
      </c>
      <c r="K2991" s="6">
        <f t="shared" ref="K2991:K3053" si="122">+H2991/I2991</f>
        <v>0.14254085382342568</v>
      </c>
    </row>
    <row r="2992" spans="1:11" hidden="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H2992" s="5">
        <v>240</v>
      </c>
      <c r="I2992" s="6">
        <v>396.17125000000198</v>
      </c>
      <c r="J2992" s="5">
        <v>2880</v>
      </c>
      <c r="K2992" s="6">
        <f t="shared" si="122"/>
        <v>0.60579862874955914</v>
      </c>
    </row>
    <row r="2993" spans="1:11" hidden="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H2993" s="5">
        <v>1950</v>
      </c>
      <c r="I2993" s="6">
        <v>1535.9749999999999</v>
      </c>
      <c r="J2993" s="5">
        <v>11200</v>
      </c>
      <c r="K2993" s="6">
        <f t="shared" si="122"/>
        <v>1.2695519132798385</v>
      </c>
    </row>
    <row r="2994" spans="1:11" hidden="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H2994" s="5">
        <v>1880</v>
      </c>
      <c r="I2994" s="6">
        <v>1535.9749999999999</v>
      </c>
      <c r="J2994" s="5">
        <v>11200</v>
      </c>
      <c r="K2994" s="6">
        <f t="shared" si="122"/>
        <v>1.2239782548544085</v>
      </c>
    </row>
    <row r="2995" spans="1:11" hidden="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H2995" s="5">
        <v>690</v>
      </c>
      <c r="I2995" s="6">
        <v>594.25687500000299</v>
      </c>
      <c r="J2995" s="5">
        <v>4320</v>
      </c>
      <c r="K2995" s="6">
        <f t="shared" si="122"/>
        <v>1.1611140384366552</v>
      </c>
    </row>
    <row r="2996" spans="1:11" hidden="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H2996" s="5">
        <v>3580</v>
      </c>
      <c r="I2996" s="6">
        <v>2575.1131250013459</v>
      </c>
      <c r="J2996" s="5">
        <v>18720</v>
      </c>
      <c r="K2996" s="6">
        <f t="shared" si="122"/>
        <v>1.3902301864886533</v>
      </c>
    </row>
    <row r="2997" spans="1:11" hidden="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H2997" s="5">
        <v>1350</v>
      </c>
      <c r="I2997" s="6">
        <v>528.37931032368999</v>
      </c>
      <c r="J2997" s="5">
        <v>4000</v>
      </c>
      <c r="K2997" s="6">
        <f t="shared" ref="K2997:K3003" si="123">IFERROR(H2997/I2997,"")</f>
        <v>2.5549827058386856</v>
      </c>
    </row>
    <row r="2998" spans="1:11" hidden="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H2998" s="5">
        <v>4350</v>
      </c>
      <c r="I2998" s="6">
        <v>2272.0310343918732</v>
      </c>
      <c r="J2998" s="5">
        <v>17200</v>
      </c>
      <c r="K2998" s="6">
        <f t="shared" si="123"/>
        <v>1.9145865237550821</v>
      </c>
    </row>
    <row r="2999" spans="1:11" hidden="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H2999" s="5">
        <v>1260</v>
      </c>
      <c r="I2999" s="6">
        <v>1162.4344827121224</v>
      </c>
      <c r="J2999" s="5">
        <v>8800</v>
      </c>
      <c r="K2999" s="6">
        <f t="shared" si="123"/>
        <v>1.0839320570224686</v>
      </c>
    </row>
    <row r="3000" spans="1:11" hidden="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H3000" s="5">
        <v>1750</v>
      </c>
      <c r="I3000" s="6">
        <v>1162.4344827121181</v>
      </c>
      <c r="J3000" s="5">
        <v>8800</v>
      </c>
      <c r="K3000" s="6">
        <f t="shared" si="123"/>
        <v>1.5054611903089896</v>
      </c>
    </row>
    <row r="3001" spans="1:11" hidden="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H3001" s="5">
        <v>2010</v>
      </c>
      <c r="I3001" s="6">
        <v>1056.7586206473827</v>
      </c>
      <c r="J3001" s="5">
        <v>8000</v>
      </c>
      <c r="K3001" s="6">
        <f t="shared" si="123"/>
        <v>1.9020426810132387</v>
      </c>
    </row>
    <row r="3002" spans="1:11" hidden="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H3002" s="5">
        <v>1860</v>
      </c>
      <c r="I3002" s="6">
        <v>1109.596551679753</v>
      </c>
      <c r="J3002" s="5">
        <v>8400</v>
      </c>
      <c r="K3002" s="6">
        <f t="shared" si="123"/>
        <v>1.6762849498624119</v>
      </c>
    </row>
    <row r="3003" spans="1:11" hidden="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H3003" s="5">
        <v>2700</v>
      </c>
      <c r="I3003" s="6">
        <v>1902.1655171652881</v>
      </c>
      <c r="J3003" s="5">
        <v>14400</v>
      </c>
      <c r="K3003" s="6">
        <f t="shared" si="123"/>
        <v>1.4194348365770444</v>
      </c>
    </row>
    <row r="3004" spans="1:11" hidden="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H3004" s="5">
        <v>675</v>
      </c>
      <c r="I3004" s="6">
        <v>951.10714281909407</v>
      </c>
      <c r="J3004" s="5">
        <v>7200</v>
      </c>
      <c r="K3004" s="6">
        <f t="shared" si="122"/>
        <v>0.70969922273876651</v>
      </c>
    </row>
    <row r="3005" spans="1:11" hidden="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H3005" s="5">
        <v>7140</v>
      </c>
      <c r="I3005" s="6">
        <v>3804.4285712763772</v>
      </c>
      <c r="J3005" s="5">
        <v>28800</v>
      </c>
      <c r="K3005" s="6">
        <f t="shared" si="122"/>
        <v>1.8767601667980709</v>
      </c>
    </row>
    <row r="3006" spans="1:11" hidden="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H3006" s="5">
        <v>7080</v>
      </c>
      <c r="I3006" s="6">
        <v>2641.8965516184649</v>
      </c>
      <c r="J3006" s="5">
        <v>20000</v>
      </c>
      <c r="K3006" s="6">
        <f t="shared" si="122"/>
        <v>2.6798929714574506</v>
      </c>
    </row>
    <row r="3007" spans="1:11" hidden="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H3007" s="5">
        <v>16980</v>
      </c>
      <c r="I3007" s="6">
        <v>3592.9793102010913</v>
      </c>
      <c r="J3007" s="5">
        <v>26044</v>
      </c>
      <c r="K3007" s="6">
        <f t="shared" si="122"/>
        <v>4.7258830441329946</v>
      </c>
    </row>
    <row r="3008" spans="1:11" hidden="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H3008" s="5">
        <v>2125</v>
      </c>
      <c r="I3008" s="6">
        <v>1268.1103447768633</v>
      </c>
      <c r="J3008" s="5">
        <v>9600</v>
      </c>
      <c r="K3008" s="6">
        <f t="shared" si="122"/>
        <v>1.675721682070116</v>
      </c>
    </row>
    <row r="3009" spans="1:11" hidden="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H3009" s="5">
        <v>625</v>
      </c>
      <c r="I3009" s="6">
        <v>528.37931032368999</v>
      </c>
      <c r="J3009" s="5">
        <v>4000</v>
      </c>
      <c r="K3009" s="6">
        <f t="shared" si="122"/>
        <v>1.1828623638142064</v>
      </c>
    </row>
    <row r="3010" spans="1:11" hidden="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H3010" s="5">
        <v>1650</v>
      </c>
      <c r="I3010" s="6">
        <v>1162.4344827121247</v>
      </c>
      <c r="J3010" s="5">
        <v>8800</v>
      </c>
      <c r="K3010" s="6">
        <f t="shared" si="122"/>
        <v>1.4194348365770393</v>
      </c>
    </row>
    <row r="3011" spans="1:11" hidden="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H3011" s="5">
        <v>960</v>
      </c>
      <c r="I3011" s="6">
        <v>528.3915024419166</v>
      </c>
      <c r="J3011" s="5">
        <v>4000</v>
      </c>
      <c r="K3011" s="6">
        <f t="shared" si="122"/>
        <v>1.8168346681644978</v>
      </c>
    </row>
    <row r="3012" spans="1:11" hidden="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H3012" s="5">
        <v>19530</v>
      </c>
      <c r="I3012" s="6">
        <v>3910.1071427007282</v>
      </c>
      <c r="J3012" s="5">
        <v>29260</v>
      </c>
      <c r="K3012" s="6">
        <f t="shared" si="122"/>
        <v>4.994748043274984</v>
      </c>
    </row>
    <row r="3013" spans="1:11" hidden="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H3013" s="5">
        <v>2200</v>
      </c>
      <c r="I3013" s="6">
        <v>1902.2142856381945</v>
      </c>
      <c r="J3013" s="5">
        <v>14400</v>
      </c>
      <c r="K3013" s="6">
        <f t="shared" si="122"/>
        <v>1.1565468815002082</v>
      </c>
    </row>
    <row r="3014" spans="1:11" hidden="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H3014" s="5">
        <v>3750</v>
      </c>
      <c r="I3014" s="6">
        <v>1162.4642856677858</v>
      </c>
      <c r="J3014" s="5">
        <v>8800</v>
      </c>
      <c r="K3014" s="6">
        <f t="shared" si="122"/>
        <v>3.2259055579034723</v>
      </c>
    </row>
    <row r="3015" spans="1:11" hidden="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H3015" s="5">
        <v>510</v>
      </c>
      <c r="I3015" s="6">
        <v>317.03571427303262</v>
      </c>
      <c r="J3015" s="5">
        <v>2400</v>
      </c>
      <c r="K3015" s="6">
        <f t="shared" si="122"/>
        <v>1.6086515715411975</v>
      </c>
    </row>
    <row r="3016" spans="1:11" hidden="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H3016" s="5">
        <v>1075</v>
      </c>
      <c r="I3016" s="6">
        <v>951.10714281875391</v>
      </c>
      <c r="J3016" s="5">
        <v>7200</v>
      </c>
      <c r="K3016" s="6">
        <f t="shared" si="122"/>
        <v>1.1302617251028841</v>
      </c>
    </row>
    <row r="3017" spans="1:11" hidden="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H3017" s="5">
        <v>1225</v>
      </c>
      <c r="I3017" s="6">
        <v>898.26785710660101</v>
      </c>
      <c r="J3017" s="5">
        <v>6800</v>
      </c>
      <c r="K3017" s="6">
        <f t="shared" si="122"/>
        <v>1.3637357613416468</v>
      </c>
    </row>
    <row r="3018" spans="1:11" hidden="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H3018" s="5">
        <v>1700</v>
      </c>
      <c r="I3018" s="6">
        <v>1162.4642856673661</v>
      </c>
      <c r="J3018" s="5">
        <v>8800</v>
      </c>
      <c r="K3018" s="6">
        <f t="shared" si="122"/>
        <v>1.4624105195834354</v>
      </c>
    </row>
    <row r="3019" spans="1:11" hidden="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H3019" s="5">
        <v>1050</v>
      </c>
      <c r="I3019" s="6">
        <v>686.91071425798896</v>
      </c>
      <c r="J3019" s="5">
        <v>5200</v>
      </c>
      <c r="K3019" s="6">
        <f t="shared" si="122"/>
        <v>1.5285829412840437</v>
      </c>
    </row>
    <row r="3020" spans="1:11" hidden="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H3020" s="5">
        <v>2425</v>
      </c>
      <c r="I3020" s="6">
        <v>845.428571394752</v>
      </c>
      <c r="J3020" s="5">
        <v>6400</v>
      </c>
      <c r="K3020" s="6">
        <f t="shared" si="122"/>
        <v>2.8683676919025087</v>
      </c>
    </row>
    <row r="3021" spans="1:11" hidden="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H3021" s="5">
        <v>5025</v>
      </c>
      <c r="I3021" s="6">
        <v>3910.1071427007355</v>
      </c>
      <c r="J3021" s="5">
        <v>29600</v>
      </c>
      <c r="K3021" s="6">
        <f t="shared" si="122"/>
        <v>1.2851310249593828</v>
      </c>
    </row>
    <row r="3022" spans="1:11" hidden="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H3022" s="5">
        <v>5550</v>
      </c>
      <c r="I3022" s="6">
        <v>4015.7857141250793</v>
      </c>
      <c r="J3022" s="5">
        <v>30400</v>
      </c>
      <c r="K3022" s="6">
        <f t="shared" si="122"/>
        <v>1.3820458548070662</v>
      </c>
    </row>
    <row r="3023" spans="1:11" hidden="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H3023" s="5">
        <v>6450</v>
      </c>
      <c r="I3023" s="6">
        <v>2747.5751230427709</v>
      </c>
      <c r="J3023" s="5">
        <v>20800</v>
      </c>
      <c r="K3023" s="6">
        <f t="shared" si="122"/>
        <v>2.3475245302326879</v>
      </c>
    </row>
    <row r="3024" spans="1:11" hidden="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H3024" s="5">
        <v>1080</v>
      </c>
      <c r="I3024" s="6">
        <v>1056.75862064738</v>
      </c>
      <c r="J3024" s="5">
        <v>9600</v>
      </c>
      <c r="K3024" s="6">
        <f t="shared" si="122"/>
        <v>1.0219930823354741</v>
      </c>
    </row>
    <row r="3025" spans="1:11" hidden="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H3025" s="5">
        <v>0</v>
      </c>
      <c r="I3025" s="6">
        <v>317.02758619421581</v>
      </c>
      <c r="J3025" s="5">
        <v>2640</v>
      </c>
      <c r="K3025" s="6">
        <f t="shared" si="122"/>
        <v>0</v>
      </c>
    </row>
    <row r="3026" spans="1:11" hidden="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H3026" s="5">
        <v>0</v>
      </c>
      <c r="I3026" s="6">
        <v>52.837931032368999</v>
      </c>
      <c r="J3026" s="5">
        <v>440</v>
      </c>
      <c r="K3026" s="6">
        <f t="shared" si="122"/>
        <v>0</v>
      </c>
    </row>
    <row r="3027" spans="1:11" hidden="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H3027" s="5">
        <v>7020</v>
      </c>
      <c r="I3027" s="6">
        <v>3592.9793102011122</v>
      </c>
      <c r="J3027" s="5">
        <v>27820</v>
      </c>
      <c r="K3027" s="6">
        <f t="shared" si="122"/>
        <v>1.9538103044648663</v>
      </c>
    </row>
    <row r="3028" spans="1:11" hidden="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H3028" s="5">
        <v>6750</v>
      </c>
      <c r="I3028" s="6">
        <v>1585.2222221588099</v>
      </c>
      <c r="J3028" s="5">
        <v>11490</v>
      </c>
      <c r="K3028" s="6">
        <f t="shared" si="122"/>
        <v>4.2580780824581295</v>
      </c>
    </row>
    <row r="3029" spans="1:11" hidden="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H3029" s="5">
        <v>5310</v>
      </c>
      <c r="I3029" s="6">
        <v>2219.311111022334</v>
      </c>
      <c r="J3029" s="5">
        <v>16800</v>
      </c>
      <c r="K3029" s="6">
        <f t="shared" si="122"/>
        <v>2.3926343510955204</v>
      </c>
    </row>
    <row r="3030" spans="1:11" hidden="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H3030" s="5">
        <v>3000</v>
      </c>
      <c r="I3030" s="6">
        <v>2959.0814813631118</v>
      </c>
      <c r="J3030" s="5">
        <v>22400</v>
      </c>
      <c r="K3030" s="6">
        <f t="shared" si="122"/>
        <v>1.0138281148709831</v>
      </c>
    </row>
    <row r="3031" spans="1:11" hidden="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H3031" s="5">
        <v>0</v>
      </c>
      <c r="I3031" s="6">
        <v>1796.5851851133182</v>
      </c>
      <c r="J3031" s="5">
        <v>13600</v>
      </c>
      <c r="K3031" s="6">
        <f t="shared" si="122"/>
        <v>0</v>
      </c>
    </row>
    <row r="3032" spans="1:11" hidden="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H3032" s="5">
        <v>2450</v>
      </c>
      <c r="I3032" s="6">
        <v>1912.3542857142861</v>
      </c>
      <c r="J3032" s="5">
        <v>16320</v>
      </c>
      <c r="K3032" s="6">
        <f t="shared" si="122"/>
        <v>1.2811433625568482</v>
      </c>
    </row>
    <row r="3033" spans="1:11" hidden="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H3033" s="5">
        <v>1740</v>
      </c>
      <c r="I3033" s="6">
        <v>2812.2857142428579</v>
      </c>
      <c r="J3033" s="5">
        <v>20000</v>
      </c>
      <c r="K3033" s="6">
        <f t="shared" si="122"/>
        <v>0.61871380677565835</v>
      </c>
    </row>
    <row r="3034" spans="1:11" hidden="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H3034" s="5">
        <v>1375</v>
      </c>
      <c r="I3034" s="6">
        <v>1768.8376470588223</v>
      </c>
      <c r="J3034" s="5">
        <v>12800</v>
      </c>
      <c r="K3034" s="6">
        <f t="shared" si="122"/>
        <v>0.77734663906906021</v>
      </c>
    </row>
    <row r="3035" spans="1:11" hidden="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H3035" s="5">
        <v>3320</v>
      </c>
      <c r="I3035" s="6">
        <v>2263.7999998868127</v>
      </c>
      <c r="J3035" s="5">
        <v>17920</v>
      </c>
      <c r="K3035" s="6">
        <f t="shared" si="122"/>
        <v>1.466560650307446</v>
      </c>
    </row>
    <row r="3036" spans="1:11" hidden="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H3036" s="5">
        <v>1410</v>
      </c>
      <c r="I3036" s="6">
        <v>994.97117647058747</v>
      </c>
      <c r="J3036" s="5">
        <v>7200</v>
      </c>
      <c r="K3036" s="6">
        <f t="shared" si="122"/>
        <v>1.4171264789816564</v>
      </c>
    </row>
    <row r="3037" spans="1:11" hidden="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H3037" s="5">
        <v>1110</v>
      </c>
      <c r="I3037" s="6">
        <v>994.97117647058747</v>
      </c>
      <c r="J3037" s="5">
        <v>7920</v>
      </c>
      <c r="K3037" s="6">
        <f t="shared" si="122"/>
        <v>1.1156102068578997</v>
      </c>
    </row>
    <row r="3038" spans="1:11" hidden="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H3038" s="5">
        <v>3125</v>
      </c>
      <c r="I3038" s="6">
        <v>2263.7999998868127</v>
      </c>
      <c r="J3038" s="5">
        <v>17920</v>
      </c>
      <c r="K3038" s="6">
        <f t="shared" si="122"/>
        <v>1.3804222988586652</v>
      </c>
    </row>
    <row r="3039" spans="1:11" hidden="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H3039" s="5">
        <v>15360</v>
      </c>
      <c r="I3039" s="6">
        <v>6727.0499997982479</v>
      </c>
      <c r="J3039" s="5">
        <v>49210</v>
      </c>
      <c r="K3039" s="6">
        <f t="shared" si="122"/>
        <v>2.2833188396787096</v>
      </c>
    </row>
    <row r="3040" spans="1:11" hidden="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H3040" s="5">
        <v>1380</v>
      </c>
      <c r="I3040" s="6">
        <v>994.95</v>
      </c>
      <c r="J3040" s="5">
        <v>7200</v>
      </c>
      <c r="K3040" s="6">
        <f t="shared" si="122"/>
        <v>1.3870043720789988</v>
      </c>
    </row>
    <row r="3041" spans="1:11" hidden="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H3041" s="5">
        <v>1700</v>
      </c>
      <c r="I3041" s="6">
        <v>831.6</v>
      </c>
      <c r="J3041" s="5">
        <v>6300</v>
      </c>
      <c r="K3041" s="6">
        <f t="shared" si="122"/>
        <v>2.044252044252044</v>
      </c>
    </row>
    <row r="3042" spans="1:11" hidden="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H3042" s="5">
        <v>2900</v>
      </c>
      <c r="I3042" s="6">
        <v>1267.2</v>
      </c>
      <c r="J3042" s="5">
        <v>9600</v>
      </c>
      <c r="K3042" s="6">
        <f t="shared" si="122"/>
        <v>2.2885101010101008</v>
      </c>
    </row>
    <row r="3043" spans="1:11" hidden="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H3043" s="5">
        <v>630</v>
      </c>
      <c r="I3043" s="6">
        <v>316.8</v>
      </c>
      <c r="J3043" s="5">
        <v>2400</v>
      </c>
      <c r="K3043" s="6">
        <f t="shared" si="122"/>
        <v>1.9886363636363635</v>
      </c>
    </row>
    <row r="3044" spans="1:11" hidden="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H3044" s="5">
        <v>9690</v>
      </c>
      <c r="I3044" s="6">
        <v>3603.6</v>
      </c>
      <c r="J3044" s="5">
        <v>27296</v>
      </c>
      <c r="K3044" s="6">
        <f t="shared" si="122"/>
        <v>2.6889776889776891</v>
      </c>
    </row>
    <row r="3045" spans="1:11" hidden="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H3045" s="5">
        <v>4950</v>
      </c>
      <c r="I3045" s="6">
        <v>3682.8</v>
      </c>
      <c r="J3045" s="5">
        <v>27900</v>
      </c>
      <c r="K3045" s="6">
        <f t="shared" si="122"/>
        <v>1.3440860215053763</v>
      </c>
    </row>
    <row r="3046" spans="1:11" hidden="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H3046" s="5">
        <v>3175</v>
      </c>
      <c r="I3046" s="6">
        <v>2376</v>
      </c>
      <c r="J3046" s="5">
        <v>18000</v>
      </c>
      <c r="K3046" s="6">
        <f t="shared" si="122"/>
        <v>1.3362794612794613</v>
      </c>
    </row>
    <row r="3047" spans="1:11" hidden="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H3047" s="5">
        <v>2040</v>
      </c>
      <c r="I3047" s="6">
        <v>950.4</v>
      </c>
      <c r="J3047" s="5">
        <v>7200</v>
      </c>
      <c r="K3047" s="6">
        <f t="shared" si="122"/>
        <v>2.1464646464646466</v>
      </c>
    </row>
    <row r="3048" spans="1:11" hidden="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H3048" s="5">
        <v>2625</v>
      </c>
      <c r="I3048" s="6">
        <v>1346.4</v>
      </c>
      <c r="J3048" s="5">
        <v>10200</v>
      </c>
      <c r="K3048" s="6">
        <f t="shared" si="122"/>
        <v>1.9496434937611407</v>
      </c>
    </row>
    <row r="3049" spans="1:11" hidden="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H3049" s="5">
        <v>7110</v>
      </c>
      <c r="I3049" s="6">
        <v>2851.2</v>
      </c>
      <c r="J3049" s="5">
        <v>21600</v>
      </c>
      <c r="K3049" s="6">
        <f t="shared" si="122"/>
        <v>2.493686868686869</v>
      </c>
    </row>
    <row r="3050" spans="1:11" hidden="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H3050" s="5">
        <v>2925</v>
      </c>
      <c r="I3050" s="6">
        <v>2138.4</v>
      </c>
      <c r="J3050" s="5">
        <v>16200</v>
      </c>
      <c r="K3050" s="6">
        <f t="shared" si="122"/>
        <v>1.3678451178451179</v>
      </c>
    </row>
    <row r="3051" spans="1:11" hidden="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H3051" s="5">
        <v>1800</v>
      </c>
      <c r="I3051" s="6">
        <v>963.6</v>
      </c>
      <c r="J3051" s="5">
        <v>7570</v>
      </c>
      <c r="K3051" s="6">
        <f t="shared" si="122"/>
        <v>1.8679950186799501</v>
      </c>
    </row>
    <row r="3052" spans="1:11" hidden="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H3052" s="5">
        <v>7100</v>
      </c>
      <c r="I3052" s="6">
        <v>3168</v>
      </c>
      <c r="J3052" s="5">
        <v>24000</v>
      </c>
      <c r="K3052" s="6">
        <f t="shared" si="122"/>
        <v>2.2411616161616164</v>
      </c>
    </row>
    <row r="3053" spans="1:11" hidden="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H3053" s="5">
        <v>2700</v>
      </c>
      <c r="I3053" s="6">
        <v>1188</v>
      </c>
      <c r="J3053" s="5">
        <v>9000</v>
      </c>
      <c r="K3053" s="6">
        <f t="shared" si="122"/>
        <v>2.2727272727272729</v>
      </c>
    </row>
    <row r="3054" spans="1:11" hidden="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H3054" s="5">
        <v>4375</v>
      </c>
      <c r="I3054" s="6">
        <v>2732.4</v>
      </c>
      <c r="J3054" s="5">
        <v>20700</v>
      </c>
      <c r="K3054" s="6">
        <f t="shared" ref="K3054:K3106" si="125">+H3054/I3054</f>
        <v>1.6011564924608401</v>
      </c>
    </row>
    <row r="3055" spans="1:11" hidden="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H3055" s="5">
        <v>1290</v>
      </c>
      <c r="I3055" s="6">
        <v>673.2</v>
      </c>
      <c r="J3055" s="5">
        <v>5100</v>
      </c>
      <c r="K3055" s="6">
        <f t="shared" si="125"/>
        <v>1.9162210338680925</v>
      </c>
    </row>
    <row r="3056" spans="1:11" hidden="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H3056" s="5">
        <v>1300</v>
      </c>
      <c r="I3056" s="6">
        <v>1100.4749999999999</v>
      </c>
      <c r="J3056" s="5">
        <v>8000</v>
      </c>
      <c r="K3056" s="6">
        <f t="shared" si="125"/>
        <v>1.1813080715145734</v>
      </c>
    </row>
    <row r="3057" spans="1:11" hidden="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H3057" s="5">
        <v>2250</v>
      </c>
      <c r="I3057" s="6">
        <v>1287</v>
      </c>
      <c r="J3057" s="5">
        <v>9400</v>
      </c>
      <c r="K3057" s="6">
        <f t="shared" si="125"/>
        <v>1.7482517482517483</v>
      </c>
    </row>
    <row r="3058" spans="1:11" hidden="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H3058" s="5">
        <v>4350</v>
      </c>
      <c r="I3058" s="6">
        <v>2641.14</v>
      </c>
      <c r="J3058" s="5">
        <v>19200</v>
      </c>
      <c r="K3058" s="6">
        <f t="shared" si="125"/>
        <v>1.6470160612462801</v>
      </c>
    </row>
    <row r="3059" spans="1:11" hidden="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H3059" s="5">
        <v>4260</v>
      </c>
      <c r="I3059" s="6">
        <v>2641.14</v>
      </c>
      <c r="J3059" s="5">
        <v>19200</v>
      </c>
      <c r="K3059" s="6">
        <f t="shared" si="125"/>
        <v>1.6129398668756674</v>
      </c>
    </row>
    <row r="3060" spans="1:11" hidden="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H3060" s="5">
        <v>2760</v>
      </c>
      <c r="I3060" s="6">
        <v>1430.6174906250001</v>
      </c>
      <c r="J3060" s="5">
        <v>10400</v>
      </c>
      <c r="K3060" s="6">
        <f t="shared" si="125"/>
        <v>1.9292368631633512</v>
      </c>
    </row>
    <row r="3061" spans="1:11" hidden="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H3061" s="5">
        <v>1080</v>
      </c>
      <c r="I3061" s="6">
        <v>1430.6175000000001</v>
      </c>
      <c r="J3061" s="5">
        <v>10400</v>
      </c>
      <c r="K3061" s="6">
        <f t="shared" si="125"/>
        <v>0.75491876759511189</v>
      </c>
    </row>
    <row r="3062" spans="1:11" hidden="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H3062" s="5">
        <v>2310</v>
      </c>
      <c r="I3062" s="6">
        <v>2861.2350000000001</v>
      </c>
      <c r="J3062" s="5">
        <v>20800</v>
      </c>
      <c r="K3062" s="6">
        <f t="shared" si="125"/>
        <v>0.80734368201143913</v>
      </c>
    </row>
    <row r="3063" spans="1:11" hidden="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H3063" s="5">
        <v>4050</v>
      </c>
      <c r="I3063" s="6">
        <v>3071.9505625000002</v>
      </c>
      <c r="J3063" s="5">
        <v>22400</v>
      </c>
      <c r="K3063" s="6">
        <f t="shared" si="125"/>
        <v>1.3183805916147453</v>
      </c>
    </row>
    <row r="3064" spans="1:11" hidden="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H3064" s="5">
        <v>4975</v>
      </c>
      <c r="I3064" s="6">
        <v>1097.125</v>
      </c>
      <c r="J3064" s="5">
        <v>8000</v>
      </c>
      <c r="K3064" s="6">
        <f t="shared" si="125"/>
        <v>4.534579013330295</v>
      </c>
    </row>
    <row r="3065" spans="1:11" hidden="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H3065" s="5">
        <v>5875</v>
      </c>
      <c r="I3065" s="6">
        <v>2852.5250000000001</v>
      </c>
      <c r="J3065" s="5">
        <v>20800</v>
      </c>
      <c r="K3065" s="6">
        <f t="shared" si="125"/>
        <v>2.0595787942261681</v>
      </c>
    </row>
    <row r="3066" spans="1:11" hidden="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H3066" s="5">
        <v>2430</v>
      </c>
      <c r="I3066" s="6">
        <v>2633.1</v>
      </c>
      <c r="J3066" s="5">
        <v>19200</v>
      </c>
      <c r="K3066" s="6">
        <f t="shared" si="125"/>
        <v>0.92286658311495962</v>
      </c>
    </row>
    <row r="3067" spans="1:11" hidden="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H3067" s="5">
        <v>1890</v>
      </c>
      <c r="I3067" s="6">
        <v>2633.1</v>
      </c>
      <c r="J3067" s="5">
        <v>19200</v>
      </c>
      <c r="K3067" s="6">
        <f t="shared" si="125"/>
        <v>0.7177851202005241</v>
      </c>
    </row>
    <row r="3068" spans="1:11" hidden="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H3068" s="5">
        <v>3750</v>
      </c>
      <c r="I3068" s="6">
        <v>2852.5250000000001</v>
      </c>
      <c r="J3068" s="5">
        <v>20800</v>
      </c>
      <c r="K3068" s="6">
        <f t="shared" si="125"/>
        <v>1.3146247622720222</v>
      </c>
    </row>
    <row r="3069" spans="1:11" hidden="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H3069" s="5">
        <v>7260</v>
      </c>
      <c r="I3069" s="6">
        <v>2852.5250000000001</v>
      </c>
      <c r="J3069" s="5">
        <v>20800</v>
      </c>
      <c r="K3069" s="6">
        <f t="shared" si="125"/>
        <v>2.5451135397586349</v>
      </c>
    </row>
    <row r="3070" spans="1:11" hidden="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H3070" s="5">
        <v>3975</v>
      </c>
      <c r="I3070" s="6">
        <v>3071.95</v>
      </c>
      <c r="J3070" s="5">
        <v>22400</v>
      </c>
      <c r="K3070" s="6">
        <f t="shared" si="125"/>
        <v>1.2939663731506048</v>
      </c>
    </row>
    <row r="3071" spans="1:11" hidden="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H3071" s="5">
        <v>2200</v>
      </c>
      <c r="I3071" s="6">
        <v>1645.6875</v>
      </c>
      <c r="J3071" s="5">
        <v>12000</v>
      </c>
      <c r="K3071" s="6">
        <f t="shared" si="125"/>
        <v>1.3368273138126163</v>
      </c>
    </row>
    <row r="3072" spans="1:11" hidden="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H3072" s="5">
        <v>5340</v>
      </c>
      <c r="I3072" s="6">
        <v>4121.4642855494085</v>
      </c>
      <c r="J3072" s="5">
        <v>31200</v>
      </c>
      <c r="K3072" s="6">
        <f t="shared" si="125"/>
        <v>1.29565601689744</v>
      </c>
    </row>
    <row r="3073" spans="1:11" hidden="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H3073" s="5">
        <v>1605</v>
      </c>
      <c r="I3073" s="6">
        <v>1056.7857142434418</v>
      </c>
      <c r="J3073" s="5">
        <v>8000</v>
      </c>
      <c r="K3073" s="6">
        <f t="shared" si="125"/>
        <v>1.5187563366609544</v>
      </c>
    </row>
    <row r="3074" spans="1:11" hidden="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H3074" s="5">
        <v>4770</v>
      </c>
      <c r="I3074" s="6">
        <v>2641.9642856076484</v>
      </c>
      <c r="J3074" s="5">
        <v>19996</v>
      </c>
      <c r="K3074" s="6">
        <f t="shared" si="125"/>
        <v>1.8054748226480686</v>
      </c>
    </row>
    <row r="3075" spans="1:11" hidden="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H3075" s="5">
        <v>980</v>
      </c>
      <c r="I3075" s="6">
        <v>528.39285712153003</v>
      </c>
      <c r="J3075" s="5">
        <v>4000</v>
      </c>
      <c r="K3075" s="6">
        <f t="shared" si="125"/>
        <v>1.8546806354246395</v>
      </c>
    </row>
    <row r="3076" spans="1:11" hidden="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H3076" s="5">
        <v>3120</v>
      </c>
      <c r="I3076" s="6">
        <v>1902.2142856375078</v>
      </c>
      <c r="J3076" s="5">
        <v>14400</v>
      </c>
      <c r="K3076" s="6">
        <f t="shared" si="125"/>
        <v>1.6401937592190692</v>
      </c>
    </row>
    <row r="3077" spans="1:11" hidden="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H3077" s="5">
        <v>600</v>
      </c>
      <c r="I3077" s="6">
        <v>634.05652706821195</v>
      </c>
      <c r="J3077" s="5">
        <v>4800</v>
      </c>
      <c r="K3077" s="6">
        <f t="shared" si="125"/>
        <v>0.94628786927612818</v>
      </c>
    </row>
    <row r="3078" spans="1:11" hidden="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H3078" s="5">
        <v>5860</v>
      </c>
      <c r="I3078" s="6">
        <v>4487.9999999102474</v>
      </c>
      <c r="J3078" s="5">
        <v>31740</v>
      </c>
      <c r="K3078" s="6">
        <f t="shared" si="125"/>
        <v>1.3057040998478588</v>
      </c>
    </row>
    <row r="3079" spans="1:11" hidden="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H3079" s="5">
        <v>3700</v>
      </c>
      <c r="I3079" s="6">
        <v>1702.8</v>
      </c>
      <c r="J3079" s="5">
        <v>12900</v>
      </c>
      <c r="K3079" s="6">
        <f t="shared" si="125"/>
        <v>2.1728917077754288</v>
      </c>
    </row>
    <row r="3080" spans="1:11" hidden="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H3080" s="5">
        <v>4520</v>
      </c>
      <c r="I3080" s="6">
        <v>3009.6</v>
      </c>
      <c r="J3080" s="5">
        <v>22800</v>
      </c>
      <c r="K3080" s="6">
        <f t="shared" si="125"/>
        <v>1.5018607123870282</v>
      </c>
    </row>
    <row r="3081" spans="1:11" hidden="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H3081" s="5">
        <v>2250</v>
      </c>
      <c r="I3081" s="6">
        <v>1386</v>
      </c>
      <c r="J3081" s="5">
        <v>10500</v>
      </c>
      <c r="K3081" s="6">
        <f t="shared" si="125"/>
        <v>1.6233766233766234</v>
      </c>
    </row>
    <row r="3082" spans="1:11" hidden="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H3082" s="5">
        <v>2280</v>
      </c>
      <c r="I3082" s="6">
        <v>1386</v>
      </c>
      <c r="J3082" s="5">
        <v>10500</v>
      </c>
      <c r="K3082" s="6">
        <f t="shared" si="125"/>
        <v>1.6450216450216451</v>
      </c>
    </row>
    <row r="3083" spans="1:11" hidden="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H3083" s="5">
        <v>2000</v>
      </c>
      <c r="I3083" s="6">
        <v>1029.5999999999999</v>
      </c>
      <c r="J3083" s="5">
        <v>7800</v>
      </c>
      <c r="K3083" s="6">
        <f t="shared" si="125"/>
        <v>1.9425019425019427</v>
      </c>
    </row>
    <row r="3084" spans="1:11" hidden="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H3084" s="5">
        <v>4400</v>
      </c>
      <c r="I3084" s="6">
        <v>2653.2</v>
      </c>
      <c r="J3084" s="5">
        <v>20100</v>
      </c>
      <c r="K3084" s="6">
        <f t="shared" si="125"/>
        <v>1.6583747927031511</v>
      </c>
    </row>
    <row r="3085" spans="1:11" hidden="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H3085" s="5">
        <v>3330</v>
      </c>
      <c r="I3085" s="6">
        <v>1768.8</v>
      </c>
      <c r="J3085" s="5">
        <v>13400</v>
      </c>
      <c r="K3085" s="6">
        <f t="shared" si="125"/>
        <v>1.8826322930800543</v>
      </c>
    </row>
    <row r="3086" spans="1:11" hidden="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H3086" s="5">
        <v>1395</v>
      </c>
      <c r="I3086" s="6">
        <v>1029.5999999999999</v>
      </c>
      <c r="J3086" s="5">
        <v>7800</v>
      </c>
      <c r="K3086" s="6">
        <f t="shared" si="125"/>
        <v>1.354895104895105</v>
      </c>
    </row>
    <row r="3087" spans="1:11" hidden="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H3087" s="5">
        <v>3175</v>
      </c>
      <c r="I3087" s="6">
        <v>1346.4</v>
      </c>
      <c r="J3087" s="5">
        <v>10200</v>
      </c>
      <c r="K3087" s="6">
        <f t="shared" si="125"/>
        <v>2.3581402257872845</v>
      </c>
    </row>
    <row r="3088" spans="1:11" hidden="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H3088" s="5">
        <v>330</v>
      </c>
      <c r="I3088" s="6">
        <v>440.18999062500001</v>
      </c>
      <c r="J3088" s="5">
        <v>3200</v>
      </c>
      <c r="K3088" s="6">
        <f t="shared" si="125"/>
        <v>0.74967629211980102</v>
      </c>
    </row>
    <row r="3089" spans="1:11" hidden="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H3089" s="5">
        <v>1600</v>
      </c>
      <c r="I3089" s="6">
        <v>880.38</v>
      </c>
      <c r="J3089" s="5">
        <v>6400</v>
      </c>
      <c r="K3089" s="6">
        <f t="shared" si="125"/>
        <v>1.8173970330993434</v>
      </c>
    </row>
    <row r="3090" spans="1:11" hidden="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H3090" s="5">
        <v>650</v>
      </c>
      <c r="I3090" s="6">
        <v>330.14249999999998</v>
      </c>
      <c r="J3090" s="5">
        <v>2400</v>
      </c>
      <c r="K3090" s="6">
        <f t="shared" si="125"/>
        <v>1.9688467858576222</v>
      </c>
    </row>
    <row r="3091" spans="1:11" hidden="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H3091" s="5">
        <v>2900</v>
      </c>
      <c r="I3091" s="6">
        <v>1650.7125000000001</v>
      </c>
      <c r="J3091" s="5">
        <v>12000</v>
      </c>
      <c r="K3091" s="6">
        <f t="shared" si="125"/>
        <v>1.756817131996032</v>
      </c>
    </row>
    <row r="3092" spans="1:11" hidden="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H3092" s="5">
        <v>1260</v>
      </c>
      <c r="I3092" s="6">
        <v>1287.0000000000018</v>
      </c>
      <c r="J3092" s="5">
        <v>9400</v>
      </c>
      <c r="K3092" s="6">
        <f t="shared" si="125"/>
        <v>0.97902097902097762</v>
      </c>
    </row>
    <row r="3093" spans="1:11" hidden="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H3093" s="5">
        <v>3150</v>
      </c>
      <c r="I3093" s="6">
        <v>2641.14</v>
      </c>
      <c r="J3093" s="5">
        <v>19200</v>
      </c>
      <c r="K3093" s="6">
        <f t="shared" si="125"/>
        <v>1.1926668029714442</v>
      </c>
    </row>
    <row r="3094" spans="1:11" hidden="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H3094" s="5">
        <v>1770</v>
      </c>
      <c r="I3094" s="6">
        <v>880.38</v>
      </c>
      <c r="J3094" s="5">
        <v>6400</v>
      </c>
      <c r="K3094" s="6">
        <f t="shared" si="125"/>
        <v>2.0104954678661486</v>
      </c>
    </row>
    <row r="3095" spans="1:11" hidden="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H3095" s="5">
        <v>1340</v>
      </c>
      <c r="I3095" s="6">
        <v>880.38</v>
      </c>
      <c r="J3095" s="5">
        <v>6400</v>
      </c>
      <c r="K3095" s="6">
        <f t="shared" si="125"/>
        <v>1.5220700152207001</v>
      </c>
    </row>
    <row r="3096" spans="1:11" hidden="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H3096" s="5">
        <v>770</v>
      </c>
      <c r="I3096" s="6">
        <v>1755.4</v>
      </c>
      <c r="J3096" s="5">
        <v>12800</v>
      </c>
      <c r="K3096" s="6">
        <f t="shared" si="125"/>
        <v>0.43864646234476468</v>
      </c>
    </row>
    <row r="3097" spans="1:11" hidden="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H3097" s="5">
        <v>2540</v>
      </c>
      <c r="I3097" s="6">
        <v>2413.6749943750001</v>
      </c>
      <c r="J3097" s="5">
        <v>17600</v>
      </c>
      <c r="K3097" s="6">
        <f t="shared" si="125"/>
        <v>1.0523372060941911</v>
      </c>
    </row>
    <row r="3098" spans="1:11" hidden="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H3098" s="5">
        <v>3380</v>
      </c>
      <c r="I3098" s="6">
        <v>1645.6875</v>
      </c>
      <c r="J3098" s="5">
        <v>12000</v>
      </c>
      <c r="K3098" s="6">
        <f t="shared" si="125"/>
        <v>2.053852873039383</v>
      </c>
    </row>
    <row r="3099" spans="1:11" hidden="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H3099" s="5">
        <v>500</v>
      </c>
      <c r="I3099" s="6">
        <v>726.32013058333712</v>
      </c>
      <c r="J3099" s="5">
        <v>5712</v>
      </c>
      <c r="K3099" s="6">
        <f t="shared" si="125"/>
        <v>0.68840168260024648</v>
      </c>
    </row>
    <row r="3100" spans="1:11" hidden="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H3100" s="5">
        <v>2580</v>
      </c>
      <c r="I3100" s="6">
        <v>924.39958333667107</v>
      </c>
      <c r="J3100" s="5">
        <v>6720</v>
      </c>
      <c r="K3100" s="6">
        <f t="shared" si="125"/>
        <v>2.7910008253004057</v>
      </c>
    </row>
    <row r="3101" spans="1:11" hidden="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H3101" s="5">
        <v>200</v>
      </c>
      <c r="I3101" s="6">
        <v>1122.485208333339</v>
      </c>
      <c r="J3101" s="5">
        <v>8160</v>
      </c>
      <c r="K3101" s="6">
        <f t="shared" si="125"/>
        <v>0.17817606727928212</v>
      </c>
    </row>
    <row r="3102" spans="1:11" hidden="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H3102" s="5">
        <v>260</v>
      </c>
      <c r="I3102" s="6">
        <v>396.17125000000198</v>
      </c>
      <c r="J3102" s="5">
        <v>2880</v>
      </c>
      <c r="K3102" s="6">
        <f t="shared" si="125"/>
        <v>0.65628184781202248</v>
      </c>
    </row>
    <row r="3103" spans="1:11" hidden="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H3103" s="5">
        <v>2040</v>
      </c>
      <c r="I3103" s="6">
        <v>1535.9749999999999</v>
      </c>
      <c r="J3103" s="5">
        <v>11200</v>
      </c>
      <c r="K3103" s="6">
        <f t="shared" si="125"/>
        <v>1.3281466169696774</v>
      </c>
    </row>
    <row r="3104" spans="1:11" hidden="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H3104" s="5">
        <v>1700</v>
      </c>
      <c r="I3104" s="6">
        <v>1535.9749999999999</v>
      </c>
      <c r="J3104" s="5">
        <v>11200</v>
      </c>
      <c r="K3104" s="6">
        <f t="shared" si="125"/>
        <v>1.1067888474747312</v>
      </c>
    </row>
    <row r="3105" spans="1:11" hidden="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H3105" s="5">
        <v>810</v>
      </c>
      <c r="I3105" s="6">
        <v>594.25687500000299</v>
      </c>
      <c r="J3105" s="5">
        <v>4320</v>
      </c>
      <c r="K3105" s="6">
        <f t="shared" si="125"/>
        <v>1.3630469146865081</v>
      </c>
    </row>
    <row r="3106" spans="1:11" hidden="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H3106" s="5">
        <v>2620</v>
      </c>
      <c r="I3106" s="6">
        <v>2575.1131250013459</v>
      </c>
      <c r="J3106" s="5">
        <v>18720</v>
      </c>
      <c r="K3106" s="6">
        <f t="shared" si="125"/>
        <v>1.0174310303352714</v>
      </c>
    </row>
    <row r="3107" spans="1:11" hidden="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H3107" s="5">
        <v>1800</v>
      </c>
      <c r="I3107" s="6">
        <v>528.37931032368999</v>
      </c>
      <c r="J3107" s="5">
        <v>4000</v>
      </c>
      <c r="K3107" s="6">
        <f t="shared" ref="K3107:K3113" si="126">IFERROR(H3107/I3107,"")</f>
        <v>3.4066436077849143</v>
      </c>
    </row>
    <row r="3108" spans="1:11" hidden="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H3108" s="5">
        <v>3000</v>
      </c>
      <c r="I3108" s="6">
        <v>2272.0310343918732</v>
      </c>
      <c r="J3108" s="5">
        <v>17200</v>
      </c>
      <c r="K3108" s="6">
        <f t="shared" si="126"/>
        <v>1.3204044991414361</v>
      </c>
    </row>
    <row r="3109" spans="1:11" hidden="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H3109" s="5">
        <v>1830</v>
      </c>
      <c r="I3109" s="6">
        <v>1162.4344827121224</v>
      </c>
      <c r="J3109" s="5">
        <v>8800</v>
      </c>
      <c r="K3109" s="6">
        <f t="shared" si="126"/>
        <v>1.5742822732945376</v>
      </c>
    </row>
    <row r="3110" spans="1:11" hidden="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H3110" s="5">
        <v>1960</v>
      </c>
      <c r="I3110" s="6">
        <v>1162.4344827121181</v>
      </c>
      <c r="J3110" s="5">
        <v>8800</v>
      </c>
      <c r="K3110" s="6">
        <f t="shared" si="126"/>
        <v>1.6861165331460684</v>
      </c>
    </row>
    <row r="3111" spans="1:11" hidden="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H3111" s="5">
        <v>1920</v>
      </c>
      <c r="I3111" s="6">
        <v>1056.7586206473827</v>
      </c>
      <c r="J3111" s="5">
        <v>8000</v>
      </c>
      <c r="K3111" s="6">
        <f t="shared" si="126"/>
        <v>1.8168765908186162</v>
      </c>
    </row>
    <row r="3112" spans="1:11" hidden="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H3112" s="5">
        <v>1920</v>
      </c>
      <c r="I3112" s="6">
        <v>1109.596551679753</v>
      </c>
      <c r="J3112" s="5">
        <v>8400</v>
      </c>
      <c r="K3112" s="6">
        <f t="shared" si="126"/>
        <v>1.7303586579224897</v>
      </c>
    </row>
    <row r="3113" spans="1:11" hidden="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H3113" s="5">
        <v>3175</v>
      </c>
      <c r="I3113" s="6">
        <v>1902.1655171652881</v>
      </c>
      <c r="J3113" s="5">
        <v>14400</v>
      </c>
      <c r="K3113" s="6">
        <f t="shared" si="126"/>
        <v>1.6691502244933765</v>
      </c>
    </row>
    <row r="3114" spans="1:11" hidden="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H3114" s="5">
        <v>700</v>
      </c>
      <c r="I3114" s="6">
        <v>951.10714281909407</v>
      </c>
      <c r="J3114" s="5">
        <v>7200</v>
      </c>
      <c r="K3114" s="6">
        <f t="shared" ref="K3114:K3176" si="128">+H3114/I3114</f>
        <v>0.7359843791364985</v>
      </c>
    </row>
    <row r="3115" spans="1:11" hidden="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H3115" s="5">
        <v>5550</v>
      </c>
      <c r="I3115" s="6">
        <v>3804.4285712763772</v>
      </c>
      <c r="J3115" s="5">
        <v>28800</v>
      </c>
      <c r="K3115" s="6">
        <f t="shared" si="128"/>
        <v>1.4588261800741307</v>
      </c>
    </row>
    <row r="3116" spans="1:11" hidden="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H3116" s="5">
        <v>8760</v>
      </c>
      <c r="I3116" s="6">
        <v>2641.8965516184649</v>
      </c>
      <c r="J3116" s="5">
        <v>20000</v>
      </c>
      <c r="K3116" s="6">
        <f t="shared" si="128"/>
        <v>3.3157997782439645</v>
      </c>
    </row>
    <row r="3117" spans="1:11" hidden="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H3117" s="5">
        <v>16530</v>
      </c>
      <c r="I3117" s="6">
        <v>3592.9793102010913</v>
      </c>
      <c r="J3117" s="5">
        <v>26044</v>
      </c>
      <c r="K3117" s="6">
        <f t="shared" si="128"/>
        <v>4.6006387938467848</v>
      </c>
    </row>
    <row r="3118" spans="1:11" hidden="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H3118" s="5">
        <v>1725</v>
      </c>
      <c r="I3118" s="6">
        <v>1268.1103447768633</v>
      </c>
      <c r="J3118" s="5">
        <v>9600</v>
      </c>
      <c r="K3118" s="6">
        <f t="shared" si="128"/>
        <v>1.3602917183863295</v>
      </c>
    </row>
    <row r="3119" spans="1:11" hidden="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H3119" s="5">
        <v>725</v>
      </c>
      <c r="I3119" s="6">
        <v>528.37931032368999</v>
      </c>
      <c r="J3119" s="5">
        <v>4000</v>
      </c>
      <c r="K3119" s="6">
        <f t="shared" si="128"/>
        <v>1.3721203420244794</v>
      </c>
    </row>
    <row r="3120" spans="1:11" hidden="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H3120" s="5">
        <v>1560</v>
      </c>
      <c r="I3120" s="6">
        <v>1162.4344827121247</v>
      </c>
      <c r="J3120" s="5">
        <v>8800</v>
      </c>
      <c r="K3120" s="6">
        <f t="shared" si="128"/>
        <v>1.3420111182182917</v>
      </c>
    </row>
    <row r="3121" spans="1:11" hidden="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H3121" s="5">
        <v>870</v>
      </c>
      <c r="I3121" s="6">
        <v>528.3915024419166</v>
      </c>
      <c r="J3121" s="5">
        <v>4000</v>
      </c>
      <c r="K3121" s="6">
        <f t="shared" si="128"/>
        <v>1.6465064180240763</v>
      </c>
    </row>
    <row r="3122" spans="1:11" hidden="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H3122" s="5">
        <v>20940</v>
      </c>
      <c r="I3122" s="6">
        <v>3910.1071427007282</v>
      </c>
      <c r="J3122" s="5">
        <v>29260</v>
      </c>
      <c r="K3122" s="6">
        <f t="shared" si="128"/>
        <v>5.3553519726665728</v>
      </c>
    </row>
    <row r="3123" spans="1:11" hidden="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H3123" s="5">
        <v>1775</v>
      </c>
      <c r="I3123" s="6">
        <v>1902.2142856381945</v>
      </c>
      <c r="J3123" s="5">
        <v>14400</v>
      </c>
      <c r="K3123" s="6">
        <f t="shared" si="128"/>
        <v>0.9331230521194861</v>
      </c>
    </row>
    <row r="3124" spans="1:11" hidden="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H3124" s="5">
        <v>3090</v>
      </c>
      <c r="I3124" s="6">
        <v>1162.4642856677858</v>
      </c>
      <c r="J3124" s="5">
        <v>8800</v>
      </c>
      <c r="K3124" s="6">
        <f t="shared" si="128"/>
        <v>2.6581461797124613</v>
      </c>
    </row>
    <row r="3125" spans="1:11" hidden="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H3125" s="5">
        <v>810</v>
      </c>
      <c r="I3125" s="6">
        <v>317.03571427303262</v>
      </c>
      <c r="J3125" s="5">
        <v>2400</v>
      </c>
      <c r="K3125" s="6">
        <f t="shared" si="128"/>
        <v>2.5549172018595492</v>
      </c>
    </row>
    <row r="3126" spans="1:11" hidden="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H3126" s="5">
        <v>1025</v>
      </c>
      <c r="I3126" s="6">
        <v>951.10714281875391</v>
      </c>
      <c r="J3126" s="5">
        <v>7200</v>
      </c>
      <c r="K3126" s="6">
        <f t="shared" si="128"/>
        <v>1.0776914123074011</v>
      </c>
    </row>
    <row r="3127" spans="1:11" hidden="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H3127" s="5">
        <v>1225</v>
      </c>
      <c r="I3127" s="6">
        <v>898.26785710660101</v>
      </c>
      <c r="J3127" s="5">
        <v>6800</v>
      </c>
      <c r="K3127" s="6">
        <f t="shared" si="128"/>
        <v>1.3637357613416468</v>
      </c>
    </row>
    <row r="3128" spans="1:11" hidden="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H3128" s="5">
        <v>1900</v>
      </c>
      <c r="I3128" s="6">
        <v>1162.4642856673661</v>
      </c>
      <c r="J3128" s="5">
        <v>8800</v>
      </c>
      <c r="K3128" s="6">
        <f t="shared" si="128"/>
        <v>1.6344588160050162</v>
      </c>
    </row>
    <row r="3129" spans="1:11" hidden="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H3129" s="5">
        <v>1320</v>
      </c>
      <c r="I3129" s="6">
        <v>686.91071425798896</v>
      </c>
      <c r="J3129" s="5">
        <v>5200</v>
      </c>
      <c r="K3129" s="6">
        <f t="shared" si="128"/>
        <v>1.9216471261856549</v>
      </c>
    </row>
    <row r="3130" spans="1:11" hidden="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H3130" s="5">
        <v>2075</v>
      </c>
      <c r="I3130" s="6">
        <v>845.428571394752</v>
      </c>
      <c r="J3130" s="5">
        <v>6400</v>
      </c>
      <c r="K3130" s="6">
        <f t="shared" si="128"/>
        <v>2.4543764786382289</v>
      </c>
    </row>
    <row r="3131" spans="1:11" hidden="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H3131" s="5">
        <v>5625</v>
      </c>
      <c r="I3131" s="6">
        <v>3910.1071427007355</v>
      </c>
      <c r="J3131" s="5">
        <v>29600</v>
      </c>
      <c r="K3131" s="6">
        <f t="shared" si="128"/>
        <v>1.438579505551548</v>
      </c>
    </row>
    <row r="3132" spans="1:11" hidden="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H3132" s="5">
        <v>5625</v>
      </c>
      <c r="I3132" s="6">
        <v>4015.7857141250793</v>
      </c>
      <c r="J3132" s="5">
        <v>30400</v>
      </c>
      <c r="K3132" s="6">
        <f t="shared" si="128"/>
        <v>1.4007221501422968</v>
      </c>
    </row>
    <row r="3133" spans="1:11" hidden="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H3133" s="5">
        <v>6870</v>
      </c>
      <c r="I3133" s="6">
        <v>2747.5751230427709</v>
      </c>
      <c r="J3133" s="5">
        <v>20800</v>
      </c>
      <c r="K3133" s="6">
        <f t="shared" si="128"/>
        <v>2.5003865926664441</v>
      </c>
    </row>
    <row r="3134" spans="1:11" hidden="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H3134" s="5">
        <v>930</v>
      </c>
      <c r="I3134" s="6">
        <v>1056.75862064738</v>
      </c>
      <c r="J3134" s="5">
        <v>9600</v>
      </c>
      <c r="K3134" s="6">
        <f t="shared" si="128"/>
        <v>0.88004959867776944</v>
      </c>
    </row>
    <row r="3135" spans="1:11" hidden="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H3135" s="5">
        <v>0</v>
      </c>
      <c r="I3135" s="6">
        <v>317.02758619421581</v>
      </c>
      <c r="J3135" s="5">
        <v>2640</v>
      </c>
      <c r="K3135" s="6">
        <f t="shared" si="128"/>
        <v>0</v>
      </c>
    </row>
    <row r="3136" spans="1:11" hidden="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H3136" s="5">
        <v>0</v>
      </c>
      <c r="I3136" s="6">
        <v>52.837931032368999</v>
      </c>
      <c r="J3136" s="5">
        <v>440</v>
      </c>
      <c r="K3136" s="6">
        <f t="shared" si="128"/>
        <v>0</v>
      </c>
    </row>
    <row r="3137" spans="1:11" hidden="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H3137" s="5">
        <v>8670</v>
      </c>
      <c r="I3137" s="6">
        <v>3592.9793102011122</v>
      </c>
      <c r="J3137" s="5">
        <v>27820</v>
      </c>
      <c r="K3137" s="6">
        <f t="shared" si="128"/>
        <v>2.4130392221809673</v>
      </c>
    </row>
    <row r="3138" spans="1:11" hidden="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H3138" s="5">
        <v>7740</v>
      </c>
      <c r="I3138" s="6">
        <v>1585.2222221588099</v>
      </c>
      <c r="J3138" s="5">
        <v>11490</v>
      </c>
      <c r="K3138" s="6">
        <f t="shared" si="128"/>
        <v>4.8825962012186546</v>
      </c>
    </row>
    <row r="3139" spans="1:11" hidden="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H3139" s="5">
        <v>4440</v>
      </c>
      <c r="I3139" s="6">
        <v>2219.311111022334</v>
      </c>
      <c r="J3139" s="5">
        <v>16800</v>
      </c>
      <c r="K3139" s="6">
        <f t="shared" si="128"/>
        <v>2.0006208133454066</v>
      </c>
    </row>
    <row r="3140" spans="1:11" hidden="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H3140" s="5">
        <v>3125</v>
      </c>
      <c r="I3140" s="6">
        <v>2959.0814813631118</v>
      </c>
      <c r="J3140" s="5">
        <v>22400</v>
      </c>
      <c r="K3140" s="6">
        <f t="shared" si="128"/>
        <v>1.0560709529906074</v>
      </c>
    </row>
    <row r="3141" spans="1:11" hidden="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H3141" s="5">
        <v>0</v>
      </c>
      <c r="I3141" s="6">
        <v>1796.5851851133182</v>
      </c>
      <c r="J3141" s="5">
        <v>13600</v>
      </c>
      <c r="K3141" s="6">
        <f t="shared" si="128"/>
        <v>0</v>
      </c>
    </row>
    <row r="3142" spans="1:11" hidden="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H3142" s="5">
        <v>825</v>
      </c>
      <c r="I3142" s="6">
        <v>1912.3542857142861</v>
      </c>
      <c r="J3142" s="5">
        <v>16320</v>
      </c>
      <c r="K3142" s="6">
        <f t="shared" si="128"/>
        <v>0.43140541800383664</v>
      </c>
    </row>
    <row r="3143" spans="1:11" hidden="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H3143" s="5">
        <v>1260</v>
      </c>
      <c r="I3143" s="6">
        <v>2812.2857142428579</v>
      </c>
      <c r="J3143" s="5">
        <v>20000</v>
      </c>
      <c r="K3143" s="6">
        <f t="shared" si="128"/>
        <v>0.448034135940994</v>
      </c>
    </row>
    <row r="3144" spans="1:11" hidden="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H3144" s="5">
        <v>2350</v>
      </c>
      <c r="I3144" s="6">
        <v>1768.8376470588223</v>
      </c>
      <c r="J3144" s="5">
        <v>12800</v>
      </c>
      <c r="K3144" s="6">
        <f t="shared" si="128"/>
        <v>1.3285560740453028</v>
      </c>
    </row>
    <row r="3145" spans="1:11" hidden="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H3145" s="5">
        <v>3980</v>
      </c>
      <c r="I3145" s="6">
        <v>2263.7999998868127</v>
      </c>
      <c r="J3145" s="5">
        <v>17920</v>
      </c>
      <c r="K3145" s="6">
        <f t="shared" si="128"/>
        <v>1.758105839826396</v>
      </c>
    </row>
    <row r="3146" spans="1:11" hidden="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H3146" s="5">
        <v>1800</v>
      </c>
      <c r="I3146" s="6">
        <v>994.97117647058747</v>
      </c>
      <c r="J3146" s="5">
        <v>7200</v>
      </c>
      <c r="K3146" s="6">
        <f t="shared" si="128"/>
        <v>1.8090976327425401</v>
      </c>
    </row>
    <row r="3147" spans="1:11" hidden="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H3147" s="5">
        <v>1620</v>
      </c>
      <c r="I3147" s="6">
        <v>994.97117647058747</v>
      </c>
      <c r="J3147" s="5">
        <v>7920</v>
      </c>
      <c r="K3147" s="6">
        <f t="shared" si="128"/>
        <v>1.6281878694682861</v>
      </c>
    </row>
    <row r="3148" spans="1:11" hidden="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H3148" s="5">
        <v>3375</v>
      </c>
      <c r="I3148" s="6">
        <v>2263.7999998868127</v>
      </c>
      <c r="J3148" s="5">
        <v>17920</v>
      </c>
      <c r="K3148" s="6">
        <f t="shared" si="128"/>
        <v>1.4908560827673585</v>
      </c>
    </row>
    <row r="3149" spans="1:11" hidden="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H3149" s="5">
        <v>19860</v>
      </c>
      <c r="I3149" s="6">
        <v>6727.0499997982479</v>
      </c>
      <c r="J3149" s="5">
        <v>49210</v>
      </c>
      <c r="K3149" s="6">
        <f t="shared" si="128"/>
        <v>2.9522599059908319</v>
      </c>
    </row>
    <row r="3150" spans="1:11" hidden="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H3150" s="5">
        <v>1500</v>
      </c>
      <c r="I3150" s="6">
        <v>994.95</v>
      </c>
      <c r="J3150" s="5">
        <v>7200</v>
      </c>
      <c r="K3150" s="6">
        <f t="shared" si="128"/>
        <v>1.5076134479119554</v>
      </c>
    </row>
    <row r="3151" spans="1:11" hidden="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H3151" s="5">
        <v>1775</v>
      </c>
      <c r="I3151" s="6">
        <v>831.6</v>
      </c>
      <c r="J3151" s="5">
        <v>6300</v>
      </c>
      <c r="K3151" s="6">
        <f t="shared" si="128"/>
        <v>2.1344396344396346</v>
      </c>
    </row>
    <row r="3152" spans="1:11" hidden="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H3152" s="5">
        <v>3300</v>
      </c>
      <c r="I3152" s="6">
        <v>1267.2</v>
      </c>
      <c r="J3152" s="5">
        <v>9600</v>
      </c>
      <c r="K3152" s="6">
        <f t="shared" si="128"/>
        <v>2.6041666666666665</v>
      </c>
    </row>
    <row r="3153" spans="1:11" hidden="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H3153" s="5">
        <v>720</v>
      </c>
      <c r="I3153" s="6">
        <v>316.8</v>
      </c>
      <c r="J3153" s="5">
        <v>2400</v>
      </c>
      <c r="K3153" s="6">
        <f t="shared" si="128"/>
        <v>2.2727272727272725</v>
      </c>
    </row>
    <row r="3154" spans="1:11" hidden="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H3154" s="5">
        <v>9960</v>
      </c>
      <c r="I3154" s="6">
        <v>3603.6</v>
      </c>
      <c r="J3154" s="5">
        <v>27296</v>
      </c>
      <c r="K3154" s="6">
        <f t="shared" si="128"/>
        <v>2.763902763902764</v>
      </c>
    </row>
    <row r="3155" spans="1:11" hidden="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H3155" s="5">
        <v>7050</v>
      </c>
      <c r="I3155" s="6">
        <v>3682.8</v>
      </c>
      <c r="J3155" s="5">
        <v>27900</v>
      </c>
      <c r="K3155" s="6">
        <f t="shared" si="128"/>
        <v>1.9143043336591723</v>
      </c>
    </row>
    <row r="3156" spans="1:11" hidden="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H3156" s="5">
        <v>3700</v>
      </c>
      <c r="I3156" s="6">
        <v>2376</v>
      </c>
      <c r="J3156" s="5">
        <v>18000</v>
      </c>
      <c r="K3156" s="6">
        <f t="shared" si="128"/>
        <v>1.5572390572390573</v>
      </c>
    </row>
    <row r="3157" spans="1:11" hidden="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H3157" s="5">
        <v>1830</v>
      </c>
      <c r="I3157" s="6">
        <v>950.4</v>
      </c>
      <c r="J3157" s="5">
        <v>7200</v>
      </c>
      <c r="K3157" s="6">
        <f t="shared" si="128"/>
        <v>1.9255050505050506</v>
      </c>
    </row>
    <row r="3158" spans="1:11" hidden="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H3158" s="5">
        <v>3025</v>
      </c>
      <c r="I3158" s="6">
        <v>1346.4</v>
      </c>
      <c r="J3158" s="5">
        <v>10200</v>
      </c>
      <c r="K3158" s="6">
        <f t="shared" si="128"/>
        <v>2.2467320261437909</v>
      </c>
    </row>
    <row r="3159" spans="1:11" hidden="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H3159" s="5">
        <v>7110</v>
      </c>
      <c r="I3159" s="6">
        <v>2851.2</v>
      </c>
      <c r="J3159" s="5">
        <v>21600</v>
      </c>
      <c r="K3159" s="6">
        <f t="shared" si="128"/>
        <v>2.493686868686869</v>
      </c>
    </row>
    <row r="3160" spans="1:11" hidden="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H3160" s="5">
        <v>2950</v>
      </c>
      <c r="I3160" s="6">
        <v>2138.4</v>
      </c>
      <c r="J3160" s="5">
        <v>16200</v>
      </c>
      <c r="K3160" s="6">
        <f t="shared" si="128"/>
        <v>1.3795361017583239</v>
      </c>
    </row>
    <row r="3161" spans="1:11" hidden="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H3161" s="5">
        <v>2450</v>
      </c>
      <c r="I3161" s="6">
        <v>963.6</v>
      </c>
      <c r="J3161" s="5">
        <v>7570</v>
      </c>
      <c r="K3161" s="6">
        <f t="shared" si="128"/>
        <v>2.5425487754254879</v>
      </c>
    </row>
    <row r="3162" spans="1:11" hidden="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H3162" s="5">
        <v>8375</v>
      </c>
      <c r="I3162" s="6">
        <v>3168</v>
      </c>
      <c r="J3162" s="5">
        <v>24000</v>
      </c>
      <c r="K3162" s="6">
        <f t="shared" si="128"/>
        <v>2.6436237373737375</v>
      </c>
    </row>
    <row r="3163" spans="1:11" hidden="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H3163" s="5">
        <v>3090</v>
      </c>
      <c r="I3163" s="6">
        <v>1188</v>
      </c>
      <c r="J3163" s="5">
        <v>9000</v>
      </c>
      <c r="K3163" s="6">
        <f t="shared" si="128"/>
        <v>2.6010101010101012</v>
      </c>
    </row>
    <row r="3164" spans="1:11" hidden="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H3164" s="5">
        <v>4775</v>
      </c>
      <c r="I3164" s="6">
        <v>2732.4</v>
      </c>
      <c r="J3164" s="5">
        <v>20700</v>
      </c>
      <c r="K3164" s="6">
        <f t="shared" si="128"/>
        <v>1.7475479432001171</v>
      </c>
    </row>
    <row r="3165" spans="1:11" hidden="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H3165" s="5">
        <v>1440</v>
      </c>
      <c r="I3165" s="6">
        <v>673.2</v>
      </c>
      <c r="J3165" s="5">
        <v>5100</v>
      </c>
      <c r="K3165" s="6">
        <f t="shared" si="128"/>
        <v>2.1390374331550799</v>
      </c>
    </row>
    <row r="3166" spans="1:11" hidden="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H3166" s="5">
        <v>1075</v>
      </c>
      <c r="I3166" s="6">
        <v>1100.4749999999999</v>
      </c>
      <c r="J3166" s="5">
        <v>8000</v>
      </c>
      <c r="K3166" s="6">
        <f t="shared" si="128"/>
        <v>0.97685090529089724</v>
      </c>
    </row>
    <row r="3167" spans="1:11" hidden="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H3167" s="5">
        <v>2400</v>
      </c>
      <c r="I3167" s="6">
        <v>1287</v>
      </c>
      <c r="J3167" s="5">
        <v>9400</v>
      </c>
      <c r="K3167" s="6">
        <f t="shared" si="128"/>
        <v>1.8648018648018647</v>
      </c>
    </row>
    <row r="3168" spans="1:11" hidden="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H3168" s="5">
        <v>5880</v>
      </c>
      <c r="I3168" s="6">
        <v>2641.14</v>
      </c>
      <c r="J3168" s="5">
        <v>19200</v>
      </c>
      <c r="K3168" s="6">
        <f t="shared" si="128"/>
        <v>2.226311365546696</v>
      </c>
    </row>
    <row r="3169" spans="1:11" hidden="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H3169" s="5">
        <v>8700</v>
      </c>
      <c r="I3169" s="6">
        <v>2641.14</v>
      </c>
      <c r="J3169" s="5">
        <v>19200</v>
      </c>
      <c r="K3169" s="6">
        <f t="shared" si="128"/>
        <v>3.2940321224925602</v>
      </c>
    </row>
    <row r="3170" spans="1:11" hidden="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H3170" s="5">
        <v>2580</v>
      </c>
      <c r="I3170" s="6">
        <v>1430.6174906250001</v>
      </c>
      <c r="J3170" s="5">
        <v>10400</v>
      </c>
      <c r="K3170" s="6">
        <f t="shared" si="128"/>
        <v>1.8034170677396544</v>
      </c>
    </row>
    <row r="3171" spans="1:11" hidden="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H3171" s="5">
        <v>840</v>
      </c>
      <c r="I3171" s="6">
        <v>1430.6175000000001</v>
      </c>
      <c r="J3171" s="5">
        <v>10400</v>
      </c>
      <c r="K3171" s="6">
        <f t="shared" si="128"/>
        <v>0.58715904146286479</v>
      </c>
    </row>
    <row r="3172" spans="1:11" hidden="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H3172" s="5">
        <v>1890</v>
      </c>
      <c r="I3172" s="6">
        <v>2861.2350000000001</v>
      </c>
      <c r="J3172" s="5">
        <v>20800</v>
      </c>
      <c r="K3172" s="6">
        <f t="shared" si="128"/>
        <v>0.66055392164572291</v>
      </c>
    </row>
    <row r="3173" spans="1:11" hidden="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H3173" s="5">
        <v>4675</v>
      </c>
      <c r="I3173" s="6">
        <v>3071.9505625000002</v>
      </c>
      <c r="J3173" s="5">
        <v>22400</v>
      </c>
      <c r="K3173" s="6">
        <f t="shared" si="128"/>
        <v>1.521834386617021</v>
      </c>
    </row>
    <row r="3174" spans="1:11" hidden="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H3174" s="5">
        <v>5225</v>
      </c>
      <c r="I3174" s="6">
        <v>1097.125</v>
      </c>
      <c r="J3174" s="5">
        <v>8000</v>
      </c>
      <c r="K3174" s="6">
        <f t="shared" si="128"/>
        <v>4.7624473054574459</v>
      </c>
    </row>
    <row r="3175" spans="1:11" hidden="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H3175" s="5">
        <v>6325</v>
      </c>
      <c r="I3175" s="6">
        <v>2852.5250000000001</v>
      </c>
      <c r="J3175" s="5">
        <v>20800</v>
      </c>
      <c r="K3175" s="6">
        <f t="shared" si="128"/>
        <v>2.2173337656988106</v>
      </c>
    </row>
    <row r="3176" spans="1:11" hidden="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H3176" s="5">
        <v>2610</v>
      </c>
      <c r="I3176" s="6">
        <v>2633.1</v>
      </c>
      <c r="J3176" s="5">
        <v>19200</v>
      </c>
      <c r="K3176" s="6">
        <f t="shared" si="128"/>
        <v>0.99122707075310479</v>
      </c>
    </row>
    <row r="3177" spans="1:11" hidden="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H3177" s="5">
        <v>2040</v>
      </c>
      <c r="I3177" s="6">
        <v>2633.1</v>
      </c>
      <c r="J3177" s="5">
        <v>19200</v>
      </c>
      <c r="K3177" s="6">
        <f t="shared" ref="K3177:K3240" si="130">+H3177/I3177</f>
        <v>0.7747521932323117</v>
      </c>
    </row>
    <row r="3178" spans="1:11" hidden="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H3178" s="5">
        <v>3210</v>
      </c>
      <c r="I3178" s="6">
        <v>2852.5250000000001</v>
      </c>
      <c r="J3178" s="5">
        <v>20800</v>
      </c>
      <c r="K3178" s="6">
        <f t="shared" si="130"/>
        <v>1.125318796504851</v>
      </c>
    </row>
    <row r="3179" spans="1:11" hidden="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H3179" s="5">
        <v>7440</v>
      </c>
      <c r="I3179" s="6">
        <v>2852.5250000000001</v>
      </c>
      <c r="J3179" s="5">
        <v>20800</v>
      </c>
      <c r="K3179" s="6">
        <f t="shared" si="130"/>
        <v>2.6082155283476918</v>
      </c>
    </row>
    <row r="3180" spans="1:11" hidden="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H3180" s="5">
        <v>3925</v>
      </c>
      <c r="I3180" s="6">
        <v>3071.95</v>
      </c>
      <c r="J3180" s="5">
        <v>22400</v>
      </c>
      <c r="K3180" s="6">
        <f t="shared" si="130"/>
        <v>1.2776900665700941</v>
      </c>
    </row>
    <row r="3181" spans="1:11" hidden="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H3181" s="5">
        <v>2275</v>
      </c>
      <c r="I3181" s="6">
        <v>1645.6875</v>
      </c>
      <c r="J3181" s="5">
        <v>12000</v>
      </c>
      <c r="K3181" s="6">
        <f t="shared" si="130"/>
        <v>1.3824009722380464</v>
      </c>
    </row>
    <row r="3182" spans="1:11" hidden="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H3182" s="5">
        <v>10880</v>
      </c>
      <c r="I3182" s="6">
        <v>4121.4642855494085</v>
      </c>
      <c r="J3182" s="5">
        <v>31200</v>
      </c>
      <c r="K3182" s="6">
        <f t="shared" si="130"/>
        <v>2.6398384763753087</v>
      </c>
    </row>
    <row r="3183" spans="1:11" hidden="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H3183" s="5">
        <v>2130</v>
      </c>
      <c r="I3183" s="6">
        <v>1056.7857142434418</v>
      </c>
      <c r="J3183" s="5">
        <v>8000</v>
      </c>
      <c r="K3183" s="6">
        <f t="shared" si="130"/>
        <v>2.0155457925780893</v>
      </c>
    </row>
    <row r="3184" spans="1:11" hidden="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H3184" s="5">
        <v>7860</v>
      </c>
      <c r="I3184" s="6">
        <v>2641.9642856076484</v>
      </c>
      <c r="J3184" s="5">
        <v>19996</v>
      </c>
      <c r="K3184" s="6">
        <f t="shared" si="130"/>
        <v>2.9750591417219745</v>
      </c>
    </row>
    <row r="3185" spans="1:11" hidden="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H3185" s="5">
        <v>1020</v>
      </c>
      <c r="I3185" s="6">
        <v>528.39285712153003</v>
      </c>
      <c r="J3185" s="5">
        <v>4000</v>
      </c>
      <c r="K3185" s="6">
        <f t="shared" si="130"/>
        <v>1.9303818858501349</v>
      </c>
    </row>
    <row r="3186" spans="1:11" hidden="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H3186" s="5">
        <v>2940</v>
      </c>
      <c r="I3186" s="6">
        <v>1902.2142856375078</v>
      </c>
      <c r="J3186" s="5">
        <v>14400</v>
      </c>
      <c r="K3186" s="6">
        <f t="shared" si="130"/>
        <v>1.5455671961871997</v>
      </c>
    </row>
    <row r="3187" spans="1:11" hidden="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H3187" s="5">
        <v>780</v>
      </c>
      <c r="I3187" s="6">
        <v>634.05652706821195</v>
      </c>
      <c r="J3187" s="5">
        <v>4800</v>
      </c>
      <c r="K3187" s="6">
        <f t="shared" si="130"/>
        <v>1.2301742300589666</v>
      </c>
    </row>
    <row r="3188" spans="1:11" hidden="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H3188" s="5">
        <v>7320</v>
      </c>
      <c r="I3188" s="6">
        <v>4487.9999999102474</v>
      </c>
      <c r="J3188" s="5">
        <v>31740</v>
      </c>
      <c r="K3188" s="6">
        <f t="shared" si="130"/>
        <v>1.6310160428133662</v>
      </c>
    </row>
    <row r="3189" spans="1:11" hidden="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H3189" s="5">
        <v>4900</v>
      </c>
      <c r="I3189" s="6">
        <v>1702.8</v>
      </c>
      <c r="J3189" s="5">
        <v>12900</v>
      </c>
      <c r="K3189" s="6">
        <f t="shared" si="130"/>
        <v>2.8776133427296218</v>
      </c>
    </row>
    <row r="3190" spans="1:11" hidden="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H3190" s="5">
        <v>6080</v>
      </c>
      <c r="I3190" s="6">
        <v>3009.6</v>
      </c>
      <c r="J3190" s="5">
        <v>22800</v>
      </c>
      <c r="K3190" s="6">
        <f t="shared" si="130"/>
        <v>2.0202020202020203</v>
      </c>
    </row>
    <row r="3191" spans="1:11" hidden="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H3191" s="5">
        <v>2850</v>
      </c>
      <c r="I3191" s="6">
        <v>1386</v>
      </c>
      <c r="J3191" s="5">
        <v>10500</v>
      </c>
      <c r="K3191" s="6">
        <f t="shared" si="130"/>
        <v>2.0562770562770565</v>
      </c>
    </row>
    <row r="3192" spans="1:11" hidden="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H3192" s="5">
        <v>2730</v>
      </c>
      <c r="I3192" s="6">
        <v>1386</v>
      </c>
      <c r="J3192" s="5">
        <v>10500</v>
      </c>
      <c r="K3192" s="6">
        <f t="shared" si="130"/>
        <v>1.9696969696969697</v>
      </c>
    </row>
    <row r="3193" spans="1:11" hidden="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H3193" s="5">
        <v>2400</v>
      </c>
      <c r="I3193" s="6">
        <v>1029.5999999999999</v>
      </c>
      <c r="J3193" s="5">
        <v>7800</v>
      </c>
      <c r="K3193" s="6">
        <f t="shared" si="130"/>
        <v>2.3310023310023311</v>
      </c>
    </row>
    <row r="3194" spans="1:11" hidden="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H3194" s="5">
        <v>5700</v>
      </c>
      <c r="I3194" s="6">
        <v>2653.2</v>
      </c>
      <c r="J3194" s="5">
        <v>20100</v>
      </c>
      <c r="K3194" s="6">
        <f t="shared" si="130"/>
        <v>2.1483491632745366</v>
      </c>
    </row>
    <row r="3195" spans="1:11" hidden="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H3195" s="5">
        <v>4320</v>
      </c>
      <c r="I3195" s="6">
        <v>1768.8</v>
      </c>
      <c r="J3195" s="5">
        <v>13400</v>
      </c>
      <c r="K3195" s="6">
        <f t="shared" si="130"/>
        <v>2.4423337856173677</v>
      </c>
    </row>
    <row r="3196" spans="1:11" hidden="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H3196" s="5">
        <v>1965</v>
      </c>
      <c r="I3196" s="6">
        <v>1029.5999999999999</v>
      </c>
      <c r="J3196" s="5">
        <v>7800</v>
      </c>
      <c r="K3196" s="6">
        <f t="shared" si="130"/>
        <v>1.9085081585081587</v>
      </c>
    </row>
    <row r="3197" spans="1:11" hidden="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H3197" s="5">
        <v>3850</v>
      </c>
      <c r="I3197" s="6">
        <v>1346.4</v>
      </c>
      <c r="J3197" s="5">
        <v>10200</v>
      </c>
      <c r="K3197" s="6">
        <f t="shared" si="130"/>
        <v>2.8594771241830061</v>
      </c>
    </row>
    <row r="3198" spans="1:11" hidden="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H3198" s="5">
        <v>810</v>
      </c>
      <c r="I3198" s="6">
        <v>440.18999062500001</v>
      </c>
      <c r="J3198" s="5">
        <v>3200</v>
      </c>
      <c r="K3198" s="6">
        <f t="shared" si="130"/>
        <v>1.840114535203148</v>
      </c>
    </row>
    <row r="3199" spans="1:11" hidden="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H3199" s="5">
        <v>2050</v>
      </c>
      <c r="I3199" s="6">
        <v>880.38</v>
      </c>
      <c r="J3199" s="5">
        <v>6400</v>
      </c>
      <c r="K3199" s="6">
        <f t="shared" si="130"/>
        <v>2.3285399486585336</v>
      </c>
    </row>
    <row r="3200" spans="1:11" hidden="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H3200" s="5">
        <v>600</v>
      </c>
      <c r="I3200" s="6">
        <v>330.14249999999998</v>
      </c>
      <c r="J3200" s="5">
        <v>2400</v>
      </c>
      <c r="K3200" s="6">
        <f t="shared" si="130"/>
        <v>1.8173970330993436</v>
      </c>
    </row>
    <row r="3201" spans="1:11" hidden="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H3201" s="5">
        <v>2900</v>
      </c>
      <c r="I3201" s="6">
        <v>1650.7125000000001</v>
      </c>
      <c r="J3201" s="5">
        <v>12000</v>
      </c>
      <c r="K3201" s="6">
        <f t="shared" si="130"/>
        <v>1.756817131996032</v>
      </c>
    </row>
    <row r="3202" spans="1:11" hidden="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H3202" s="5">
        <v>1820</v>
      </c>
      <c r="I3202" s="6">
        <v>1287.0000000000018</v>
      </c>
      <c r="J3202" s="5">
        <v>9400</v>
      </c>
      <c r="K3202" s="6">
        <f t="shared" si="130"/>
        <v>1.4141414141414121</v>
      </c>
    </row>
    <row r="3203" spans="1:11" hidden="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H3203" s="5">
        <v>2700</v>
      </c>
      <c r="I3203" s="6">
        <v>2641.14</v>
      </c>
      <c r="J3203" s="5">
        <v>19200</v>
      </c>
      <c r="K3203" s="6">
        <f t="shared" si="130"/>
        <v>1.0222858311183807</v>
      </c>
    </row>
    <row r="3204" spans="1:11" hidden="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H3204" s="5">
        <v>2160</v>
      </c>
      <c r="I3204" s="6">
        <v>880.38</v>
      </c>
      <c r="J3204" s="5">
        <v>6400</v>
      </c>
      <c r="K3204" s="6">
        <f t="shared" si="130"/>
        <v>2.4534859946841139</v>
      </c>
    </row>
    <row r="3205" spans="1:11" hidden="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H3205" s="5">
        <v>1260</v>
      </c>
      <c r="I3205" s="6">
        <v>880.38</v>
      </c>
      <c r="J3205" s="5">
        <v>6400</v>
      </c>
      <c r="K3205" s="6">
        <f t="shared" si="130"/>
        <v>1.431200163565733</v>
      </c>
    </row>
    <row r="3206" spans="1:11" hidden="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H3206" s="5">
        <v>910</v>
      </c>
      <c r="I3206" s="6">
        <v>1755.4</v>
      </c>
      <c r="J3206" s="5">
        <v>12800</v>
      </c>
      <c r="K3206" s="6">
        <f t="shared" si="130"/>
        <v>0.51840036458926742</v>
      </c>
    </row>
    <row r="3207" spans="1:11" hidden="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H3207" s="5">
        <v>2680</v>
      </c>
      <c r="I3207" s="6">
        <v>2413.6749943750001</v>
      </c>
      <c r="J3207" s="5">
        <v>17600</v>
      </c>
      <c r="K3207" s="6">
        <f t="shared" si="130"/>
        <v>1.110340044225367</v>
      </c>
    </row>
    <row r="3208" spans="1:11" hidden="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H3208" s="5">
        <v>4940</v>
      </c>
      <c r="I3208" s="6">
        <v>1645.6875</v>
      </c>
      <c r="J3208" s="5">
        <v>12000</v>
      </c>
      <c r="K3208" s="6">
        <f t="shared" si="130"/>
        <v>3.0017849682883293</v>
      </c>
    </row>
    <row r="3209" spans="1:11" hidden="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H3209" s="5">
        <v>660</v>
      </c>
      <c r="I3209" s="6">
        <v>726.32013058333712</v>
      </c>
      <c r="J3209" s="5">
        <v>5712</v>
      </c>
      <c r="K3209" s="6">
        <f t="shared" si="130"/>
        <v>0.90869022103232533</v>
      </c>
    </row>
    <row r="3210" spans="1:11" hidden="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H3210" s="5">
        <v>2340</v>
      </c>
      <c r="I3210" s="6">
        <v>924.39958333667107</v>
      </c>
      <c r="J3210" s="5">
        <v>6720</v>
      </c>
      <c r="K3210" s="6">
        <f t="shared" si="130"/>
        <v>2.5313728415515304</v>
      </c>
    </row>
    <row r="3211" spans="1:11" hidden="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H3211" s="5">
        <v>800</v>
      </c>
      <c r="I3211" s="6">
        <v>1122.485208333339</v>
      </c>
      <c r="J3211" s="5">
        <v>8160</v>
      </c>
      <c r="K3211" s="6">
        <f t="shared" si="130"/>
        <v>0.71270426911712847</v>
      </c>
    </row>
    <row r="3212" spans="1:11" hidden="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H3212" s="5">
        <v>320</v>
      </c>
      <c r="I3212" s="6">
        <v>396.17125000000198</v>
      </c>
      <c r="J3212" s="5">
        <v>2880</v>
      </c>
      <c r="K3212" s="6">
        <f t="shared" si="130"/>
        <v>0.80773150499941226</v>
      </c>
    </row>
    <row r="3213" spans="1:11" hidden="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H3213" s="5">
        <v>2220</v>
      </c>
      <c r="I3213" s="6">
        <v>1535.9749999999999</v>
      </c>
      <c r="J3213" s="5">
        <v>11200</v>
      </c>
      <c r="K3213" s="6">
        <f t="shared" si="130"/>
        <v>1.4453360243493547</v>
      </c>
    </row>
    <row r="3214" spans="1:11" hidden="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H3214" s="5">
        <v>1820</v>
      </c>
      <c r="I3214" s="6">
        <v>1535.9749999999999</v>
      </c>
      <c r="J3214" s="5">
        <v>11200</v>
      </c>
      <c r="K3214" s="6">
        <f t="shared" si="130"/>
        <v>1.1849151190611826</v>
      </c>
    </row>
    <row r="3215" spans="1:11" hidden="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H3215" s="5">
        <v>1080</v>
      </c>
      <c r="I3215" s="6">
        <v>594.25687500000299</v>
      </c>
      <c r="J3215" s="5">
        <v>4320</v>
      </c>
      <c r="K3215" s="6">
        <f t="shared" si="130"/>
        <v>1.8173958862486774</v>
      </c>
    </row>
    <row r="3216" spans="1:11" hidden="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H3216" s="5">
        <v>2580</v>
      </c>
      <c r="I3216" s="6">
        <v>2575.1131250013459</v>
      </c>
      <c r="J3216" s="5">
        <v>18720</v>
      </c>
      <c r="K3216" s="6">
        <f t="shared" si="130"/>
        <v>1.0018977321622138</v>
      </c>
    </row>
    <row r="3217" spans="1:11" hidden="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H3217" s="5">
        <v>1860</v>
      </c>
      <c r="I3217" s="6">
        <v>528.37931032368999</v>
      </c>
      <c r="J3217" s="5">
        <v>4000</v>
      </c>
      <c r="K3217" s="6">
        <f t="shared" ref="K3217:K3223" si="131">IFERROR(H3217/I3217,"")</f>
        <v>3.5201983947110778</v>
      </c>
    </row>
    <row r="3218" spans="1:11" hidden="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H3218" s="5">
        <v>3825</v>
      </c>
      <c r="I3218" s="6">
        <v>2272.0310343918732</v>
      </c>
      <c r="J3218" s="5">
        <v>17200</v>
      </c>
      <c r="K3218" s="6">
        <f t="shared" si="131"/>
        <v>1.6835157364053308</v>
      </c>
    </row>
    <row r="3219" spans="1:11" hidden="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H3219" s="5">
        <v>2070</v>
      </c>
      <c r="I3219" s="6">
        <v>1162.4344827121224</v>
      </c>
      <c r="J3219" s="5">
        <v>8800</v>
      </c>
      <c r="K3219" s="6">
        <f t="shared" si="131"/>
        <v>1.7807455222511983</v>
      </c>
    </row>
    <row r="3220" spans="1:11" hidden="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H3220" s="5">
        <v>1890</v>
      </c>
      <c r="I3220" s="6">
        <v>1162.4344827121181</v>
      </c>
      <c r="J3220" s="5">
        <v>8800</v>
      </c>
      <c r="K3220" s="6">
        <f t="shared" si="131"/>
        <v>1.6258980855337088</v>
      </c>
    </row>
    <row r="3221" spans="1:11" hidden="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H3221" s="5">
        <v>2550</v>
      </c>
      <c r="I3221" s="6">
        <v>1056.7586206473827</v>
      </c>
      <c r="J3221" s="5">
        <v>8000</v>
      </c>
      <c r="K3221" s="6">
        <f t="shared" si="131"/>
        <v>2.4130392221809744</v>
      </c>
    </row>
    <row r="3222" spans="1:11" hidden="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H3222" s="5">
        <v>2400</v>
      </c>
      <c r="I3222" s="6">
        <v>1109.596551679753</v>
      </c>
      <c r="J3222" s="5">
        <v>8400</v>
      </c>
      <c r="K3222" s="6">
        <f t="shared" si="131"/>
        <v>2.1629483224031123</v>
      </c>
    </row>
    <row r="3223" spans="1:11" hidden="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H3223" s="5">
        <v>3650</v>
      </c>
      <c r="I3223" s="6">
        <v>1902.1655171652881</v>
      </c>
      <c r="J3223" s="5">
        <v>14400</v>
      </c>
      <c r="K3223" s="6">
        <f t="shared" si="131"/>
        <v>1.9188656124097083</v>
      </c>
    </row>
    <row r="3224" spans="1:11" hidden="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H3224" s="5">
        <v>850</v>
      </c>
      <c r="I3224" s="6">
        <v>951.10714281909407</v>
      </c>
      <c r="J3224" s="5">
        <v>7200</v>
      </c>
      <c r="K3224" s="6">
        <f t="shared" si="130"/>
        <v>0.89369531752289111</v>
      </c>
    </row>
    <row r="3225" spans="1:11" hidden="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H3225" s="5">
        <v>7170</v>
      </c>
      <c r="I3225" s="6">
        <v>3804.4285712763772</v>
      </c>
      <c r="J3225" s="5">
        <v>28800</v>
      </c>
      <c r="K3225" s="6">
        <f t="shared" si="130"/>
        <v>1.8846457137173904</v>
      </c>
    </row>
    <row r="3226" spans="1:11" hidden="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H3226" s="5">
        <v>9750</v>
      </c>
      <c r="I3226" s="6">
        <v>2641.8965516184649</v>
      </c>
      <c r="J3226" s="5">
        <v>20000</v>
      </c>
      <c r="K3226" s="6">
        <f t="shared" si="130"/>
        <v>3.6905305751003028</v>
      </c>
    </row>
    <row r="3227" spans="1:11" hidden="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H3227" s="5">
        <v>15810</v>
      </c>
      <c r="I3227" s="6">
        <v>3592.9793102010913</v>
      </c>
      <c r="J3227" s="5">
        <v>26044</v>
      </c>
      <c r="K3227" s="6">
        <f t="shared" si="130"/>
        <v>4.4002479933888479</v>
      </c>
    </row>
    <row r="3228" spans="1:11" hidden="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H3228" s="5">
        <v>2300</v>
      </c>
      <c r="I3228" s="6">
        <v>1268.1103447768633</v>
      </c>
      <c r="J3228" s="5">
        <v>9600</v>
      </c>
      <c r="K3228" s="6">
        <f t="shared" si="130"/>
        <v>1.8137222911817725</v>
      </c>
    </row>
    <row r="3229" spans="1:11" hidden="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H3229" s="5">
        <v>950</v>
      </c>
      <c r="I3229" s="6">
        <v>528.37931032368999</v>
      </c>
      <c r="J3229" s="5">
        <v>4000</v>
      </c>
      <c r="K3229" s="6">
        <f t="shared" si="130"/>
        <v>1.7979507929975935</v>
      </c>
    </row>
    <row r="3230" spans="1:11" hidden="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H3230" s="5">
        <v>2220</v>
      </c>
      <c r="I3230" s="6">
        <v>1162.4344827121247</v>
      </c>
      <c r="J3230" s="5">
        <v>8800</v>
      </c>
      <c r="K3230" s="6">
        <f t="shared" si="130"/>
        <v>1.9097850528491076</v>
      </c>
    </row>
    <row r="3231" spans="1:11" hidden="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H3231" s="5">
        <v>930</v>
      </c>
      <c r="I3231" s="6">
        <v>528.3915024419166</v>
      </c>
      <c r="J3231" s="5">
        <v>4000</v>
      </c>
      <c r="K3231" s="6">
        <f t="shared" si="130"/>
        <v>1.7600585847843573</v>
      </c>
    </row>
    <row r="3232" spans="1:11" hidden="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H3232" s="5">
        <v>19050</v>
      </c>
      <c r="I3232" s="6">
        <v>3910.1071427007282</v>
      </c>
      <c r="J3232" s="5">
        <v>29260</v>
      </c>
      <c r="K3232" s="6">
        <f t="shared" si="130"/>
        <v>4.8719892588012517</v>
      </c>
    </row>
    <row r="3233" spans="1:11" hidden="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H3233" s="5">
        <v>1950</v>
      </c>
      <c r="I3233" s="6">
        <v>1902.2142856381945</v>
      </c>
      <c r="J3233" s="5">
        <v>14400</v>
      </c>
      <c r="K3233" s="6">
        <f t="shared" si="130"/>
        <v>1.0251210995115481</v>
      </c>
    </row>
    <row r="3234" spans="1:11" hidden="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H3234" s="5">
        <v>2940</v>
      </c>
      <c r="I3234" s="6">
        <v>1162.4642856677858</v>
      </c>
      <c r="J3234" s="5">
        <v>8800</v>
      </c>
      <c r="K3234" s="6">
        <f t="shared" si="130"/>
        <v>2.5291099573963223</v>
      </c>
    </row>
    <row r="3235" spans="1:11" hidden="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H3235" s="5">
        <v>780</v>
      </c>
      <c r="I3235" s="6">
        <v>317.03571427303262</v>
      </c>
      <c r="J3235" s="5">
        <v>2400</v>
      </c>
      <c r="K3235" s="6">
        <f t="shared" si="130"/>
        <v>2.4602906388277139</v>
      </c>
    </row>
    <row r="3236" spans="1:11" hidden="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H3236" s="5">
        <v>1075</v>
      </c>
      <c r="I3236" s="6">
        <v>951.10714281875391</v>
      </c>
      <c r="J3236" s="5">
        <v>7200</v>
      </c>
      <c r="K3236" s="6">
        <f t="shared" si="130"/>
        <v>1.1302617251028841</v>
      </c>
    </row>
    <row r="3237" spans="1:11" hidden="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H3237" s="5">
        <v>1500</v>
      </c>
      <c r="I3237" s="6">
        <v>898.26785710660101</v>
      </c>
      <c r="J3237" s="5">
        <v>6800</v>
      </c>
      <c r="K3237" s="6">
        <f t="shared" si="130"/>
        <v>1.6698805240918122</v>
      </c>
    </row>
    <row r="3238" spans="1:11" hidden="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H3238" s="5">
        <v>2675</v>
      </c>
      <c r="I3238" s="6">
        <v>1162.4642856673661</v>
      </c>
      <c r="J3238" s="5">
        <v>8800</v>
      </c>
      <c r="K3238" s="6">
        <f t="shared" si="130"/>
        <v>2.301145964638641</v>
      </c>
    </row>
    <row r="3239" spans="1:11" hidden="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H3239" s="5">
        <v>2400</v>
      </c>
      <c r="I3239" s="6">
        <v>686.91071425798896</v>
      </c>
      <c r="J3239" s="5">
        <v>5200</v>
      </c>
      <c r="K3239" s="6">
        <f t="shared" si="130"/>
        <v>3.4939038657920998</v>
      </c>
    </row>
    <row r="3240" spans="1:11" hidden="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H3240" s="5">
        <v>1725</v>
      </c>
      <c r="I3240" s="6">
        <v>845.428571394752</v>
      </c>
      <c r="J3240" s="5">
        <v>6400</v>
      </c>
      <c r="K3240" s="6">
        <f t="shared" si="130"/>
        <v>2.0403852653739496</v>
      </c>
    </row>
    <row r="3241" spans="1:11" hidden="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H3241" s="5">
        <v>5825</v>
      </c>
      <c r="I3241" s="6">
        <v>3910.1071427007355</v>
      </c>
      <c r="J3241" s="5">
        <v>29600</v>
      </c>
      <c r="K3241" s="6">
        <f t="shared" ref="K3241:K3303" si="133">+H3241/I3241</f>
        <v>1.4897289990822697</v>
      </c>
    </row>
    <row r="3242" spans="1:11" hidden="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H3242" s="5">
        <v>8150</v>
      </c>
      <c r="I3242" s="6">
        <v>4015.7857141250793</v>
      </c>
      <c r="J3242" s="5">
        <v>30400</v>
      </c>
      <c r="K3242" s="6">
        <f t="shared" si="133"/>
        <v>2.0294907597617278</v>
      </c>
    </row>
    <row r="3243" spans="1:11" hidden="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H3243" s="5">
        <v>6840</v>
      </c>
      <c r="I3243" s="6">
        <v>2747.5751230427709</v>
      </c>
      <c r="J3243" s="5">
        <v>20800</v>
      </c>
      <c r="K3243" s="6">
        <f t="shared" si="133"/>
        <v>2.4894678739211757</v>
      </c>
    </row>
    <row r="3244" spans="1:11" hidden="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H3244" s="5">
        <v>1110</v>
      </c>
      <c r="I3244" s="6">
        <v>1056.75862064738</v>
      </c>
      <c r="J3244" s="5">
        <v>9600</v>
      </c>
      <c r="K3244" s="6">
        <f t="shared" si="133"/>
        <v>1.0503817790670151</v>
      </c>
    </row>
    <row r="3245" spans="1:11" hidden="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H3245" s="5">
        <v>0</v>
      </c>
      <c r="I3245" s="6">
        <v>317.02758619421581</v>
      </c>
      <c r="J3245" s="5">
        <v>2640</v>
      </c>
      <c r="K3245" s="6">
        <f t="shared" si="133"/>
        <v>0</v>
      </c>
    </row>
    <row r="3246" spans="1:11" hidden="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H3246" s="5">
        <v>0</v>
      </c>
      <c r="I3246" s="6">
        <v>52.837931032368999</v>
      </c>
      <c r="J3246" s="5">
        <v>440</v>
      </c>
      <c r="K3246" s="6">
        <f t="shared" si="133"/>
        <v>0</v>
      </c>
    </row>
    <row r="3247" spans="1:11" hidden="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H3247" s="5">
        <v>12660</v>
      </c>
      <c r="I3247" s="6">
        <v>3592.9793102011122</v>
      </c>
      <c r="J3247" s="5">
        <v>27820</v>
      </c>
      <c r="K3247" s="6">
        <f t="shared" si="133"/>
        <v>3.5235382413853569</v>
      </c>
    </row>
    <row r="3248" spans="1:11" hidden="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H3248" s="5">
        <v>9030</v>
      </c>
      <c r="I3248" s="6">
        <v>1585.2222221588099</v>
      </c>
      <c r="J3248" s="5">
        <v>11490</v>
      </c>
      <c r="K3248" s="6">
        <f t="shared" si="133"/>
        <v>5.6963622347550977</v>
      </c>
    </row>
    <row r="3249" spans="1:11" hidden="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H3249" s="5">
        <v>6000</v>
      </c>
      <c r="I3249" s="6">
        <v>2219.311111022334</v>
      </c>
      <c r="J3249" s="5">
        <v>16800</v>
      </c>
      <c r="K3249" s="6">
        <f t="shared" si="133"/>
        <v>2.7035416396559548</v>
      </c>
    </row>
    <row r="3250" spans="1:11" hidden="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H3250" s="5">
        <v>4800</v>
      </c>
      <c r="I3250" s="6">
        <v>2959.0814813631118</v>
      </c>
      <c r="J3250" s="5">
        <v>22400</v>
      </c>
      <c r="K3250" s="6">
        <f t="shared" si="133"/>
        <v>1.6221249837935732</v>
      </c>
    </row>
    <row r="3251" spans="1:11" hidden="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H3251" s="5">
        <v>0</v>
      </c>
      <c r="I3251" s="6">
        <v>1796.5851851133182</v>
      </c>
      <c r="J3251" s="5">
        <v>13600</v>
      </c>
      <c r="K3251" s="6">
        <f t="shared" si="133"/>
        <v>0</v>
      </c>
    </row>
    <row r="3252" spans="1:11" hidden="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H3252" s="5">
        <v>1925</v>
      </c>
      <c r="I3252" s="6">
        <v>1912.3542857142861</v>
      </c>
      <c r="J3252" s="5">
        <v>16320</v>
      </c>
      <c r="K3252" s="6">
        <f t="shared" si="133"/>
        <v>1.0066126420089521</v>
      </c>
    </row>
    <row r="3253" spans="1:11" hidden="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H3253" s="5">
        <v>1260</v>
      </c>
      <c r="I3253" s="6">
        <v>2812.2857142428579</v>
      </c>
      <c r="J3253" s="5">
        <v>20000</v>
      </c>
      <c r="K3253" s="6">
        <f t="shared" si="133"/>
        <v>0.448034135940994</v>
      </c>
    </row>
    <row r="3254" spans="1:11" hidden="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H3254" s="5">
        <v>4150</v>
      </c>
      <c r="I3254" s="6">
        <v>1768.8376470588223</v>
      </c>
      <c r="J3254" s="5">
        <v>12800</v>
      </c>
      <c r="K3254" s="6">
        <f t="shared" si="133"/>
        <v>2.3461734924629818</v>
      </c>
    </row>
    <row r="3255" spans="1:11" hidden="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H3255" s="5">
        <v>5480</v>
      </c>
      <c r="I3255" s="6">
        <v>2263.7999998868127</v>
      </c>
      <c r="J3255" s="5">
        <v>17920</v>
      </c>
      <c r="K3255" s="6">
        <f t="shared" si="133"/>
        <v>2.4207085432785553</v>
      </c>
    </row>
    <row r="3256" spans="1:11" hidden="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H3256" s="5">
        <v>2520</v>
      </c>
      <c r="I3256" s="6">
        <v>994.97117647058747</v>
      </c>
      <c r="J3256" s="5">
        <v>7200</v>
      </c>
      <c r="K3256" s="6">
        <f t="shared" si="133"/>
        <v>2.5327366858395561</v>
      </c>
    </row>
    <row r="3257" spans="1:11" hidden="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H3257" s="5">
        <v>2250</v>
      </c>
      <c r="I3257" s="6">
        <v>994.97117647058747</v>
      </c>
      <c r="J3257" s="5">
        <v>7920</v>
      </c>
      <c r="K3257" s="6">
        <f t="shared" si="133"/>
        <v>2.2613720409281752</v>
      </c>
    </row>
    <row r="3258" spans="1:11" hidden="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H3258" s="5">
        <v>4175</v>
      </c>
      <c r="I3258" s="6">
        <v>2263.7999998868127</v>
      </c>
      <c r="J3258" s="5">
        <v>17920</v>
      </c>
      <c r="K3258" s="6">
        <f t="shared" si="133"/>
        <v>1.8442441912751768</v>
      </c>
    </row>
    <row r="3259" spans="1:11" hidden="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H3259" s="5">
        <v>22500</v>
      </c>
      <c r="I3259" s="6">
        <v>6727.0499997982479</v>
      </c>
      <c r="J3259" s="5">
        <v>49210</v>
      </c>
      <c r="K3259" s="6">
        <f t="shared" si="133"/>
        <v>3.3447053315606099</v>
      </c>
    </row>
    <row r="3260" spans="1:11" hidden="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H3260" s="5">
        <v>1920</v>
      </c>
      <c r="I3260" s="6">
        <v>994.95</v>
      </c>
      <c r="J3260" s="5">
        <v>7200</v>
      </c>
      <c r="K3260" s="6">
        <f t="shared" si="133"/>
        <v>1.9297452133273028</v>
      </c>
    </row>
    <row r="3261" spans="1:11" hidden="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H3261" s="5">
        <v>2075</v>
      </c>
      <c r="I3261" s="6">
        <v>831.6</v>
      </c>
      <c r="J3261" s="5">
        <v>6300</v>
      </c>
      <c r="K3261" s="6">
        <f t="shared" si="133"/>
        <v>2.4951899951899952</v>
      </c>
    </row>
    <row r="3262" spans="1:11" hidden="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H3262" s="5">
        <v>4325</v>
      </c>
      <c r="I3262" s="6">
        <v>1267.2</v>
      </c>
      <c r="J3262" s="5">
        <v>9600</v>
      </c>
      <c r="K3262" s="6">
        <f t="shared" si="133"/>
        <v>3.4130366161616159</v>
      </c>
    </row>
    <row r="3263" spans="1:11" hidden="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H3263" s="5">
        <v>900</v>
      </c>
      <c r="I3263" s="6">
        <v>316.8</v>
      </c>
      <c r="J3263" s="5">
        <v>2400</v>
      </c>
      <c r="K3263" s="6">
        <f t="shared" si="133"/>
        <v>2.8409090909090908</v>
      </c>
    </row>
    <row r="3264" spans="1:11" hidden="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H3264" s="5">
        <v>11460</v>
      </c>
      <c r="I3264" s="6">
        <v>3603.6</v>
      </c>
      <c r="J3264" s="5">
        <v>27296</v>
      </c>
      <c r="K3264" s="6">
        <f t="shared" si="133"/>
        <v>3.1801531801531802</v>
      </c>
    </row>
    <row r="3265" spans="1:11" hidden="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H3265" s="5">
        <v>8750</v>
      </c>
      <c r="I3265" s="6">
        <v>3682.8</v>
      </c>
      <c r="J3265" s="5">
        <v>27900</v>
      </c>
      <c r="K3265" s="6">
        <f t="shared" si="133"/>
        <v>2.3759096339741501</v>
      </c>
    </row>
    <row r="3266" spans="1:11" hidden="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H3266" s="5">
        <v>6300</v>
      </c>
      <c r="I3266" s="6">
        <v>2376</v>
      </c>
      <c r="J3266" s="5">
        <v>18000</v>
      </c>
      <c r="K3266" s="6">
        <f t="shared" si="133"/>
        <v>2.6515151515151514</v>
      </c>
    </row>
    <row r="3267" spans="1:11" hidden="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H3267" s="5">
        <v>2520</v>
      </c>
      <c r="I3267" s="6">
        <v>950.4</v>
      </c>
      <c r="J3267" s="5">
        <v>7200</v>
      </c>
      <c r="K3267" s="6">
        <f t="shared" si="133"/>
        <v>2.6515151515151514</v>
      </c>
    </row>
    <row r="3268" spans="1:11" hidden="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H3268" s="5">
        <v>3825</v>
      </c>
      <c r="I3268" s="6">
        <v>1346.4</v>
      </c>
      <c r="J3268" s="5">
        <v>10200</v>
      </c>
      <c r="K3268" s="6">
        <f t="shared" si="133"/>
        <v>2.8409090909090908</v>
      </c>
    </row>
    <row r="3269" spans="1:11" hidden="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H3269" s="5">
        <v>6780</v>
      </c>
      <c r="I3269" s="6">
        <v>2851.2</v>
      </c>
      <c r="J3269" s="5">
        <v>21600</v>
      </c>
      <c r="K3269" s="6">
        <f t="shared" si="133"/>
        <v>2.377946127946128</v>
      </c>
    </row>
    <row r="3270" spans="1:11" hidden="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H3270" s="5">
        <v>3550</v>
      </c>
      <c r="I3270" s="6">
        <v>2138.4</v>
      </c>
      <c r="J3270" s="5">
        <v>16200</v>
      </c>
      <c r="K3270" s="6">
        <f t="shared" si="133"/>
        <v>1.6601197156752712</v>
      </c>
    </row>
    <row r="3271" spans="1:11" hidden="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H3271" s="5">
        <v>2600</v>
      </c>
      <c r="I3271" s="6">
        <v>963.6</v>
      </c>
      <c r="J3271" s="5">
        <v>7570</v>
      </c>
      <c r="K3271" s="6">
        <f t="shared" si="133"/>
        <v>2.6982150269821501</v>
      </c>
    </row>
    <row r="3272" spans="1:11" hidden="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H3272" s="5">
        <v>9775</v>
      </c>
      <c r="I3272" s="6">
        <v>3168</v>
      </c>
      <c r="J3272" s="5">
        <v>24000</v>
      </c>
      <c r="K3272" s="6">
        <f t="shared" si="133"/>
        <v>3.0855429292929295</v>
      </c>
    </row>
    <row r="3273" spans="1:11" hidden="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H3273" s="5">
        <v>3690</v>
      </c>
      <c r="I3273" s="6">
        <v>1188</v>
      </c>
      <c r="J3273" s="5">
        <v>9000</v>
      </c>
      <c r="K3273" s="6">
        <f t="shared" si="133"/>
        <v>3.106060606060606</v>
      </c>
    </row>
    <row r="3274" spans="1:11" hidden="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H3274" s="5">
        <v>6075</v>
      </c>
      <c r="I3274" s="6">
        <v>2732.4</v>
      </c>
      <c r="J3274" s="5">
        <v>20700</v>
      </c>
      <c r="K3274" s="6">
        <f t="shared" si="133"/>
        <v>2.2233201581027666</v>
      </c>
    </row>
    <row r="3275" spans="1:11" hidden="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H3275" s="5">
        <v>1440</v>
      </c>
      <c r="I3275" s="6">
        <v>673.2</v>
      </c>
      <c r="J3275" s="5">
        <v>5100</v>
      </c>
      <c r="K3275" s="6">
        <f t="shared" si="133"/>
        <v>2.1390374331550799</v>
      </c>
    </row>
    <row r="3276" spans="1:11" hidden="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H3276" s="5">
        <v>1175</v>
      </c>
      <c r="I3276" s="6">
        <v>1100.4749999999999</v>
      </c>
      <c r="J3276" s="5">
        <v>8000</v>
      </c>
      <c r="K3276" s="6">
        <f t="shared" si="133"/>
        <v>1.0677207569458644</v>
      </c>
    </row>
    <row r="3277" spans="1:11" hidden="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H3277" s="5">
        <v>3100</v>
      </c>
      <c r="I3277" s="6">
        <v>1287</v>
      </c>
      <c r="J3277" s="5">
        <v>9400</v>
      </c>
      <c r="K3277" s="6">
        <f t="shared" si="133"/>
        <v>2.4087024087024087</v>
      </c>
    </row>
    <row r="3278" spans="1:11" hidden="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H3278" s="5">
        <v>5940</v>
      </c>
      <c r="I3278" s="6">
        <v>2641.14</v>
      </c>
      <c r="J3278" s="5">
        <v>19200</v>
      </c>
      <c r="K3278" s="6">
        <f t="shared" si="133"/>
        <v>2.2490288284604376</v>
      </c>
    </row>
    <row r="3279" spans="1:11" hidden="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H3279" s="5">
        <v>8340</v>
      </c>
      <c r="I3279" s="6">
        <v>2641.14</v>
      </c>
      <c r="J3279" s="5">
        <v>19200</v>
      </c>
      <c r="K3279" s="6">
        <f t="shared" si="133"/>
        <v>3.1577273450101093</v>
      </c>
    </row>
    <row r="3280" spans="1:11" hidden="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H3280" s="5">
        <v>3000</v>
      </c>
      <c r="I3280" s="6">
        <v>1430.6174906250001</v>
      </c>
      <c r="J3280" s="5">
        <v>10400</v>
      </c>
      <c r="K3280" s="6">
        <f t="shared" si="133"/>
        <v>2.096996590394947</v>
      </c>
    </row>
    <row r="3281" spans="1:11" hidden="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H3281" s="5">
        <v>1020</v>
      </c>
      <c r="I3281" s="6">
        <v>1430.6175000000001</v>
      </c>
      <c r="J3281" s="5">
        <v>10400</v>
      </c>
      <c r="K3281" s="6">
        <f t="shared" si="133"/>
        <v>0.71297883606205015</v>
      </c>
    </row>
    <row r="3282" spans="1:11" hidden="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H3282" s="5">
        <v>2220</v>
      </c>
      <c r="I3282" s="6">
        <v>2861.2350000000001</v>
      </c>
      <c r="J3282" s="5">
        <v>20800</v>
      </c>
      <c r="K3282" s="6">
        <f t="shared" si="133"/>
        <v>0.77588873336164277</v>
      </c>
    </row>
    <row r="3283" spans="1:11" hidden="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H3283" s="5">
        <v>5825</v>
      </c>
      <c r="I3283" s="6">
        <v>3071.9505625000002</v>
      </c>
      <c r="J3283" s="5">
        <v>22400</v>
      </c>
      <c r="K3283" s="6">
        <f t="shared" si="133"/>
        <v>1.8961893694212077</v>
      </c>
    </row>
    <row r="3284" spans="1:11" hidden="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H3284" s="5">
        <v>6750</v>
      </c>
      <c r="I3284" s="6">
        <v>1097.125</v>
      </c>
      <c r="J3284" s="5">
        <v>8000</v>
      </c>
      <c r="K3284" s="6">
        <f t="shared" si="133"/>
        <v>6.1524438874330638</v>
      </c>
    </row>
    <row r="3285" spans="1:11" hidden="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H3285" s="5">
        <v>7350</v>
      </c>
      <c r="I3285" s="6">
        <v>2852.5250000000001</v>
      </c>
      <c r="J3285" s="5">
        <v>20800</v>
      </c>
      <c r="K3285" s="6">
        <f t="shared" si="133"/>
        <v>2.5766645340531635</v>
      </c>
    </row>
    <row r="3286" spans="1:11" hidden="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H3286" s="5">
        <v>4200</v>
      </c>
      <c r="I3286" s="6">
        <v>2633.1</v>
      </c>
      <c r="J3286" s="5">
        <v>19200</v>
      </c>
      <c r="K3286" s="6">
        <f t="shared" si="133"/>
        <v>1.5950780448900537</v>
      </c>
    </row>
    <row r="3287" spans="1:11" hidden="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H3287" s="5">
        <v>3330</v>
      </c>
      <c r="I3287" s="6">
        <v>2633.1</v>
      </c>
      <c r="J3287" s="5">
        <v>19200</v>
      </c>
      <c r="K3287" s="6">
        <f t="shared" si="133"/>
        <v>1.2646690213056853</v>
      </c>
    </row>
    <row r="3288" spans="1:11" hidden="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H3288" s="5">
        <v>2460</v>
      </c>
      <c r="I3288" s="6">
        <v>2852.5250000000001</v>
      </c>
      <c r="J3288" s="5">
        <v>20800</v>
      </c>
      <c r="K3288" s="6">
        <f t="shared" si="133"/>
        <v>0.8623938440504465</v>
      </c>
    </row>
    <row r="3289" spans="1:11" hidden="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H3289" s="5">
        <v>9150</v>
      </c>
      <c r="I3289" s="6">
        <v>2852.5250000000001</v>
      </c>
      <c r="J3289" s="5">
        <v>20800</v>
      </c>
      <c r="K3289" s="6">
        <f t="shared" si="133"/>
        <v>3.207684419943734</v>
      </c>
    </row>
    <row r="3290" spans="1:11" hidden="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H3290" s="5">
        <v>5875</v>
      </c>
      <c r="I3290" s="6">
        <v>3071.95</v>
      </c>
      <c r="J3290" s="5">
        <v>22400</v>
      </c>
      <c r="K3290" s="6">
        <f t="shared" si="133"/>
        <v>1.9124660232100132</v>
      </c>
    </row>
    <row r="3291" spans="1:11" hidden="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H3291" s="5">
        <v>1775</v>
      </c>
      <c r="I3291" s="6">
        <v>1645.6875</v>
      </c>
      <c r="J3291" s="5">
        <v>12000</v>
      </c>
      <c r="K3291" s="6">
        <f t="shared" si="133"/>
        <v>1.078576582735179</v>
      </c>
    </row>
    <row r="3292" spans="1:11" hidden="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H3292" s="5">
        <v>10120</v>
      </c>
      <c r="I3292" s="6">
        <v>4121.4642855494085</v>
      </c>
      <c r="J3292" s="5">
        <v>31200</v>
      </c>
      <c r="K3292" s="6">
        <f t="shared" si="133"/>
        <v>2.4554379945696803</v>
      </c>
    </row>
    <row r="3293" spans="1:11" hidden="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H3293" s="5">
        <v>2055</v>
      </c>
      <c r="I3293" s="6">
        <v>1056.7857142434418</v>
      </c>
      <c r="J3293" s="5">
        <v>8000</v>
      </c>
      <c r="K3293" s="6">
        <f t="shared" si="133"/>
        <v>1.9445758703042129</v>
      </c>
    </row>
    <row r="3294" spans="1:11" hidden="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H3294" s="5">
        <v>9090</v>
      </c>
      <c r="I3294" s="6">
        <v>2641.9642856076484</v>
      </c>
      <c r="J3294" s="5">
        <v>19996</v>
      </c>
      <c r="K3294" s="6">
        <f t="shared" si="133"/>
        <v>3.4406218318387718</v>
      </c>
    </row>
    <row r="3295" spans="1:11" hidden="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H3295" s="5">
        <v>1260</v>
      </c>
      <c r="I3295" s="6">
        <v>528.39285712153003</v>
      </c>
      <c r="J3295" s="5">
        <v>4000</v>
      </c>
      <c r="K3295" s="6">
        <f t="shared" si="133"/>
        <v>2.384589388403108</v>
      </c>
    </row>
    <row r="3296" spans="1:11" hidden="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H3296" s="5">
        <v>3000</v>
      </c>
      <c r="I3296" s="6">
        <v>1902.2142856375078</v>
      </c>
      <c r="J3296" s="5">
        <v>14400</v>
      </c>
      <c r="K3296" s="6">
        <f t="shared" si="133"/>
        <v>1.5771093838644894</v>
      </c>
    </row>
    <row r="3297" spans="1:11" hidden="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H3297" s="5">
        <v>1300</v>
      </c>
      <c r="I3297" s="6">
        <v>634.05652706821195</v>
      </c>
      <c r="J3297" s="5">
        <v>4800</v>
      </c>
      <c r="K3297" s="6">
        <f t="shared" si="133"/>
        <v>2.0502903834316113</v>
      </c>
    </row>
    <row r="3298" spans="1:11" hidden="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H3298" s="5">
        <v>9360</v>
      </c>
      <c r="I3298" s="6">
        <v>4487.9999999102474</v>
      </c>
      <c r="J3298" s="5">
        <v>31740</v>
      </c>
      <c r="K3298" s="6">
        <f t="shared" si="133"/>
        <v>2.0855614973679111</v>
      </c>
    </row>
    <row r="3299" spans="1:11" hidden="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H3299" s="5">
        <v>4550</v>
      </c>
      <c r="I3299" s="6">
        <v>1702.8</v>
      </c>
      <c r="J3299" s="5">
        <v>12900</v>
      </c>
      <c r="K3299" s="6">
        <f t="shared" si="133"/>
        <v>2.6720695325346489</v>
      </c>
    </row>
    <row r="3300" spans="1:11" hidden="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H3300" s="5">
        <v>7700</v>
      </c>
      <c r="I3300" s="6">
        <v>3009.6</v>
      </c>
      <c r="J3300" s="5">
        <v>22800</v>
      </c>
      <c r="K3300" s="6">
        <f t="shared" si="133"/>
        <v>2.5584795321637426</v>
      </c>
    </row>
    <row r="3301" spans="1:11" hidden="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H3301" s="5">
        <v>2760</v>
      </c>
      <c r="I3301" s="6">
        <v>1386</v>
      </c>
      <c r="J3301" s="5">
        <v>10500</v>
      </c>
      <c r="K3301" s="6">
        <f t="shared" si="133"/>
        <v>1.9913419913419914</v>
      </c>
    </row>
    <row r="3302" spans="1:11" hidden="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H3302" s="5">
        <v>2760</v>
      </c>
      <c r="I3302" s="6">
        <v>1386</v>
      </c>
      <c r="J3302" s="5">
        <v>10500</v>
      </c>
      <c r="K3302" s="6">
        <f t="shared" si="133"/>
        <v>1.9913419913419914</v>
      </c>
    </row>
    <row r="3303" spans="1:11" hidden="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H3303" s="5">
        <v>2575</v>
      </c>
      <c r="I3303" s="6">
        <v>1029.5999999999999</v>
      </c>
      <c r="J3303" s="5">
        <v>7800</v>
      </c>
      <c r="K3303" s="6">
        <f t="shared" si="133"/>
        <v>2.5009712509712512</v>
      </c>
    </row>
    <row r="3304" spans="1:11" hidden="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H3304" s="5">
        <v>6275</v>
      </c>
      <c r="I3304" s="6">
        <v>2653.2</v>
      </c>
      <c r="J3304" s="5">
        <v>20100</v>
      </c>
      <c r="K3304" s="6">
        <f t="shared" ref="K3304:K3366" si="135">+H3304/I3304</f>
        <v>2.3650685964118803</v>
      </c>
    </row>
    <row r="3305" spans="1:11" hidden="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H3305" s="5">
        <v>5820</v>
      </c>
      <c r="I3305" s="6">
        <v>1768.8</v>
      </c>
      <c r="J3305" s="5">
        <v>13400</v>
      </c>
      <c r="K3305" s="6">
        <f t="shared" si="135"/>
        <v>3.2903663500678428</v>
      </c>
    </row>
    <row r="3306" spans="1:11" hidden="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H3306" s="5">
        <v>2520</v>
      </c>
      <c r="I3306" s="6">
        <v>1029.5999999999999</v>
      </c>
      <c r="J3306" s="5">
        <v>7800</v>
      </c>
      <c r="K3306" s="6">
        <f t="shared" si="135"/>
        <v>2.4475524475524479</v>
      </c>
    </row>
    <row r="3307" spans="1:11" hidden="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H3307" s="5">
        <v>4450</v>
      </c>
      <c r="I3307" s="6">
        <v>1346.4</v>
      </c>
      <c r="J3307" s="5">
        <v>10200</v>
      </c>
      <c r="K3307" s="6">
        <f t="shared" si="135"/>
        <v>3.3051099227569813</v>
      </c>
    </row>
    <row r="3308" spans="1:11" hidden="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H3308" s="5">
        <v>540</v>
      </c>
      <c r="I3308" s="6">
        <v>440.18999062500001</v>
      </c>
      <c r="J3308" s="5">
        <v>3200</v>
      </c>
      <c r="K3308" s="6">
        <f t="shared" si="135"/>
        <v>1.2267430234687653</v>
      </c>
    </row>
    <row r="3309" spans="1:11" hidden="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H3309" s="5">
        <v>1850</v>
      </c>
      <c r="I3309" s="6">
        <v>880.38</v>
      </c>
      <c r="J3309" s="5">
        <v>6400</v>
      </c>
      <c r="K3309" s="6">
        <f t="shared" si="135"/>
        <v>2.1013653195211157</v>
      </c>
    </row>
    <row r="3310" spans="1:11" hidden="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H3310" s="5">
        <v>675</v>
      </c>
      <c r="I3310" s="6">
        <v>330.14249999999998</v>
      </c>
      <c r="J3310" s="5">
        <v>2400</v>
      </c>
      <c r="K3310" s="6">
        <f t="shared" si="135"/>
        <v>2.0445716622367613</v>
      </c>
    </row>
    <row r="3311" spans="1:11" hidden="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H3311" s="5">
        <v>2525</v>
      </c>
      <c r="I3311" s="6">
        <v>1650.7125000000001</v>
      </c>
      <c r="J3311" s="5">
        <v>12000</v>
      </c>
      <c r="K3311" s="6">
        <f t="shared" si="135"/>
        <v>1.529642502858614</v>
      </c>
    </row>
    <row r="3312" spans="1:11" hidden="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H3312" s="5">
        <v>3080</v>
      </c>
      <c r="I3312" s="6">
        <v>1287.0000000000018</v>
      </c>
      <c r="J3312" s="5">
        <v>9400</v>
      </c>
      <c r="K3312" s="6">
        <f t="shared" si="135"/>
        <v>2.39316239316239</v>
      </c>
    </row>
    <row r="3313" spans="1:11" hidden="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H3313" s="5">
        <v>3975</v>
      </c>
      <c r="I3313" s="6">
        <v>2641.14</v>
      </c>
      <c r="J3313" s="5">
        <v>19200</v>
      </c>
      <c r="K3313" s="6">
        <f t="shared" si="135"/>
        <v>1.5050319180353939</v>
      </c>
    </row>
    <row r="3314" spans="1:11" hidden="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H3314" s="5">
        <v>1890</v>
      </c>
      <c r="I3314" s="6">
        <v>880.38</v>
      </c>
      <c r="J3314" s="5">
        <v>6400</v>
      </c>
      <c r="K3314" s="6">
        <f t="shared" si="135"/>
        <v>2.1468002453485995</v>
      </c>
    </row>
    <row r="3315" spans="1:11" hidden="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H3315" s="5">
        <v>1300</v>
      </c>
      <c r="I3315" s="6">
        <v>880.38</v>
      </c>
      <c r="J3315" s="5">
        <v>6400</v>
      </c>
      <c r="K3315" s="6">
        <f t="shared" si="135"/>
        <v>1.4766350893932165</v>
      </c>
    </row>
    <row r="3316" spans="1:11" hidden="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H3316" s="5">
        <v>1110</v>
      </c>
      <c r="I3316" s="6">
        <v>1755.4</v>
      </c>
      <c r="J3316" s="5">
        <v>12800</v>
      </c>
      <c r="K3316" s="6">
        <f t="shared" si="135"/>
        <v>0.63233451065284263</v>
      </c>
    </row>
    <row r="3317" spans="1:11" hidden="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H3317" s="5">
        <v>4040</v>
      </c>
      <c r="I3317" s="6">
        <v>2413.6749943750001</v>
      </c>
      <c r="J3317" s="5">
        <v>17600</v>
      </c>
      <c r="K3317" s="6">
        <f t="shared" si="135"/>
        <v>1.6737961860710755</v>
      </c>
    </row>
    <row r="3318" spans="1:11" hidden="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H3318" s="5">
        <v>4920</v>
      </c>
      <c r="I3318" s="6">
        <v>1645.6875</v>
      </c>
      <c r="J3318" s="5">
        <v>12000</v>
      </c>
      <c r="K3318" s="6">
        <f t="shared" si="135"/>
        <v>2.9896319927082144</v>
      </c>
    </row>
    <row r="3319" spans="1:11" hidden="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H3319" s="5">
        <v>820</v>
      </c>
      <c r="I3319" s="6">
        <v>726.32013058333712</v>
      </c>
      <c r="J3319" s="5">
        <v>5712</v>
      </c>
      <c r="K3319" s="6">
        <f t="shared" si="135"/>
        <v>1.1289787594644043</v>
      </c>
    </row>
    <row r="3320" spans="1:11" hidden="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H3320" s="5">
        <v>2100</v>
      </c>
      <c r="I3320" s="6">
        <v>924.39958333667107</v>
      </c>
      <c r="J3320" s="5">
        <v>6720</v>
      </c>
      <c r="K3320" s="6">
        <f t="shared" si="135"/>
        <v>2.2717448578026556</v>
      </c>
    </row>
    <row r="3321" spans="1:11" hidden="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H3321" s="5">
        <v>2160</v>
      </c>
      <c r="I3321" s="6">
        <v>1122.485208333339</v>
      </c>
      <c r="J3321" s="5">
        <v>8160</v>
      </c>
      <c r="K3321" s="6">
        <f t="shared" si="135"/>
        <v>1.9243015266162469</v>
      </c>
    </row>
    <row r="3322" spans="1:11" hidden="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H3322" s="5">
        <v>300</v>
      </c>
      <c r="I3322" s="6">
        <v>396.17125000000198</v>
      </c>
      <c r="J3322" s="5">
        <v>2880</v>
      </c>
      <c r="K3322" s="6">
        <f t="shared" si="135"/>
        <v>0.75724828593694904</v>
      </c>
    </row>
    <row r="3323" spans="1:11" hidden="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H3323" s="5">
        <v>3150</v>
      </c>
      <c r="I3323" s="6">
        <v>1535.9749999999999</v>
      </c>
      <c r="J3323" s="5">
        <v>11200</v>
      </c>
      <c r="K3323" s="6">
        <f t="shared" si="135"/>
        <v>2.0508146291443548</v>
      </c>
    </row>
    <row r="3324" spans="1:11" hidden="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H3324" s="5">
        <v>1740</v>
      </c>
      <c r="I3324" s="6">
        <v>1535.9749999999999</v>
      </c>
      <c r="J3324" s="5">
        <v>11200</v>
      </c>
      <c r="K3324" s="6">
        <f t="shared" si="135"/>
        <v>1.1328309380035484</v>
      </c>
    </row>
    <row r="3325" spans="1:11" hidden="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H3325" s="5">
        <v>1110</v>
      </c>
      <c r="I3325" s="6">
        <v>594.25687500000299</v>
      </c>
      <c r="J3325" s="5">
        <v>4320</v>
      </c>
      <c r="K3325" s="6">
        <f t="shared" si="135"/>
        <v>1.8678791053111408</v>
      </c>
    </row>
    <row r="3326" spans="1:11" hidden="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H3326" s="5">
        <v>2280</v>
      </c>
      <c r="I3326" s="6">
        <v>2575.1131250013459</v>
      </c>
      <c r="J3326" s="5">
        <v>18720</v>
      </c>
      <c r="K3326" s="6">
        <f t="shared" si="135"/>
        <v>0.88539799586428203</v>
      </c>
    </row>
    <row r="3327" spans="1:11" hidden="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H3327" s="5">
        <v>1890</v>
      </c>
      <c r="I3327" s="6">
        <v>528.37931032368999</v>
      </c>
      <c r="J3327" s="5">
        <v>4000</v>
      </c>
      <c r="K3327" s="6">
        <f t="shared" ref="K3327:K3333" si="136">IFERROR(H3327/I3327,"")</f>
        <v>3.5769757881741597</v>
      </c>
    </row>
    <row r="3328" spans="1:11" hidden="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H3328" s="5">
        <v>3825</v>
      </c>
      <c r="I3328" s="6">
        <v>2272.0310343918732</v>
      </c>
      <c r="J3328" s="5">
        <v>17200</v>
      </c>
      <c r="K3328" s="6">
        <f t="shared" si="136"/>
        <v>1.6835157364053308</v>
      </c>
    </row>
    <row r="3329" spans="1:11" hidden="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H3329" s="5">
        <v>2100</v>
      </c>
      <c r="I3329" s="6">
        <v>1162.4344827121224</v>
      </c>
      <c r="J3329" s="5">
        <v>8800</v>
      </c>
      <c r="K3329" s="6">
        <f t="shared" si="136"/>
        <v>1.8065534283707809</v>
      </c>
    </row>
    <row r="3330" spans="1:11" hidden="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H3330" s="5">
        <v>1680</v>
      </c>
      <c r="I3330" s="6">
        <v>1162.4344827121181</v>
      </c>
      <c r="J3330" s="5">
        <v>8800</v>
      </c>
      <c r="K3330" s="6">
        <f t="shared" si="136"/>
        <v>1.4452427426966301</v>
      </c>
    </row>
    <row r="3331" spans="1:11" hidden="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H3331" s="5">
        <v>2100</v>
      </c>
      <c r="I3331" s="6">
        <v>1056.7586206473827</v>
      </c>
      <c r="J3331" s="5">
        <v>8000</v>
      </c>
      <c r="K3331" s="6">
        <f t="shared" si="136"/>
        <v>1.9872087712078614</v>
      </c>
    </row>
    <row r="3332" spans="1:11" hidden="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H3332" s="5">
        <v>2760</v>
      </c>
      <c r="I3332" s="6">
        <v>1109.596551679753</v>
      </c>
      <c r="J3332" s="5">
        <v>8400</v>
      </c>
      <c r="K3332" s="6">
        <f t="shared" si="136"/>
        <v>2.4873905707635791</v>
      </c>
    </row>
    <row r="3333" spans="1:11" hidden="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H3333" s="5">
        <v>4450</v>
      </c>
      <c r="I3333" s="6">
        <v>1902.1655171652881</v>
      </c>
      <c r="J3333" s="5">
        <v>14400</v>
      </c>
      <c r="K3333" s="6">
        <f t="shared" si="136"/>
        <v>2.3394388973214251</v>
      </c>
    </row>
    <row r="3334" spans="1:11" hidden="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H3334" s="5">
        <v>875</v>
      </c>
      <c r="I3334" s="6">
        <v>951.10714281909407</v>
      </c>
      <c r="J3334" s="5">
        <v>7200</v>
      </c>
      <c r="K3334" s="6">
        <f t="shared" si="135"/>
        <v>0.91998047392062321</v>
      </c>
    </row>
    <row r="3335" spans="1:11" hidden="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H3335" s="5">
        <v>8640</v>
      </c>
      <c r="I3335" s="6">
        <v>3804.4285712763772</v>
      </c>
      <c r="J3335" s="5">
        <v>28800</v>
      </c>
      <c r="K3335" s="6">
        <f t="shared" si="135"/>
        <v>2.2710375127640523</v>
      </c>
    </row>
    <row r="3336" spans="1:11" hidden="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H3336" s="5">
        <v>8820</v>
      </c>
      <c r="I3336" s="6">
        <v>2641.8965516184649</v>
      </c>
      <c r="J3336" s="5">
        <v>20000</v>
      </c>
      <c r="K3336" s="6">
        <f t="shared" si="135"/>
        <v>3.338510735629197</v>
      </c>
    </row>
    <row r="3337" spans="1:11" hidden="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H3337" s="5">
        <v>14970</v>
      </c>
      <c r="I3337" s="6">
        <v>3592.9793102010913</v>
      </c>
      <c r="J3337" s="5">
        <v>26044</v>
      </c>
      <c r="K3337" s="6">
        <f t="shared" si="135"/>
        <v>4.1664587261879227</v>
      </c>
    </row>
    <row r="3338" spans="1:11" hidden="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H3338" s="5">
        <v>2525</v>
      </c>
      <c r="I3338" s="6">
        <v>1268.1103447768633</v>
      </c>
      <c r="J3338" s="5">
        <v>9600</v>
      </c>
      <c r="K3338" s="6">
        <f t="shared" si="135"/>
        <v>1.9911516457539025</v>
      </c>
    </row>
    <row r="3339" spans="1:11" hidden="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H3339" s="5">
        <v>1475</v>
      </c>
      <c r="I3339" s="6">
        <v>528.37931032368999</v>
      </c>
      <c r="J3339" s="5">
        <v>4000</v>
      </c>
      <c r="K3339" s="6">
        <f t="shared" si="135"/>
        <v>2.7915551786015267</v>
      </c>
    </row>
    <row r="3340" spans="1:11" hidden="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H3340" s="5">
        <v>2250</v>
      </c>
      <c r="I3340" s="6">
        <v>1162.4344827121247</v>
      </c>
      <c r="J3340" s="5">
        <v>8800</v>
      </c>
      <c r="K3340" s="6">
        <f t="shared" si="135"/>
        <v>1.93559295896869</v>
      </c>
    </row>
    <row r="3341" spans="1:11" hidden="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H3341" s="5">
        <v>1110</v>
      </c>
      <c r="I3341" s="6">
        <v>528.3915024419166</v>
      </c>
      <c r="J3341" s="5">
        <v>4000</v>
      </c>
      <c r="K3341" s="6">
        <f t="shared" si="135"/>
        <v>2.1007150850652008</v>
      </c>
    </row>
    <row r="3342" spans="1:11" hidden="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H3342" s="5">
        <v>18660</v>
      </c>
      <c r="I3342" s="6">
        <v>3910.1071427007282</v>
      </c>
      <c r="J3342" s="5">
        <v>29260</v>
      </c>
      <c r="K3342" s="6">
        <f t="shared" si="135"/>
        <v>4.772247746416344</v>
      </c>
    </row>
    <row r="3343" spans="1:11" hidden="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H3343" s="5">
        <v>2825</v>
      </c>
      <c r="I3343" s="6">
        <v>1902.2142856381945</v>
      </c>
      <c r="J3343" s="5">
        <v>14400</v>
      </c>
      <c r="K3343" s="6">
        <f t="shared" si="135"/>
        <v>1.4851113364718582</v>
      </c>
    </row>
    <row r="3344" spans="1:11" hidden="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H3344" s="5">
        <v>2850</v>
      </c>
      <c r="I3344" s="6">
        <v>1162.4642856677858</v>
      </c>
      <c r="J3344" s="5">
        <v>8800</v>
      </c>
      <c r="K3344" s="6">
        <f t="shared" si="135"/>
        <v>2.4516882240066389</v>
      </c>
    </row>
    <row r="3345" spans="1:11" hidden="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H3345" s="5">
        <v>1050</v>
      </c>
      <c r="I3345" s="6">
        <v>317.03571427303262</v>
      </c>
      <c r="J3345" s="5">
        <v>2400</v>
      </c>
      <c r="K3345" s="6">
        <f t="shared" si="135"/>
        <v>3.3119297061142303</v>
      </c>
    </row>
    <row r="3346" spans="1:11" hidden="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H3346" s="5">
        <v>1300</v>
      </c>
      <c r="I3346" s="6">
        <v>951.10714281875391</v>
      </c>
      <c r="J3346" s="5">
        <v>7200</v>
      </c>
      <c r="K3346" s="6">
        <f t="shared" si="135"/>
        <v>1.3668281326825575</v>
      </c>
    </row>
    <row r="3347" spans="1:11" hidden="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H3347" s="5">
        <v>1025</v>
      </c>
      <c r="I3347" s="6">
        <v>898.26785710660101</v>
      </c>
      <c r="J3347" s="5">
        <v>6800</v>
      </c>
      <c r="K3347" s="6">
        <f t="shared" si="135"/>
        <v>1.1410850247960718</v>
      </c>
    </row>
    <row r="3348" spans="1:11" hidden="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H3348" s="5">
        <v>3075</v>
      </c>
      <c r="I3348" s="6">
        <v>1162.4642856673661</v>
      </c>
      <c r="J3348" s="5">
        <v>8800</v>
      </c>
      <c r="K3348" s="6">
        <f t="shared" si="135"/>
        <v>2.6452425574818026</v>
      </c>
    </row>
    <row r="3349" spans="1:11" hidden="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H3349" s="5">
        <v>2340</v>
      </c>
      <c r="I3349" s="6">
        <v>686.91071425798896</v>
      </c>
      <c r="J3349" s="5">
        <v>5200</v>
      </c>
      <c r="K3349" s="6">
        <f t="shared" si="135"/>
        <v>3.406556269147297</v>
      </c>
    </row>
    <row r="3350" spans="1:11" hidden="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H3350" s="5">
        <v>1475</v>
      </c>
      <c r="I3350" s="6">
        <v>845.428571394752</v>
      </c>
      <c r="J3350" s="5">
        <v>6400</v>
      </c>
      <c r="K3350" s="6">
        <f t="shared" si="135"/>
        <v>1.7446772558994641</v>
      </c>
    </row>
    <row r="3351" spans="1:11" hidden="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H3351" s="5">
        <v>6375</v>
      </c>
      <c r="I3351" s="6">
        <v>3910.1071427007355</v>
      </c>
      <c r="J3351" s="5">
        <v>29600</v>
      </c>
      <c r="K3351" s="6">
        <f t="shared" si="135"/>
        <v>1.6303901062917543</v>
      </c>
    </row>
    <row r="3352" spans="1:11" hidden="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H3352" s="5">
        <v>8700</v>
      </c>
      <c r="I3352" s="6">
        <v>4015.7857141250793</v>
      </c>
      <c r="J3352" s="5">
        <v>30400</v>
      </c>
      <c r="K3352" s="6">
        <f t="shared" si="135"/>
        <v>2.1664502588867522</v>
      </c>
    </row>
    <row r="3353" spans="1:11" hidden="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H3353" s="5">
        <v>7140</v>
      </c>
      <c r="I3353" s="6">
        <v>2747.5751230427709</v>
      </c>
      <c r="J3353" s="5">
        <v>20800</v>
      </c>
      <c r="K3353" s="6">
        <f t="shared" si="135"/>
        <v>2.5986550613738588</v>
      </c>
    </row>
    <row r="3354" spans="1:11" hidden="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H3354" s="5">
        <v>1500</v>
      </c>
      <c r="I3354" s="6">
        <v>1056.75862064738</v>
      </c>
      <c r="J3354" s="5">
        <v>9600</v>
      </c>
      <c r="K3354" s="6">
        <f t="shared" si="135"/>
        <v>1.4194348365770475</v>
      </c>
    </row>
    <row r="3355" spans="1:11" hidden="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H3355" s="5">
        <v>0</v>
      </c>
      <c r="I3355" s="6">
        <v>317.02758619421581</v>
      </c>
      <c r="J3355" s="5">
        <v>2640</v>
      </c>
      <c r="K3355" s="6">
        <f t="shared" si="135"/>
        <v>0</v>
      </c>
    </row>
    <row r="3356" spans="1:11" hidden="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H3356" s="5">
        <v>0</v>
      </c>
      <c r="I3356" s="6">
        <v>52.837931032368999</v>
      </c>
      <c r="J3356" s="5">
        <v>440</v>
      </c>
      <c r="K3356" s="6">
        <f t="shared" si="135"/>
        <v>0</v>
      </c>
    </row>
    <row r="3357" spans="1:11" hidden="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H3357" s="5">
        <v>13260</v>
      </c>
      <c r="I3357" s="6">
        <v>3592.9793102011122</v>
      </c>
      <c r="J3357" s="5">
        <v>27820</v>
      </c>
      <c r="K3357" s="6">
        <f t="shared" si="135"/>
        <v>3.6905305751003028</v>
      </c>
    </row>
    <row r="3358" spans="1:11" hidden="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H3358" s="5">
        <v>8790</v>
      </c>
      <c r="I3358" s="6">
        <v>1585.2222221588099</v>
      </c>
      <c r="J3358" s="5">
        <v>11490</v>
      </c>
      <c r="K3358" s="6">
        <f t="shared" si="135"/>
        <v>5.5449639029343638</v>
      </c>
    </row>
    <row r="3359" spans="1:11" hidden="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H3359" s="5">
        <v>4710</v>
      </c>
      <c r="I3359" s="6">
        <v>2219.311111022334</v>
      </c>
      <c r="J3359" s="5">
        <v>16800</v>
      </c>
      <c r="K3359" s="6">
        <f t="shared" si="135"/>
        <v>2.1222801871299248</v>
      </c>
    </row>
    <row r="3360" spans="1:11" hidden="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H3360" s="5">
        <v>7300</v>
      </c>
      <c r="I3360" s="6">
        <v>2959.0814813631118</v>
      </c>
      <c r="J3360" s="5">
        <v>22400</v>
      </c>
      <c r="K3360" s="6">
        <f t="shared" si="135"/>
        <v>2.4669817461860593</v>
      </c>
    </row>
    <row r="3361" spans="1:11" hidden="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H3361" s="5">
        <v>0</v>
      </c>
      <c r="I3361" s="6">
        <v>1796.5851851133182</v>
      </c>
      <c r="J3361" s="5">
        <v>13600</v>
      </c>
      <c r="K3361" s="6">
        <f t="shared" si="135"/>
        <v>0</v>
      </c>
    </row>
    <row r="3362" spans="1:11" hidden="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H3362" s="5">
        <v>1700</v>
      </c>
      <c r="I3362" s="6">
        <v>1912.3542857142861</v>
      </c>
      <c r="J3362" s="5">
        <v>16320</v>
      </c>
      <c r="K3362" s="6">
        <f t="shared" si="135"/>
        <v>0.88895661891699662</v>
      </c>
    </row>
    <row r="3363" spans="1:11" hidden="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H3363" s="5">
        <v>3330</v>
      </c>
      <c r="I3363" s="6">
        <v>2812.2857142428579</v>
      </c>
      <c r="J3363" s="5">
        <v>20000</v>
      </c>
      <c r="K3363" s="6">
        <f t="shared" si="135"/>
        <v>1.1840902164154841</v>
      </c>
    </row>
    <row r="3364" spans="1:11" hidden="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H3364" s="5">
        <v>6050</v>
      </c>
      <c r="I3364" s="6">
        <v>1768.8376470588223</v>
      </c>
      <c r="J3364" s="5">
        <v>12800</v>
      </c>
      <c r="K3364" s="6">
        <f t="shared" si="135"/>
        <v>3.4203252119038647</v>
      </c>
    </row>
    <row r="3365" spans="1:11" hidden="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H3365" s="5">
        <v>6580</v>
      </c>
      <c r="I3365" s="6">
        <v>2263.7999998868127</v>
      </c>
      <c r="J3365" s="5">
        <v>17920</v>
      </c>
      <c r="K3365" s="6">
        <f t="shared" si="135"/>
        <v>2.9066171924768054</v>
      </c>
    </row>
    <row r="3366" spans="1:11" hidden="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H3366" s="5">
        <v>2610</v>
      </c>
      <c r="I3366" s="6">
        <v>994.97117647058747</v>
      </c>
      <c r="J3366" s="5">
        <v>7200</v>
      </c>
      <c r="K3366" s="6">
        <f t="shared" si="135"/>
        <v>2.6231915674766833</v>
      </c>
    </row>
    <row r="3367" spans="1:11" hidden="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H3367" s="5">
        <v>3150</v>
      </c>
      <c r="I3367" s="6">
        <v>994.97117647058747</v>
      </c>
      <c r="J3367" s="5">
        <v>7920</v>
      </c>
      <c r="K3367" s="6">
        <f t="shared" ref="K3367:K3430" si="138">+H3367/I3367</f>
        <v>3.1659208572994455</v>
      </c>
    </row>
    <row r="3368" spans="1:11" hidden="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H3368" s="5">
        <v>4375</v>
      </c>
      <c r="I3368" s="6">
        <v>2263.7999998868127</v>
      </c>
      <c r="J3368" s="5">
        <v>17920</v>
      </c>
      <c r="K3368" s="6">
        <f t="shared" si="138"/>
        <v>1.9325912184021312</v>
      </c>
    </row>
    <row r="3369" spans="1:11" hidden="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H3369" s="5">
        <v>24570</v>
      </c>
      <c r="I3369" s="6">
        <v>6727.0499997982479</v>
      </c>
      <c r="J3369" s="5">
        <v>49210</v>
      </c>
      <c r="K3369" s="6">
        <f t="shared" si="138"/>
        <v>3.6524182220641861</v>
      </c>
    </row>
    <row r="3370" spans="1:11" hidden="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H3370" s="5">
        <v>2010</v>
      </c>
      <c r="I3370" s="6">
        <v>994.95</v>
      </c>
      <c r="J3370" s="5">
        <v>7200</v>
      </c>
      <c r="K3370" s="6">
        <f t="shared" si="138"/>
        <v>2.0202020202020199</v>
      </c>
    </row>
    <row r="3371" spans="1:11" hidden="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H3371" s="5">
        <v>1925</v>
      </c>
      <c r="I3371" s="6">
        <v>831.6</v>
      </c>
      <c r="J3371" s="5">
        <v>6300</v>
      </c>
      <c r="K3371" s="6">
        <f t="shared" si="138"/>
        <v>2.3148148148148149</v>
      </c>
    </row>
    <row r="3372" spans="1:11" hidden="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H3372" s="5">
        <v>5625</v>
      </c>
      <c r="I3372" s="6">
        <v>1267.2</v>
      </c>
      <c r="J3372" s="5">
        <v>9600</v>
      </c>
      <c r="K3372" s="6">
        <f t="shared" si="138"/>
        <v>4.4389204545454541</v>
      </c>
    </row>
    <row r="3373" spans="1:11" hidden="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H3373" s="5">
        <v>1350</v>
      </c>
      <c r="I3373" s="6">
        <v>316.8</v>
      </c>
      <c r="J3373" s="5">
        <v>2400</v>
      </c>
      <c r="K3373" s="6">
        <f t="shared" si="138"/>
        <v>4.2613636363636358</v>
      </c>
    </row>
    <row r="3374" spans="1:11" hidden="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H3374" s="5">
        <v>11400</v>
      </c>
      <c r="I3374" s="6">
        <v>3603.6</v>
      </c>
      <c r="J3374" s="5">
        <v>27296</v>
      </c>
      <c r="K3374" s="6">
        <f t="shared" si="138"/>
        <v>3.1635031635031634</v>
      </c>
    </row>
    <row r="3375" spans="1:11" hidden="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H3375" s="5">
        <v>9325</v>
      </c>
      <c r="I3375" s="6">
        <v>3682.8</v>
      </c>
      <c r="J3375" s="5">
        <v>27900</v>
      </c>
      <c r="K3375" s="6">
        <f t="shared" si="138"/>
        <v>2.5320408384924513</v>
      </c>
    </row>
    <row r="3376" spans="1:11" hidden="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H3376" s="5">
        <v>8775</v>
      </c>
      <c r="I3376" s="6">
        <v>2376</v>
      </c>
      <c r="J3376" s="5">
        <v>18000</v>
      </c>
      <c r="K3376" s="6">
        <f t="shared" si="138"/>
        <v>3.6931818181818183</v>
      </c>
    </row>
    <row r="3377" spans="1:11" hidden="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H3377" s="5">
        <v>1620</v>
      </c>
      <c r="I3377" s="6">
        <v>950.4</v>
      </c>
      <c r="J3377" s="5">
        <v>7200</v>
      </c>
      <c r="K3377" s="6">
        <f t="shared" si="138"/>
        <v>1.7045454545454546</v>
      </c>
    </row>
    <row r="3378" spans="1:11" hidden="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H3378" s="5">
        <v>4575</v>
      </c>
      <c r="I3378" s="6">
        <v>1346.4</v>
      </c>
      <c r="J3378" s="5">
        <v>10200</v>
      </c>
      <c r="K3378" s="6">
        <f t="shared" si="138"/>
        <v>3.3979500891265593</v>
      </c>
    </row>
    <row r="3379" spans="1:11" hidden="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H3379" s="5">
        <v>6120</v>
      </c>
      <c r="I3379" s="6">
        <v>2851.2</v>
      </c>
      <c r="J3379" s="5">
        <v>21600</v>
      </c>
      <c r="K3379" s="6">
        <f t="shared" si="138"/>
        <v>2.1464646464646466</v>
      </c>
    </row>
    <row r="3380" spans="1:11" hidden="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H3380" s="5">
        <v>3475</v>
      </c>
      <c r="I3380" s="6">
        <v>2138.4</v>
      </c>
      <c r="J3380" s="5">
        <v>16200</v>
      </c>
      <c r="K3380" s="6">
        <f t="shared" si="138"/>
        <v>1.6250467639356527</v>
      </c>
    </row>
    <row r="3381" spans="1:11" hidden="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H3381" s="5">
        <v>2125</v>
      </c>
      <c r="I3381" s="6">
        <v>963.6</v>
      </c>
      <c r="J3381" s="5">
        <v>7570</v>
      </c>
      <c r="K3381" s="6">
        <f t="shared" si="138"/>
        <v>2.205271897052719</v>
      </c>
    </row>
    <row r="3382" spans="1:11" hidden="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H3382" s="5">
        <v>9075</v>
      </c>
      <c r="I3382" s="6">
        <v>3168</v>
      </c>
      <c r="J3382" s="5">
        <v>24000</v>
      </c>
      <c r="K3382" s="6">
        <f t="shared" si="138"/>
        <v>2.8645833333333335</v>
      </c>
    </row>
    <row r="3383" spans="1:11" hidden="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H3383" s="5">
        <v>3690</v>
      </c>
      <c r="I3383" s="6">
        <v>1188</v>
      </c>
      <c r="J3383" s="5">
        <v>9000</v>
      </c>
      <c r="K3383" s="6">
        <f t="shared" si="138"/>
        <v>3.106060606060606</v>
      </c>
    </row>
    <row r="3384" spans="1:11" hidden="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H3384" s="5">
        <v>5350</v>
      </c>
      <c r="I3384" s="6">
        <v>2732.4</v>
      </c>
      <c r="J3384" s="5">
        <v>20700</v>
      </c>
      <c r="K3384" s="6">
        <f t="shared" si="138"/>
        <v>1.9579856536378275</v>
      </c>
    </row>
    <row r="3385" spans="1:11" hidden="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H3385" s="5">
        <v>1200</v>
      </c>
      <c r="I3385" s="6">
        <v>673.2</v>
      </c>
      <c r="J3385" s="5">
        <v>5100</v>
      </c>
      <c r="K3385" s="6">
        <f t="shared" si="138"/>
        <v>1.7825311942959001</v>
      </c>
    </row>
    <row r="3386" spans="1:11" hidden="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H3386" s="5">
        <v>1550</v>
      </c>
      <c r="I3386" s="6">
        <v>1100.4749999999999</v>
      </c>
      <c r="J3386" s="5">
        <v>8000</v>
      </c>
      <c r="K3386" s="6">
        <f t="shared" si="138"/>
        <v>1.4084827006519913</v>
      </c>
    </row>
    <row r="3387" spans="1:11" hidden="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H3387" s="5">
        <v>2475</v>
      </c>
      <c r="I3387" s="6">
        <v>1287</v>
      </c>
      <c r="J3387" s="5">
        <v>9400</v>
      </c>
      <c r="K3387" s="6">
        <f t="shared" si="138"/>
        <v>1.9230769230769231</v>
      </c>
    </row>
    <row r="3388" spans="1:11" hidden="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H3388" s="5">
        <v>6120</v>
      </c>
      <c r="I3388" s="6">
        <v>2641.14</v>
      </c>
      <c r="J3388" s="5">
        <v>19200</v>
      </c>
      <c r="K3388" s="6">
        <f t="shared" si="138"/>
        <v>2.317181217201663</v>
      </c>
    </row>
    <row r="3389" spans="1:11" hidden="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H3389" s="5">
        <v>8250</v>
      </c>
      <c r="I3389" s="6">
        <v>2641.14</v>
      </c>
      <c r="J3389" s="5">
        <v>19200</v>
      </c>
      <c r="K3389" s="6">
        <f t="shared" si="138"/>
        <v>3.1236511506394966</v>
      </c>
    </row>
    <row r="3390" spans="1:11" hidden="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H3390" s="5">
        <v>2640</v>
      </c>
      <c r="I3390" s="6">
        <v>1430.6174906250001</v>
      </c>
      <c r="J3390" s="5">
        <v>10400</v>
      </c>
      <c r="K3390" s="6">
        <f t="shared" si="138"/>
        <v>1.8453569995475532</v>
      </c>
    </row>
    <row r="3391" spans="1:11" hidden="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H3391" s="5">
        <v>1680</v>
      </c>
      <c r="I3391" s="6">
        <v>1430.6175000000001</v>
      </c>
      <c r="J3391" s="5">
        <v>10400</v>
      </c>
      <c r="K3391" s="6">
        <f t="shared" si="138"/>
        <v>1.1743180829257296</v>
      </c>
    </row>
    <row r="3392" spans="1:11" hidden="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H3392" s="5">
        <v>2610</v>
      </c>
      <c r="I3392" s="6">
        <v>2861.2350000000001</v>
      </c>
      <c r="J3392" s="5">
        <v>20800</v>
      </c>
      <c r="K3392" s="6">
        <f t="shared" si="138"/>
        <v>0.9121935108440935</v>
      </c>
    </row>
    <row r="3393" spans="1:11" hidden="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H3393" s="5">
        <v>5725</v>
      </c>
      <c r="I3393" s="6">
        <v>3071.9505625000002</v>
      </c>
      <c r="J3393" s="5">
        <v>22400</v>
      </c>
      <c r="K3393" s="6">
        <f t="shared" si="138"/>
        <v>1.8636367622208438</v>
      </c>
    </row>
    <row r="3394" spans="1:11" hidden="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H3394" s="5">
        <v>5250</v>
      </c>
      <c r="I3394" s="6">
        <v>1097.125</v>
      </c>
      <c r="J3394" s="5">
        <v>8000</v>
      </c>
      <c r="K3394" s="6">
        <f t="shared" si="138"/>
        <v>4.7852341346701603</v>
      </c>
    </row>
    <row r="3395" spans="1:11" hidden="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H3395" s="5">
        <v>7075</v>
      </c>
      <c r="I3395" s="6">
        <v>2852.5250000000001</v>
      </c>
      <c r="J3395" s="5">
        <v>20800</v>
      </c>
      <c r="K3395" s="6">
        <f t="shared" si="138"/>
        <v>2.4802587181532152</v>
      </c>
    </row>
    <row r="3396" spans="1:11" hidden="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H3396" s="5">
        <v>7440</v>
      </c>
      <c r="I3396" s="6">
        <v>2633.1</v>
      </c>
      <c r="J3396" s="5">
        <v>19200</v>
      </c>
      <c r="K3396" s="6">
        <f t="shared" si="138"/>
        <v>2.8255668223766666</v>
      </c>
    </row>
    <row r="3397" spans="1:11" hidden="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H3397" s="5">
        <v>6270</v>
      </c>
      <c r="I3397" s="6">
        <v>2633.1</v>
      </c>
      <c r="J3397" s="5">
        <v>19200</v>
      </c>
      <c r="K3397" s="6">
        <f t="shared" si="138"/>
        <v>2.3812236527287229</v>
      </c>
    </row>
    <row r="3398" spans="1:11" hidden="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H3398" s="5">
        <v>3480</v>
      </c>
      <c r="I3398" s="6">
        <v>2852.5250000000001</v>
      </c>
      <c r="J3398" s="5">
        <v>20800</v>
      </c>
      <c r="K3398" s="6">
        <f t="shared" si="138"/>
        <v>1.2199717793884366</v>
      </c>
    </row>
    <row r="3399" spans="1:11" hidden="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H3399" s="5">
        <v>11430</v>
      </c>
      <c r="I3399" s="6">
        <v>2852.5250000000001</v>
      </c>
      <c r="J3399" s="5">
        <v>20800</v>
      </c>
      <c r="K3399" s="6">
        <f t="shared" si="138"/>
        <v>4.0069762754051235</v>
      </c>
    </row>
    <row r="3400" spans="1:11" hidden="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H3400" s="5">
        <v>6125</v>
      </c>
      <c r="I3400" s="6">
        <v>3071.95</v>
      </c>
      <c r="J3400" s="5">
        <v>22400</v>
      </c>
      <c r="K3400" s="6">
        <f t="shared" si="138"/>
        <v>1.993847556112567</v>
      </c>
    </row>
    <row r="3401" spans="1:11" hidden="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H3401" s="5">
        <v>1875</v>
      </c>
      <c r="I3401" s="6">
        <v>1645.6875</v>
      </c>
      <c r="J3401" s="5">
        <v>12000</v>
      </c>
      <c r="K3401" s="6">
        <f t="shared" si="138"/>
        <v>1.1393414606357526</v>
      </c>
    </row>
    <row r="3402" spans="1:11" hidden="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H3402" s="5">
        <v>8860</v>
      </c>
      <c r="I3402" s="6">
        <v>4121.4642855494085</v>
      </c>
      <c r="J3402" s="5">
        <v>31200</v>
      </c>
      <c r="K3402" s="6">
        <f t="shared" si="138"/>
        <v>2.149721406312981</v>
      </c>
    </row>
    <row r="3403" spans="1:11" hidden="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H3403" s="5">
        <v>1470</v>
      </c>
      <c r="I3403" s="6">
        <v>1056.7857142434418</v>
      </c>
      <c r="J3403" s="5">
        <v>8000</v>
      </c>
      <c r="K3403" s="6">
        <f t="shared" si="138"/>
        <v>1.3910104765679769</v>
      </c>
    </row>
    <row r="3404" spans="1:11" hidden="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H3404" s="5">
        <v>7200</v>
      </c>
      <c r="I3404" s="6">
        <v>2641.9642856076484</v>
      </c>
      <c r="J3404" s="5">
        <v>19996</v>
      </c>
      <c r="K3404" s="6">
        <f t="shared" si="138"/>
        <v>2.7252450153178391</v>
      </c>
    </row>
    <row r="3405" spans="1:11" hidden="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H3405" s="5">
        <v>1160</v>
      </c>
      <c r="I3405" s="6">
        <v>528.39285712153003</v>
      </c>
      <c r="J3405" s="5">
        <v>4000</v>
      </c>
      <c r="K3405" s="6">
        <f t="shared" si="138"/>
        <v>2.1953362623393691</v>
      </c>
    </row>
    <row r="3406" spans="1:11" hidden="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H3406" s="5">
        <v>2490</v>
      </c>
      <c r="I3406" s="6">
        <v>1902.2142856375078</v>
      </c>
      <c r="J3406" s="5">
        <v>14400</v>
      </c>
      <c r="K3406" s="6">
        <f t="shared" si="138"/>
        <v>1.3090007886075263</v>
      </c>
    </row>
    <row r="3407" spans="1:11" hidden="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H3407" s="5">
        <v>1100</v>
      </c>
      <c r="I3407" s="6">
        <v>634.05652706821195</v>
      </c>
      <c r="J3407" s="5">
        <v>4800</v>
      </c>
      <c r="K3407" s="6">
        <f t="shared" si="138"/>
        <v>1.7348610936729016</v>
      </c>
    </row>
    <row r="3408" spans="1:11" hidden="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H3408" s="5">
        <v>9660</v>
      </c>
      <c r="I3408" s="6">
        <v>4487.9999999102474</v>
      </c>
      <c r="J3408" s="5">
        <v>31740</v>
      </c>
      <c r="K3408" s="6">
        <f t="shared" si="138"/>
        <v>2.1524064171553441</v>
      </c>
    </row>
    <row r="3409" spans="1:11" hidden="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H3409" s="5">
        <v>3625</v>
      </c>
      <c r="I3409" s="6">
        <v>1702.8</v>
      </c>
      <c r="J3409" s="5">
        <v>12900</v>
      </c>
      <c r="K3409" s="6">
        <f t="shared" si="138"/>
        <v>2.1288466055907915</v>
      </c>
    </row>
    <row r="3410" spans="1:11" hidden="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H3410" s="5">
        <v>6700</v>
      </c>
      <c r="I3410" s="6">
        <v>3009.6</v>
      </c>
      <c r="J3410" s="5">
        <v>22800</v>
      </c>
      <c r="K3410" s="6">
        <f t="shared" si="138"/>
        <v>2.2262094630515685</v>
      </c>
    </row>
    <row r="3411" spans="1:11" hidden="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H3411" s="5">
        <v>2670</v>
      </c>
      <c r="I3411" s="6">
        <v>1386</v>
      </c>
      <c r="J3411" s="5">
        <v>10500</v>
      </c>
      <c r="K3411" s="6">
        <f t="shared" si="138"/>
        <v>1.9264069264069263</v>
      </c>
    </row>
    <row r="3412" spans="1:11" hidden="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H3412" s="5">
        <v>2910</v>
      </c>
      <c r="I3412" s="6">
        <v>1386</v>
      </c>
      <c r="J3412" s="5">
        <v>10500</v>
      </c>
      <c r="K3412" s="6">
        <f t="shared" si="138"/>
        <v>2.0995670995670994</v>
      </c>
    </row>
    <row r="3413" spans="1:11" hidden="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H3413" s="5">
        <v>1875</v>
      </c>
      <c r="I3413" s="6">
        <v>1029.5999999999999</v>
      </c>
      <c r="J3413" s="5">
        <v>7800</v>
      </c>
      <c r="K3413" s="6">
        <f t="shared" si="138"/>
        <v>1.8210955710955712</v>
      </c>
    </row>
    <row r="3414" spans="1:11" hidden="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H3414" s="5">
        <v>5825</v>
      </c>
      <c r="I3414" s="6">
        <v>2653.2</v>
      </c>
      <c r="J3414" s="5">
        <v>20100</v>
      </c>
      <c r="K3414" s="6">
        <f t="shared" si="138"/>
        <v>2.1954620835217851</v>
      </c>
    </row>
    <row r="3415" spans="1:11" hidden="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H3415" s="5">
        <v>4980</v>
      </c>
      <c r="I3415" s="6">
        <v>1768.8</v>
      </c>
      <c r="J3415" s="5">
        <v>13400</v>
      </c>
      <c r="K3415" s="6">
        <f t="shared" si="138"/>
        <v>2.8154681139755766</v>
      </c>
    </row>
    <row r="3416" spans="1:11" hidden="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H3416" s="5">
        <v>2010</v>
      </c>
      <c r="I3416" s="6">
        <v>1029.5999999999999</v>
      </c>
      <c r="J3416" s="5">
        <v>7800</v>
      </c>
      <c r="K3416" s="6">
        <f t="shared" si="138"/>
        <v>1.9522144522144524</v>
      </c>
    </row>
    <row r="3417" spans="1:11" hidden="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H3417" s="5">
        <v>4350</v>
      </c>
      <c r="I3417" s="6">
        <v>1346.4</v>
      </c>
      <c r="J3417" s="5">
        <v>10200</v>
      </c>
      <c r="K3417" s="6">
        <f t="shared" si="138"/>
        <v>3.2308377896613187</v>
      </c>
    </row>
    <row r="3418" spans="1:11" hidden="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H3418" s="5">
        <v>510</v>
      </c>
      <c r="I3418" s="6">
        <v>440.18999062500001</v>
      </c>
      <c r="J3418" s="5">
        <v>3200</v>
      </c>
      <c r="K3418" s="6">
        <f t="shared" si="138"/>
        <v>1.1585906332760563</v>
      </c>
    </row>
    <row r="3419" spans="1:11" hidden="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H3419" s="5">
        <v>2075</v>
      </c>
      <c r="I3419" s="6">
        <v>880.38</v>
      </c>
      <c r="J3419" s="5">
        <v>6400</v>
      </c>
      <c r="K3419" s="6">
        <f t="shared" si="138"/>
        <v>2.3569367773007111</v>
      </c>
    </row>
    <row r="3420" spans="1:11" hidden="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H3420" s="5">
        <v>650</v>
      </c>
      <c r="I3420" s="6">
        <v>330.14249999999998</v>
      </c>
      <c r="J3420" s="5">
        <v>2400</v>
      </c>
      <c r="K3420" s="6">
        <f t="shared" si="138"/>
        <v>1.9688467858576222</v>
      </c>
    </row>
    <row r="3421" spans="1:11" hidden="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H3421" s="5">
        <v>2200</v>
      </c>
      <c r="I3421" s="6">
        <v>1650.7125000000001</v>
      </c>
      <c r="J3421" s="5">
        <v>12000</v>
      </c>
      <c r="K3421" s="6">
        <f t="shared" si="138"/>
        <v>1.3327578242728517</v>
      </c>
    </row>
    <row r="3422" spans="1:11" hidden="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H3422" s="5">
        <v>3880</v>
      </c>
      <c r="I3422" s="6">
        <v>1287.0000000000018</v>
      </c>
      <c r="J3422" s="5">
        <v>9400</v>
      </c>
      <c r="K3422" s="6">
        <f t="shared" si="138"/>
        <v>3.0147630147630107</v>
      </c>
    </row>
    <row r="3423" spans="1:11" hidden="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H3423" s="5">
        <v>5725</v>
      </c>
      <c r="I3423" s="6">
        <v>2641.14</v>
      </c>
      <c r="J3423" s="5">
        <v>19200</v>
      </c>
      <c r="K3423" s="6">
        <f t="shared" si="138"/>
        <v>2.1676245863528627</v>
      </c>
    </row>
    <row r="3424" spans="1:11" hidden="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H3424" s="5">
        <v>2130</v>
      </c>
      <c r="I3424" s="6">
        <v>880.38</v>
      </c>
      <c r="J3424" s="5">
        <v>6400</v>
      </c>
      <c r="K3424" s="6">
        <f t="shared" si="138"/>
        <v>2.4194098003135012</v>
      </c>
    </row>
    <row r="3425" spans="1:11" hidden="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H3425" s="5">
        <v>1760</v>
      </c>
      <c r="I3425" s="6">
        <v>880.38</v>
      </c>
      <c r="J3425" s="5">
        <v>6400</v>
      </c>
      <c r="K3425" s="6">
        <f t="shared" si="138"/>
        <v>1.9991367364092778</v>
      </c>
    </row>
    <row r="3426" spans="1:11" hidden="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H3426" s="5">
        <v>510</v>
      </c>
      <c r="I3426" s="6">
        <v>1755.4</v>
      </c>
      <c r="J3426" s="5">
        <v>12800</v>
      </c>
      <c r="K3426" s="6">
        <f t="shared" si="138"/>
        <v>0.29053207246211687</v>
      </c>
    </row>
    <row r="3427" spans="1:11" hidden="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H3427" s="5">
        <v>3920</v>
      </c>
      <c r="I3427" s="6">
        <v>2413.6749943750001</v>
      </c>
      <c r="J3427" s="5">
        <v>17600</v>
      </c>
      <c r="K3427" s="6">
        <f t="shared" si="138"/>
        <v>1.6240794676729249</v>
      </c>
    </row>
    <row r="3428" spans="1:11" hidden="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H3428" s="5">
        <v>4240</v>
      </c>
      <c r="I3428" s="6">
        <v>1645.6875</v>
      </c>
      <c r="J3428" s="5">
        <v>12000</v>
      </c>
      <c r="K3428" s="6">
        <f t="shared" si="138"/>
        <v>2.5764308229843151</v>
      </c>
    </row>
    <row r="3429" spans="1:11" hidden="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H3429" s="5">
        <v>1680</v>
      </c>
      <c r="I3429" s="6">
        <v>726.32013058333712</v>
      </c>
      <c r="J3429" s="5">
        <v>5712</v>
      </c>
      <c r="K3429" s="6">
        <f t="shared" si="138"/>
        <v>2.313029653536828</v>
      </c>
    </row>
    <row r="3430" spans="1:11" hidden="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H3430" s="5">
        <v>2040</v>
      </c>
      <c r="I3430" s="6">
        <v>924.39958333667107</v>
      </c>
      <c r="J3430" s="5">
        <v>6720</v>
      </c>
      <c r="K3430" s="6">
        <f t="shared" si="138"/>
        <v>2.206837861865437</v>
      </c>
    </row>
    <row r="3431" spans="1:11" hidden="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H3431" s="5">
        <v>2640</v>
      </c>
      <c r="I3431" s="6">
        <v>1122.485208333339</v>
      </c>
      <c r="J3431" s="5">
        <v>8160</v>
      </c>
      <c r="K3431" s="6">
        <f t="shared" ref="K3431:K3493" si="140">+H3431/I3431</f>
        <v>2.3519240880865238</v>
      </c>
    </row>
    <row r="3432" spans="1:11" hidden="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H3432" s="5">
        <v>500</v>
      </c>
      <c r="I3432" s="6">
        <v>396.17125000000198</v>
      </c>
      <c r="J3432" s="5">
        <v>2880</v>
      </c>
      <c r="K3432" s="6">
        <f t="shared" si="140"/>
        <v>1.2620804765615816</v>
      </c>
    </row>
    <row r="3433" spans="1:11" hidden="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H3433" s="5">
        <v>2850</v>
      </c>
      <c r="I3433" s="6">
        <v>1535.9749999999999</v>
      </c>
      <c r="J3433" s="5">
        <v>11200</v>
      </c>
      <c r="K3433" s="6">
        <f t="shared" si="140"/>
        <v>1.8554989501782257</v>
      </c>
    </row>
    <row r="3434" spans="1:11" hidden="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H3434" s="5">
        <v>2140</v>
      </c>
      <c r="I3434" s="6">
        <v>1535.9749999999999</v>
      </c>
      <c r="J3434" s="5">
        <v>11200</v>
      </c>
      <c r="K3434" s="6">
        <f t="shared" si="140"/>
        <v>1.3932518432917202</v>
      </c>
    </row>
    <row r="3435" spans="1:11" hidden="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H3435" s="5">
        <v>1410</v>
      </c>
      <c r="I3435" s="6">
        <v>594.25687500000299</v>
      </c>
      <c r="J3435" s="5">
        <v>4320</v>
      </c>
      <c r="K3435" s="6">
        <f t="shared" si="140"/>
        <v>2.3727112959357735</v>
      </c>
    </row>
    <row r="3436" spans="1:11" hidden="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H3436" s="5">
        <v>2660</v>
      </c>
      <c r="I3436" s="6">
        <v>2575.1131250013459</v>
      </c>
      <c r="J3436" s="5">
        <v>18720</v>
      </c>
      <c r="K3436" s="6">
        <f t="shared" si="140"/>
        <v>1.032964328508329</v>
      </c>
    </row>
    <row r="3437" spans="1:11" hidden="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H3437" s="5">
        <v>1410</v>
      </c>
      <c r="I3437" s="6">
        <v>528.37931032368999</v>
      </c>
      <c r="J3437" s="5">
        <v>4000</v>
      </c>
      <c r="K3437" s="6">
        <f t="shared" ref="K3437:K3443" si="141">IFERROR(H3437/I3437,"")</f>
        <v>2.6685374927648495</v>
      </c>
    </row>
    <row r="3438" spans="1:11" hidden="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H3438" s="5">
        <v>3400</v>
      </c>
      <c r="I3438" s="6">
        <v>2272.0310343918732</v>
      </c>
      <c r="J3438" s="5">
        <v>17200</v>
      </c>
      <c r="K3438" s="6">
        <f t="shared" si="141"/>
        <v>1.4964584323602941</v>
      </c>
    </row>
    <row r="3439" spans="1:11" hidden="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H3439" s="5">
        <v>1530</v>
      </c>
      <c r="I3439" s="6">
        <v>1162.4344827121224</v>
      </c>
      <c r="J3439" s="5">
        <v>8800</v>
      </c>
      <c r="K3439" s="6">
        <f t="shared" si="141"/>
        <v>1.3162032120987117</v>
      </c>
    </row>
    <row r="3440" spans="1:11" hidden="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H3440" s="5">
        <v>1890</v>
      </c>
      <c r="I3440" s="6">
        <v>1162.4344827121181</v>
      </c>
      <c r="J3440" s="5">
        <v>8800</v>
      </c>
      <c r="K3440" s="6">
        <f t="shared" si="141"/>
        <v>1.6258980855337088</v>
      </c>
    </row>
    <row r="3441" spans="1:11" hidden="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H3441" s="5">
        <v>1590</v>
      </c>
      <c r="I3441" s="6">
        <v>1056.7586206473827</v>
      </c>
      <c r="J3441" s="5">
        <v>8000</v>
      </c>
      <c r="K3441" s="6">
        <f t="shared" si="141"/>
        <v>1.5046009267716665</v>
      </c>
    </row>
    <row r="3442" spans="1:11" hidden="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H3442" s="5">
        <v>3310</v>
      </c>
      <c r="I3442" s="6">
        <v>1109.596551679753</v>
      </c>
      <c r="J3442" s="5">
        <v>8400</v>
      </c>
      <c r="K3442" s="6">
        <f t="shared" si="141"/>
        <v>2.983066227980959</v>
      </c>
    </row>
    <row r="3443" spans="1:11" hidden="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H3443" s="5">
        <v>4200</v>
      </c>
      <c r="I3443" s="6">
        <v>1902.1655171652881</v>
      </c>
      <c r="J3443" s="5">
        <v>14400</v>
      </c>
      <c r="K3443" s="6">
        <f t="shared" si="141"/>
        <v>2.2080097457865135</v>
      </c>
    </row>
    <row r="3444" spans="1:11" hidden="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H3444" s="5">
        <v>1150</v>
      </c>
      <c r="I3444" s="6">
        <v>951.10714281909407</v>
      </c>
      <c r="J3444" s="5">
        <v>7200</v>
      </c>
      <c r="K3444" s="6">
        <f t="shared" si="140"/>
        <v>1.2091171942956762</v>
      </c>
    </row>
    <row r="3445" spans="1:11" hidden="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H3445" s="5">
        <v>7080</v>
      </c>
      <c r="I3445" s="6">
        <v>3804.4285712763772</v>
      </c>
      <c r="J3445" s="5">
        <v>28800</v>
      </c>
      <c r="K3445" s="6">
        <f t="shared" si="140"/>
        <v>1.8609890729594316</v>
      </c>
    </row>
    <row r="3446" spans="1:11" hidden="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H3446" s="5">
        <v>4920</v>
      </c>
      <c r="I3446" s="6">
        <v>2641.8965516184649</v>
      </c>
      <c r="J3446" s="5">
        <v>20000</v>
      </c>
      <c r="K3446" s="6">
        <f t="shared" si="140"/>
        <v>1.8622985055890759</v>
      </c>
    </row>
    <row r="3447" spans="1:11" hidden="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H3447" s="5">
        <v>9930</v>
      </c>
      <c r="I3447" s="6">
        <v>3592.9793102010913</v>
      </c>
      <c r="J3447" s="5">
        <v>26044</v>
      </c>
      <c r="K3447" s="6">
        <f t="shared" si="140"/>
        <v>2.7637231229823698</v>
      </c>
    </row>
    <row r="3448" spans="1:11" hidden="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H3448" s="5">
        <v>2050</v>
      </c>
      <c r="I3448" s="6">
        <v>1268.1103447768633</v>
      </c>
      <c r="J3448" s="5">
        <v>9600</v>
      </c>
      <c r="K3448" s="6">
        <f t="shared" si="140"/>
        <v>1.6165785638794059</v>
      </c>
    </row>
    <row r="3449" spans="1:11" hidden="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H3449" s="5">
        <v>1200</v>
      </c>
      <c r="I3449" s="6">
        <v>528.37931032368999</v>
      </c>
      <c r="J3449" s="5">
        <v>4000</v>
      </c>
      <c r="K3449" s="6">
        <f t="shared" si="140"/>
        <v>2.2710957385232762</v>
      </c>
    </row>
    <row r="3450" spans="1:11" hidden="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H3450" s="5">
        <v>2190</v>
      </c>
      <c r="I3450" s="6">
        <v>1162.4344827121247</v>
      </c>
      <c r="J3450" s="5">
        <v>8800</v>
      </c>
      <c r="K3450" s="6">
        <f t="shared" si="140"/>
        <v>1.883977146729525</v>
      </c>
    </row>
    <row r="3451" spans="1:11" hidden="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H3451" s="5">
        <v>1380</v>
      </c>
      <c r="I3451" s="6">
        <v>528.3915024419166</v>
      </c>
      <c r="J3451" s="5">
        <v>4000</v>
      </c>
      <c r="K3451" s="6">
        <f t="shared" si="140"/>
        <v>2.6116998354864656</v>
      </c>
    </row>
    <row r="3452" spans="1:11" hidden="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H3452" s="5">
        <v>12570</v>
      </c>
      <c r="I3452" s="6">
        <v>3910.1071427007282</v>
      </c>
      <c r="J3452" s="5">
        <v>29260</v>
      </c>
      <c r="K3452" s="6">
        <f t="shared" si="140"/>
        <v>3.2147456684058651</v>
      </c>
    </row>
    <row r="3453" spans="1:11" hidden="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H3453" s="5">
        <v>2300</v>
      </c>
      <c r="I3453" s="6">
        <v>1902.2142856381945</v>
      </c>
      <c r="J3453" s="5">
        <v>14400</v>
      </c>
      <c r="K3453" s="6">
        <f t="shared" si="140"/>
        <v>1.2091171942956722</v>
      </c>
    </row>
    <row r="3454" spans="1:11" hidden="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H3454" s="5">
        <v>2220</v>
      </c>
      <c r="I3454" s="6">
        <v>1162.4642856677858</v>
      </c>
      <c r="J3454" s="5">
        <v>8800</v>
      </c>
      <c r="K3454" s="6">
        <f t="shared" si="140"/>
        <v>1.9097360902788556</v>
      </c>
    </row>
    <row r="3455" spans="1:11" hidden="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H3455" s="5">
        <v>840</v>
      </c>
      <c r="I3455" s="6">
        <v>317.03571427303262</v>
      </c>
      <c r="J3455" s="5">
        <v>2400</v>
      </c>
      <c r="K3455" s="6">
        <f t="shared" si="140"/>
        <v>2.649543764891384</v>
      </c>
    </row>
    <row r="3456" spans="1:11" hidden="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H3456" s="5">
        <v>1000</v>
      </c>
      <c r="I3456" s="6">
        <v>951.10714281875391</v>
      </c>
      <c r="J3456" s="5">
        <v>7200</v>
      </c>
      <c r="K3456" s="6">
        <f t="shared" si="140"/>
        <v>1.0514062559096597</v>
      </c>
    </row>
    <row r="3457" spans="1:11" hidden="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H3457" s="5">
        <v>825</v>
      </c>
      <c r="I3457" s="6">
        <v>898.26785710660101</v>
      </c>
      <c r="J3457" s="5">
        <v>6800</v>
      </c>
      <c r="K3457" s="6">
        <f t="shared" si="140"/>
        <v>0.91843428825049678</v>
      </c>
    </row>
    <row r="3458" spans="1:11" hidden="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H3458" s="5">
        <v>1950</v>
      </c>
      <c r="I3458" s="6">
        <v>1162.4642856673661</v>
      </c>
      <c r="J3458" s="5">
        <v>8800</v>
      </c>
      <c r="K3458" s="6">
        <f t="shared" si="140"/>
        <v>1.6774708901104112</v>
      </c>
    </row>
    <row r="3459" spans="1:11" hidden="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H3459" s="5">
        <v>2190</v>
      </c>
      <c r="I3459" s="6">
        <v>686.91071425798896</v>
      </c>
      <c r="J3459" s="5">
        <v>5200</v>
      </c>
      <c r="K3459" s="6">
        <f t="shared" si="140"/>
        <v>3.1881872775352909</v>
      </c>
    </row>
    <row r="3460" spans="1:11" hidden="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H3460" s="5">
        <v>925</v>
      </c>
      <c r="I3460" s="6">
        <v>845.428571394752</v>
      </c>
      <c r="J3460" s="5">
        <v>6400</v>
      </c>
      <c r="K3460" s="6">
        <f t="shared" si="140"/>
        <v>1.0941196350555962</v>
      </c>
    </row>
    <row r="3461" spans="1:11" hidden="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H3461" s="5">
        <v>5375</v>
      </c>
      <c r="I3461" s="6">
        <v>3910.1071427007355</v>
      </c>
      <c r="J3461" s="5">
        <v>29600</v>
      </c>
      <c r="K3461" s="6">
        <f t="shared" si="140"/>
        <v>1.3746426386381458</v>
      </c>
    </row>
    <row r="3462" spans="1:11" hidden="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H3462" s="5">
        <v>6250</v>
      </c>
      <c r="I3462" s="6">
        <v>4015.7857141250793</v>
      </c>
      <c r="J3462" s="5">
        <v>30400</v>
      </c>
      <c r="K3462" s="6">
        <f t="shared" si="140"/>
        <v>1.5563579446025519</v>
      </c>
    </row>
    <row r="3463" spans="1:11" hidden="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H3463" s="5">
        <v>5730</v>
      </c>
      <c r="I3463" s="6">
        <v>2747.5751230427709</v>
      </c>
      <c r="J3463" s="5">
        <v>20800</v>
      </c>
      <c r="K3463" s="6">
        <f t="shared" si="140"/>
        <v>2.0854752803462482</v>
      </c>
    </row>
    <row r="3464" spans="1:11" hidden="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H3464" s="5">
        <v>1200</v>
      </c>
      <c r="I3464" s="6">
        <v>1056.75862064738</v>
      </c>
      <c r="J3464" s="5">
        <v>9600</v>
      </c>
      <c r="K3464" s="6">
        <f t="shared" si="140"/>
        <v>1.1355478692616381</v>
      </c>
    </row>
    <row r="3465" spans="1:11" hidden="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H3465" s="5">
        <v>0</v>
      </c>
      <c r="I3465" s="6">
        <v>317.02758619421581</v>
      </c>
      <c r="J3465" s="5">
        <v>2640</v>
      </c>
      <c r="K3465" s="6">
        <f t="shared" si="140"/>
        <v>0</v>
      </c>
    </row>
    <row r="3466" spans="1:11" hidden="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H3466" s="5">
        <v>0</v>
      </c>
      <c r="I3466" s="6">
        <v>52.837931032368999</v>
      </c>
      <c r="J3466" s="5">
        <v>440</v>
      </c>
      <c r="K3466" s="6">
        <f t="shared" si="140"/>
        <v>0</v>
      </c>
    </row>
    <row r="3467" spans="1:11" hidden="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H3467" s="5">
        <v>14790</v>
      </c>
      <c r="I3467" s="6">
        <v>3592.9793102011122</v>
      </c>
      <c r="J3467" s="5">
        <v>27820</v>
      </c>
      <c r="K3467" s="6">
        <f t="shared" si="140"/>
        <v>4.1163610260734149</v>
      </c>
    </row>
    <row r="3468" spans="1:11" hidden="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H3468" s="5">
        <v>5970</v>
      </c>
      <c r="I3468" s="6">
        <v>1585.2222221588099</v>
      </c>
      <c r="J3468" s="5">
        <v>11490</v>
      </c>
      <c r="K3468" s="6">
        <f t="shared" si="140"/>
        <v>3.7660335040407453</v>
      </c>
    </row>
    <row r="3469" spans="1:11" hidden="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H3469" s="5">
        <v>3330</v>
      </c>
      <c r="I3469" s="6">
        <v>2219.311111022334</v>
      </c>
      <c r="J3469" s="5">
        <v>16800</v>
      </c>
      <c r="K3469" s="6">
        <f t="shared" si="140"/>
        <v>1.500465610009055</v>
      </c>
    </row>
    <row r="3470" spans="1:11" hidden="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H3470" s="5">
        <v>4975</v>
      </c>
      <c r="I3470" s="6">
        <v>2959.0814813631118</v>
      </c>
      <c r="J3470" s="5">
        <v>22400</v>
      </c>
      <c r="K3470" s="6">
        <f t="shared" si="140"/>
        <v>1.6812649571610472</v>
      </c>
    </row>
    <row r="3471" spans="1:11" hidden="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H3471" s="5">
        <v>0</v>
      </c>
      <c r="I3471" s="6">
        <v>1796.5851851133182</v>
      </c>
      <c r="J3471" s="5">
        <v>13600</v>
      </c>
      <c r="K3471" s="6">
        <f t="shared" si="140"/>
        <v>0</v>
      </c>
    </row>
    <row r="3472" spans="1:11" hidden="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H3472" s="5">
        <v>1600</v>
      </c>
      <c r="I3472" s="6">
        <v>1912.3542857142861</v>
      </c>
      <c r="J3472" s="5">
        <v>16320</v>
      </c>
      <c r="K3472" s="6">
        <f t="shared" si="140"/>
        <v>0.83666505309834982</v>
      </c>
    </row>
    <row r="3473" spans="1:11" hidden="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H3473" s="5">
        <v>2700</v>
      </c>
      <c r="I3473" s="6">
        <v>2812.2857142428579</v>
      </c>
      <c r="J3473" s="5">
        <v>20000</v>
      </c>
      <c r="K3473" s="6">
        <f t="shared" si="140"/>
        <v>0.96007314844498715</v>
      </c>
    </row>
    <row r="3474" spans="1:11" hidden="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H3474" s="5">
        <v>4375</v>
      </c>
      <c r="I3474" s="6">
        <v>1768.8376470588223</v>
      </c>
      <c r="J3474" s="5">
        <v>12800</v>
      </c>
      <c r="K3474" s="6">
        <f t="shared" si="140"/>
        <v>2.4733756697651916</v>
      </c>
    </row>
    <row r="3475" spans="1:11" hidden="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H3475" s="5">
        <v>3880</v>
      </c>
      <c r="I3475" s="6">
        <v>2263.7999998868127</v>
      </c>
      <c r="J3475" s="5">
        <v>17920</v>
      </c>
      <c r="K3475" s="6">
        <f t="shared" si="140"/>
        <v>1.7139323262629187</v>
      </c>
    </row>
    <row r="3476" spans="1:11" hidden="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H3476" s="5">
        <v>1140</v>
      </c>
      <c r="I3476" s="6">
        <v>994.97117647058747</v>
      </c>
      <c r="J3476" s="5">
        <v>7200</v>
      </c>
      <c r="K3476" s="6">
        <f t="shared" si="140"/>
        <v>1.1457618340702755</v>
      </c>
    </row>
    <row r="3477" spans="1:11" hidden="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H3477" s="5">
        <v>2930</v>
      </c>
      <c r="I3477" s="6">
        <v>994.97117647058747</v>
      </c>
      <c r="J3477" s="5">
        <v>7920</v>
      </c>
      <c r="K3477" s="6">
        <f t="shared" si="140"/>
        <v>2.9448089244086906</v>
      </c>
    </row>
    <row r="3478" spans="1:11" hidden="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H3478" s="5">
        <v>2825</v>
      </c>
      <c r="I3478" s="6">
        <v>2263.7999998868127</v>
      </c>
      <c r="J3478" s="5">
        <v>17920</v>
      </c>
      <c r="K3478" s="6">
        <f t="shared" si="140"/>
        <v>1.2479017581682335</v>
      </c>
    </row>
    <row r="3479" spans="1:11" hidden="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H3479" s="5">
        <v>17400</v>
      </c>
      <c r="I3479" s="6">
        <v>6727.0499997982479</v>
      </c>
      <c r="J3479" s="5">
        <v>49210</v>
      </c>
      <c r="K3479" s="6">
        <f t="shared" si="140"/>
        <v>2.5865721230735383</v>
      </c>
    </row>
    <row r="3480" spans="1:11" hidden="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H3480" s="5">
        <v>1740</v>
      </c>
      <c r="I3480" s="6">
        <v>994.95</v>
      </c>
      <c r="J3480" s="5">
        <v>7200</v>
      </c>
      <c r="K3480" s="6">
        <f t="shared" si="140"/>
        <v>1.748831599577868</v>
      </c>
    </row>
    <row r="3481" spans="1:11" hidden="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H3481" s="5">
        <v>1375</v>
      </c>
      <c r="I3481" s="6">
        <v>831.6</v>
      </c>
      <c r="J3481" s="5">
        <v>6300</v>
      </c>
      <c r="K3481" s="6">
        <f t="shared" si="140"/>
        <v>1.6534391534391535</v>
      </c>
    </row>
    <row r="3482" spans="1:11" hidden="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H3482" s="5">
        <v>4300</v>
      </c>
      <c r="I3482" s="6">
        <v>1267.2</v>
      </c>
      <c r="J3482" s="5">
        <v>9600</v>
      </c>
      <c r="K3482" s="6">
        <f t="shared" si="140"/>
        <v>3.3933080808080809</v>
      </c>
    </row>
    <row r="3483" spans="1:11" hidden="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H3483" s="5">
        <v>1000</v>
      </c>
      <c r="I3483" s="6">
        <v>316.8</v>
      </c>
      <c r="J3483" s="5">
        <v>2400</v>
      </c>
      <c r="K3483" s="6">
        <f t="shared" si="140"/>
        <v>3.1565656565656566</v>
      </c>
    </row>
    <row r="3484" spans="1:11" hidden="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H3484" s="5">
        <v>11280</v>
      </c>
      <c r="I3484" s="6">
        <v>3603.6</v>
      </c>
      <c r="J3484" s="5">
        <v>27296</v>
      </c>
      <c r="K3484" s="6">
        <f t="shared" si="140"/>
        <v>3.1302031302031303</v>
      </c>
    </row>
    <row r="3485" spans="1:11" hidden="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H3485" s="5">
        <v>5850</v>
      </c>
      <c r="I3485" s="6">
        <v>3682.8</v>
      </c>
      <c r="J3485" s="5">
        <v>27900</v>
      </c>
      <c r="K3485" s="6">
        <f t="shared" si="140"/>
        <v>1.5884652981427174</v>
      </c>
    </row>
    <row r="3486" spans="1:11" hidden="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H3486" s="5">
        <v>4825</v>
      </c>
      <c r="I3486" s="6">
        <v>2376</v>
      </c>
      <c r="J3486" s="5">
        <v>18000</v>
      </c>
      <c r="K3486" s="6">
        <f t="shared" si="140"/>
        <v>2.0307239057239057</v>
      </c>
    </row>
    <row r="3487" spans="1:11" hidden="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H3487" s="5">
        <v>810</v>
      </c>
      <c r="I3487" s="6">
        <v>950.4</v>
      </c>
      <c r="J3487" s="5">
        <v>7200</v>
      </c>
      <c r="K3487" s="6">
        <f t="shared" si="140"/>
        <v>0.85227272727272729</v>
      </c>
    </row>
    <row r="3488" spans="1:11" hidden="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H3488" s="5">
        <v>3275</v>
      </c>
      <c r="I3488" s="6">
        <v>1346.4</v>
      </c>
      <c r="J3488" s="5">
        <v>10200</v>
      </c>
      <c r="K3488" s="6">
        <f t="shared" si="140"/>
        <v>2.4324123588829472</v>
      </c>
    </row>
    <row r="3489" spans="1:11" hidden="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H3489" s="5">
        <v>5190</v>
      </c>
      <c r="I3489" s="6">
        <v>2851.2</v>
      </c>
      <c r="J3489" s="5">
        <v>21600</v>
      </c>
      <c r="K3489" s="6">
        <f t="shared" si="140"/>
        <v>1.8202861952861955</v>
      </c>
    </row>
    <row r="3490" spans="1:11" hidden="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H3490" s="5">
        <v>2600</v>
      </c>
      <c r="I3490" s="6">
        <v>2138.4</v>
      </c>
      <c r="J3490" s="5">
        <v>16200</v>
      </c>
      <c r="K3490" s="6">
        <f t="shared" si="140"/>
        <v>1.2158623269734381</v>
      </c>
    </row>
    <row r="3491" spans="1:11" hidden="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H3491" s="5">
        <v>1725</v>
      </c>
      <c r="I3491" s="6">
        <v>963.6</v>
      </c>
      <c r="J3491" s="5">
        <v>7570</v>
      </c>
      <c r="K3491" s="6">
        <f t="shared" si="140"/>
        <v>1.790161892901619</v>
      </c>
    </row>
    <row r="3492" spans="1:11" hidden="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H3492" s="5">
        <v>6250</v>
      </c>
      <c r="I3492" s="6">
        <v>3168</v>
      </c>
      <c r="J3492" s="5">
        <v>24000</v>
      </c>
      <c r="K3492" s="6">
        <f t="shared" si="140"/>
        <v>1.9728535353535352</v>
      </c>
    </row>
    <row r="3493" spans="1:11" hidden="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H3493" s="5">
        <v>2400</v>
      </c>
      <c r="I3493" s="6">
        <v>1188</v>
      </c>
      <c r="J3493" s="5">
        <v>9000</v>
      </c>
      <c r="K3493" s="6">
        <f t="shared" si="140"/>
        <v>2.0202020202020203</v>
      </c>
    </row>
    <row r="3494" spans="1:11" hidden="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H3494" s="5">
        <v>4200</v>
      </c>
      <c r="I3494" s="6">
        <v>2732.4</v>
      </c>
      <c r="J3494" s="5">
        <v>20700</v>
      </c>
      <c r="K3494" s="6">
        <f t="shared" ref="K3494:K3557" si="143">+H3494/I3494</f>
        <v>1.5371102327624067</v>
      </c>
    </row>
    <row r="3495" spans="1:11" hidden="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H3495" s="5">
        <v>720</v>
      </c>
      <c r="I3495" s="6">
        <v>673.2</v>
      </c>
      <c r="J3495" s="5">
        <v>5100</v>
      </c>
      <c r="K3495" s="6">
        <f t="shared" si="143"/>
        <v>1.0695187165775399</v>
      </c>
    </row>
    <row r="3496" spans="1:11" hidden="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H3496" s="5">
        <v>1525</v>
      </c>
      <c r="I3496" s="6">
        <v>1100.4749999999999</v>
      </c>
      <c r="J3496" s="5">
        <v>8000</v>
      </c>
      <c r="K3496" s="6">
        <f t="shared" si="143"/>
        <v>1.3857652377382494</v>
      </c>
    </row>
    <row r="3497" spans="1:11" hidden="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H3497" s="5">
        <v>2150</v>
      </c>
      <c r="I3497" s="6">
        <v>1287</v>
      </c>
      <c r="J3497" s="5">
        <v>9400</v>
      </c>
      <c r="K3497" s="6">
        <f t="shared" si="143"/>
        <v>1.6705516705516705</v>
      </c>
    </row>
    <row r="3498" spans="1:11" hidden="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H3498" s="5">
        <v>7140</v>
      </c>
      <c r="I3498" s="6">
        <v>2641.14</v>
      </c>
      <c r="J3498" s="5">
        <v>19200</v>
      </c>
      <c r="K3498" s="6">
        <f t="shared" si="143"/>
        <v>2.7033780867352735</v>
      </c>
    </row>
    <row r="3499" spans="1:11" hidden="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H3499" s="5">
        <v>4620</v>
      </c>
      <c r="I3499" s="6">
        <v>2641.14</v>
      </c>
      <c r="J3499" s="5">
        <v>19200</v>
      </c>
      <c r="K3499" s="6">
        <f t="shared" si="143"/>
        <v>1.7492446443581182</v>
      </c>
    </row>
    <row r="3500" spans="1:11" hidden="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H3500" s="5">
        <v>3180</v>
      </c>
      <c r="I3500" s="6">
        <v>1430.6174906250001</v>
      </c>
      <c r="J3500" s="5">
        <v>10400</v>
      </c>
      <c r="K3500" s="6">
        <f t="shared" si="143"/>
        <v>2.2228163858186436</v>
      </c>
    </row>
    <row r="3501" spans="1:11" hidden="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H3501" s="5">
        <v>1680</v>
      </c>
      <c r="I3501" s="6">
        <v>1430.6175000000001</v>
      </c>
      <c r="J3501" s="5">
        <v>10400</v>
      </c>
      <c r="K3501" s="6">
        <f t="shared" si="143"/>
        <v>1.1743180829257296</v>
      </c>
    </row>
    <row r="3502" spans="1:11" hidden="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H3502" s="5">
        <v>2370</v>
      </c>
      <c r="I3502" s="6">
        <v>2861.2350000000001</v>
      </c>
      <c r="J3502" s="5">
        <v>20800</v>
      </c>
      <c r="K3502" s="6">
        <f t="shared" si="143"/>
        <v>0.82831364777797001</v>
      </c>
    </row>
    <row r="3503" spans="1:11" hidden="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H3503" s="5">
        <v>4625</v>
      </c>
      <c r="I3503" s="6">
        <v>3071.9505625000002</v>
      </c>
      <c r="J3503" s="5">
        <v>22400</v>
      </c>
      <c r="K3503" s="6">
        <f t="shared" si="143"/>
        <v>1.5055580830168389</v>
      </c>
    </row>
    <row r="3504" spans="1:11" hidden="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H3504" s="5">
        <v>2775</v>
      </c>
      <c r="I3504" s="6">
        <v>1097.125</v>
      </c>
      <c r="J3504" s="5">
        <v>8000</v>
      </c>
      <c r="K3504" s="6">
        <f t="shared" si="143"/>
        <v>2.5293380426113705</v>
      </c>
    </row>
    <row r="3505" spans="1:11" hidden="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H3505" s="5">
        <v>4775</v>
      </c>
      <c r="I3505" s="6">
        <v>2852.5250000000001</v>
      </c>
      <c r="J3505" s="5">
        <v>20800</v>
      </c>
      <c r="K3505" s="6">
        <f t="shared" si="143"/>
        <v>1.6739555306263749</v>
      </c>
    </row>
    <row r="3506" spans="1:11" hidden="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H3506" s="5">
        <v>4680</v>
      </c>
      <c r="I3506" s="6">
        <v>2633.1</v>
      </c>
      <c r="J3506" s="5">
        <v>19200</v>
      </c>
      <c r="K3506" s="6">
        <f t="shared" si="143"/>
        <v>1.7773726785917741</v>
      </c>
    </row>
    <row r="3507" spans="1:11" hidden="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H3507" s="5">
        <v>4350</v>
      </c>
      <c r="I3507" s="6">
        <v>2633.1</v>
      </c>
      <c r="J3507" s="5">
        <v>19200</v>
      </c>
      <c r="K3507" s="6">
        <f t="shared" si="143"/>
        <v>1.6520451179218412</v>
      </c>
    </row>
    <row r="3508" spans="1:11" hidden="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H3508" s="5">
        <v>4650</v>
      </c>
      <c r="I3508" s="6">
        <v>2852.5250000000001</v>
      </c>
      <c r="J3508" s="5">
        <v>20800</v>
      </c>
      <c r="K3508" s="6">
        <f t="shared" si="143"/>
        <v>1.6301347052173074</v>
      </c>
    </row>
    <row r="3509" spans="1:11" hidden="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H3509" s="5">
        <v>8490</v>
      </c>
      <c r="I3509" s="6">
        <v>2852.5250000000001</v>
      </c>
      <c r="J3509" s="5">
        <v>20800</v>
      </c>
      <c r="K3509" s="6">
        <f t="shared" si="143"/>
        <v>2.9763104617838581</v>
      </c>
    </row>
    <row r="3510" spans="1:11" hidden="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H3510" s="5">
        <v>4775</v>
      </c>
      <c r="I3510" s="6">
        <v>3071.95</v>
      </c>
      <c r="J3510" s="5">
        <v>22400</v>
      </c>
      <c r="K3510" s="6">
        <f t="shared" si="143"/>
        <v>1.5543872784387767</v>
      </c>
    </row>
    <row r="3511" spans="1:11" hidden="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H3511" s="5">
        <v>1675</v>
      </c>
      <c r="I3511" s="6">
        <v>1645.6875</v>
      </c>
      <c r="J3511" s="5">
        <v>12000</v>
      </c>
      <c r="K3511" s="6">
        <f t="shared" si="143"/>
        <v>1.0178117048346056</v>
      </c>
    </row>
    <row r="3512" spans="1:11" hidden="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H3512" s="5">
        <v>9760</v>
      </c>
      <c r="I3512" s="6">
        <v>4121.4642855494085</v>
      </c>
      <c r="J3512" s="5">
        <v>31200</v>
      </c>
      <c r="K3512" s="6">
        <f t="shared" si="143"/>
        <v>2.3680903979249091</v>
      </c>
    </row>
    <row r="3513" spans="1:11" hidden="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H3513" s="5">
        <v>1020</v>
      </c>
      <c r="I3513" s="6">
        <v>1056.7857142434418</v>
      </c>
      <c r="J3513" s="5">
        <v>8000</v>
      </c>
      <c r="K3513" s="6">
        <f t="shared" si="143"/>
        <v>0.96519094292471874</v>
      </c>
    </row>
    <row r="3514" spans="1:11" hidden="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H3514" s="5">
        <v>8340</v>
      </c>
      <c r="I3514" s="6">
        <v>2641.9642856076484</v>
      </c>
      <c r="J3514" s="5">
        <v>19996</v>
      </c>
      <c r="K3514" s="6">
        <f t="shared" si="143"/>
        <v>3.1567421427431639</v>
      </c>
    </row>
    <row r="3515" spans="1:11" hidden="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H3515" s="5">
        <v>1560</v>
      </c>
      <c r="I3515" s="6">
        <v>528.39285712153003</v>
      </c>
      <c r="J3515" s="5">
        <v>4000</v>
      </c>
      <c r="K3515" s="6">
        <f t="shared" si="143"/>
        <v>2.9523487665943238</v>
      </c>
    </row>
    <row r="3516" spans="1:11" hidden="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H3516" s="5">
        <v>3330</v>
      </c>
      <c r="I3516" s="6">
        <v>1902.2142856375078</v>
      </c>
      <c r="J3516" s="5">
        <v>14400</v>
      </c>
      <c r="K3516" s="6">
        <f t="shared" si="143"/>
        <v>1.7505914160895832</v>
      </c>
    </row>
    <row r="3517" spans="1:11" hidden="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H3517" s="5">
        <v>1180</v>
      </c>
      <c r="I3517" s="6">
        <v>634.05652706821195</v>
      </c>
      <c r="J3517" s="5">
        <v>4800</v>
      </c>
      <c r="K3517" s="6">
        <f t="shared" si="143"/>
        <v>1.8610328095763855</v>
      </c>
    </row>
    <row r="3518" spans="1:11" hidden="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H3518" s="5">
        <v>11820</v>
      </c>
      <c r="I3518" s="6">
        <v>4487.9999999102474</v>
      </c>
      <c r="J3518" s="5">
        <v>31740</v>
      </c>
      <c r="K3518" s="6">
        <f t="shared" si="143"/>
        <v>2.633689839624862</v>
      </c>
    </row>
    <row r="3519" spans="1:11" hidden="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H3519" s="5">
        <v>3000</v>
      </c>
      <c r="I3519" s="6">
        <v>1702.8</v>
      </c>
      <c r="J3519" s="5">
        <v>12900</v>
      </c>
      <c r="K3519" s="6">
        <f t="shared" si="143"/>
        <v>1.7618040873854828</v>
      </c>
    </row>
    <row r="3520" spans="1:11" hidden="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H3520" s="5">
        <v>6960</v>
      </c>
      <c r="I3520" s="6">
        <v>3009.6</v>
      </c>
      <c r="J3520" s="5">
        <v>22800</v>
      </c>
      <c r="K3520" s="6">
        <f t="shared" si="143"/>
        <v>2.3125996810207337</v>
      </c>
    </row>
    <row r="3521" spans="1:11" hidden="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H3521" s="5">
        <v>3360</v>
      </c>
      <c r="I3521" s="6">
        <v>1386</v>
      </c>
      <c r="J3521" s="5">
        <v>10500</v>
      </c>
      <c r="K3521" s="6">
        <f t="shared" si="143"/>
        <v>2.4242424242424243</v>
      </c>
    </row>
    <row r="3522" spans="1:11" hidden="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H3522" s="5">
        <v>3120</v>
      </c>
      <c r="I3522" s="6">
        <v>1386</v>
      </c>
      <c r="J3522" s="5">
        <v>10500</v>
      </c>
      <c r="K3522" s="6">
        <f t="shared" si="143"/>
        <v>2.2510822510822512</v>
      </c>
    </row>
    <row r="3523" spans="1:11" hidden="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H3523" s="5">
        <v>1375</v>
      </c>
      <c r="I3523" s="6">
        <v>1029.5999999999999</v>
      </c>
      <c r="J3523" s="5">
        <v>7800</v>
      </c>
      <c r="K3523" s="6">
        <f t="shared" si="143"/>
        <v>1.3354700854700856</v>
      </c>
    </row>
    <row r="3524" spans="1:11" hidden="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H3524" s="5">
        <v>4575</v>
      </c>
      <c r="I3524" s="6">
        <v>2653.2</v>
      </c>
      <c r="J3524" s="5">
        <v>20100</v>
      </c>
      <c r="K3524" s="6">
        <f t="shared" si="143"/>
        <v>1.724332881049299</v>
      </c>
    </row>
    <row r="3525" spans="1:11" hidden="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H3525" s="5">
        <v>4770</v>
      </c>
      <c r="I3525" s="6">
        <v>1768.8</v>
      </c>
      <c r="J3525" s="5">
        <v>13400</v>
      </c>
      <c r="K3525" s="6">
        <f t="shared" si="143"/>
        <v>2.6967435549525103</v>
      </c>
    </row>
    <row r="3526" spans="1:11" hidden="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H3526" s="5">
        <v>1770</v>
      </c>
      <c r="I3526" s="6">
        <v>1029.5999999999999</v>
      </c>
      <c r="J3526" s="5">
        <v>7800</v>
      </c>
      <c r="K3526" s="6">
        <f t="shared" si="143"/>
        <v>1.7191142191142192</v>
      </c>
    </row>
    <row r="3527" spans="1:11" hidden="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H3527" s="5">
        <v>4000</v>
      </c>
      <c r="I3527" s="6">
        <v>1346.4</v>
      </c>
      <c r="J3527" s="5">
        <v>10200</v>
      </c>
      <c r="K3527" s="6">
        <f t="shared" si="143"/>
        <v>2.9708853238265003</v>
      </c>
    </row>
    <row r="3528" spans="1:11" hidden="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H3528" s="5">
        <v>420</v>
      </c>
      <c r="I3528" s="6">
        <v>440.18999062500001</v>
      </c>
      <c r="J3528" s="5">
        <v>3200</v>
      </c>
      <c r="K3528" s="6">
        <f t="shared" si="143"/>
        <v>0.95413346269792865</v>
      </c>
    </row>
    <row r="3529" spans="1:11" hidden="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H3529" s="5">
        <v>1975</v>
      </c>
      <c r="I3529" s="6">
        <v>880.38</v>
      </c>
      <c r="J3529" s="5">
        <v>6400</v>
      </c>
      <c r="K3529" s="6">
        <f t="shared" si="143"/>
        <v>2.2433494627320023</v>
      </c>
    </row>
    <row r="3530" spans="1:11" hidden="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H3530" s="5">
        <v>675</v>
      </c>
      <c r="I3530" s="6">
        <v>330.14249999999998</v>
      </c>
      <c r="J3530" s="5">
        <v>2400</v>
      </c>
      <c r="K3530" s="6">
        <f t="shared" si="143"/>
        <v>2.0445716622367613</v>
      </c>
    </row>
    <row r="3531" spans="1:11" hidden="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H3531" s="5">
        <v>2175</v>
      </c>
      <c r="I3531" s="6">
        <v>1650.7125000000001</v>
      </c>
      <c r="J3531" s="5">
        <v>12000</v>
      </c>
      <c r="K3531" s="6">
        <f t="shared" si="143"/>
        <v>1.317612848997024</v>
      </c>
    </row>
    <row r="3532" spans="1:11" hidden="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H3532" s="5">
        <v>2900</v>
      </c>
      <c r="I3532" s="6">
        <v>1287.0000000000018</v>
      </c>
      <c r="J3532" s="5">
        <v>9400</v>
      </c>
      <c r="K3532" s="6">
        <f t="shared" si="143"/>
        <v>2.25330225330225</v>
      </c>
    </row>
    <row r="3533" spans="1:11" hidden="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H3533" s="5">
        <v>5375</v>
      </c>
      <c r="I3533" s="6">
        <v>2641.14</v>
      </c>
      <c r="J3533" s="5">
        <v>19200</v>
      </c>
      <c r="K3533" s="6">
        <f t="shared" si="143"/>
        <v>2.0351060526893692</v>
      </c>
    </row>
    <row r="3534" spans="1:11" hidden="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H3534" s="5">
        <v>1980</v>
      </c>
      <c r="I3534" s="6">
        <v>880.38</v>
      </c>
      <c r="J3534" s="5">
        <v>6400</v>
      </c>
      <c r="K3534" s="6">
        <f t="shared" si="143"/>
        <v>2.2490288284604376</v>
      </c>
    </row>
    <row r="3535" spans="1:11" hidden="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H3535" s="5">
        <v>1760</v>
      </c>
      <c r="I3535" s="6">
        <v>880.38</v>
      </c>
      <c r="J3535" s="5">
        <v>6400</v>
      </c>
      <c r="K3535" s="6">
        <f t="shared" si="143"/>
        <v>1.9991367364092778</v>
      </c>
    </row>
    <row r="3536" spans="1:11" hidden="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H3536" s="5">
        <v>430</v>
      </c>
      <c r="I3536" s="6">
        <v>1755.4</v>
      </c>
      <c r="J3536" s="5">
        <v>12800</v>
      </c>
      <c r="K3536" s="6">
        <f t="shared" si="143"/>
        <v>0.24495841403668678</v>
      </c>
    </row>
    <row r="3537" spans="1:11" hidden="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H3537" s="5">
        <v>4960</v>
      </c>
      <c r="I3537" s="6">
        <v>2413.6749943750001</v>
      </c>
      <c r="J3537" s="5">
        <v>17600</v>
      </c>
      <c r="K3537" s="6">
        <f t="shared" si="143"/>
        <v>2.0549576937902314</v>
      </c>
    </row>
    <row r="3538" spans="1:11" hidden="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H3538" s="5">
        <v>3520</v>
      </c>
      <c r="I3538" s="6">
        <v>1645.6875</v>
      </c>
      <c r="J3538" s="5">
        <v>12000</v>
      </c>
      <c r="K3538" s="6">
        <f t="shared" si="143"/>
        <v>2.1389237021001861</v>
      </c>
    </row>
    <row r="3539" spans="1:11" hidden="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H3539" s="5">
        <v>1300</v>
      </c>
      <c r="I3539" s="6">
        <v>726.32013058333712</v>
      </c>
      <c r="J3539" s="5">
        <v>5712</v>
      </c>
      <c r="K3539" s="6">
        <f t="shared" si="143"/>
        <v>1.7898443747606407</v>
      </c>
    </row>
    <row r="3540" spans="1:11" hidden="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H3540" s="5">
        <v>2250</v>
      </c>
      <c r="I3540" s="6">
        <v>924.39958333667107</v>
      </c>
      <c r="J3540" s="5">
        <v>6720</v>
      </c>
      <c r="K3540" s="6">
        <f t="shared" si="143"/>
        <v>2.4340123476457025</v>
      </c>
    </row>
    <row r="3541" spans="1:11" hidden="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H3541" s="5">
        <v>2500</v>
      </c>
      <c r="I3541" s="6">
        <v>1122.485208333339</v>
      </c>
      <c r="J3541" s="5">
        <v>8160</v>
      </c>
      <c r="K3541" s="6">
        <f t="shared" si="143"/>
        <v>2.2272008409910264</v>
      </c>
    </row>
    <row r="3542" spans="1:11" hidden="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H3542" s="5">
        <v>380</v>
      </c>
      <c r="I3542" s="6">
        <v>396.17125000000198</v>
      </c>
      <c r="J3542" s="5">
        <v>2880</v>
      </c>
      <c r="K3542" s="6">
        <f t="shared" si="143"/>
        <v>0.95918116218680205</v>
      </c>
    </row>
    <row r="3543" spans="1:11" hidden="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H3543" s="5">
        <v>2670</v>
      </c>
      <c r="I3543" s="6">
        <v>1535.9749999999999</v>
      </c>
      <c r="J3543" s="5">
        <v>11200</v>
      </c>
      <c r="K3543" s="6">
        <f t="shared" si="143"/>
        <v>1.7383095427985482</v>
      </c>
    </row>
    <row r="3544" spans="1:11" hidden="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H3544" s="5">
        <v>2040</v>
      </c>
      <c r="I3544" s="6">
        <v>1535.9749999999999</v>
      </c>
      <c r="J3544" s="5">
        <v>11200</v>
      </c>
      <c r="K3544" s="6">
        <f t="shared" si="143"/>
        <v>1.3281466169696774</v>
      </c>
    </row>
    <row r="3545" spans="1:11" hidden="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H3545" s="5">
        <v>1260</v>
      </c>
      <c r="I3545" s="6">
        <v>594.25687500000299</v>
      </c>
      <c r="J3545" s="5">
        <v>4320</v>
      </c>
      <c r="K3545" s="6">
        <f t="shared" si="143"/>
        <v>2.120295200623457</v>
      </c>
    </row>
    <row r="3546" spans="1:11" hidden="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H3546" s="5">
        <v>2560</v>
      </c>
      <c r="I3546" s="6">
        <v>2575.1131250013459</v>
      </c>
      <c r="J3546" s="5">
        <v>18720</v>
      </c>
      <c r="K3546" s="6">
        <f t="shared" si="143"/>
        <v>0.9941310830756851</v>
      </c>
    </row>
    <row r="3547" spans="1:11" hidden="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H3547" s="5">
        <v>1110</v>
      </c>
      <c r="I3547" s="6">
        <v>528.37931032368999</v>
      </c>
      <c r="J3547" s="5">
        <v>4000</v>
      </c>
      <c r="K3547" s="6">
        <f t="shared" ref="K3547:K3553" si="144">IFERROR(H3547/I3547,"")</f>
        <v>2.1007635581340303</v>
      </c>
    </row>
    <row r="3548" spans="1:11" hidden="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H3548" s="5">
        <v>3000</v>
      </c>
      <c r="I3548" s="6">
        <v>2272.0310343918732</v>
      </c>
      <c r="J3548" s="5">
        <v>17200</v>
      </c>
      <c r="K3548" s="6">
        <f t="shared" si="144"/>
        <v>1.3204044991414361</v>
      </c>
    </row>
    <row r="3549" spans="1:11" hidden="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H3549" s="5">
        <v>1290</v>
      </c>
      <c r="I3549" s="6">
        <v>1162.4344827121224</v>
      </c>
      <c r="J3549" s="5">
        <v>8800</v>
      </c>
      <c r="K3549" s="6">
        <f t="shared" si="144"/>
        <v>1.109739963142051</v>
      </c>
    </row>
    <row r="3550" spans="1:11" hidden="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H3550" s="5">
        <v>1225</v>
      </c>
      <c r="I3550" s="6">
        <v>1162.4344827121181</v>
      </c>
      <c r="J3550" s="5">
        <v>8800</v>
      </c>
      <c r="K3550" s="6">
        <f t="shared" si="144"/>
        <v>1.0538228332162929</v>
      </c>
    </row>
    <row r="3551" spans="1:11" hidden="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H3551" s="5">
        <v>1560</v>
      </c>
      <c r="I3551" s="6">
        <v>1056.7586206473827</v>
      </c>
      <c r="J3551" s="5">
        <v>8000</v>
      </c>
      <c r="K3551" s="6">
        <f t="shared" si="144"/>
        <v>1.4762122300401257</v>
      </c>
    </row>
    <row r="3552" spans="1:11" hidden="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H3552" s="5">
        <v>1770</v>
      </c>
      <c r="I3552" s="6">
        <v>1109.596551679753</v>
      </c>
      <c r="J3552" s="5">
        <v>8400</v>
      </c>
      <c r="K3552" s="6">
        <f t="shared" si="144"/>
        <v>1.5951743877722953</v>
      </c>
    </row>
    <row r="3553" spans="1:11" hidden="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H3553" s="5">
        <v>3475</v>
      </c>
      <c r="I3553" s="6">
        <v>1902.1655171652881</v>
      </c>
      <c r="J3553" s="5">
        <v>14400</v>
      </c>
      <c r="K3553" s="6">
        <f t="shared" si="144"/>
        <v>1.8268652063352702</v>
      </c>
    </row>
    <row r="3554" spans="1:11" hidden="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H3554" s="5">
        <v>1450</v>
      </c>
      <c r="I3554" s="6">
        <v>951.10714281909407</v>
      </c>
      <c r="J3554" s="5">
        <v>7200</v>
      </c>
      <c r="K3554" s="6">
        <f t="shared" si="143"/>
        <v>1.5245390710684612</v>
      </c>
    </row>
    <row r="3555" spans="1:11" hidden="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H3555" s="5">
        <v>5850</v>
      </c>
      <c r="I3555" s="6">
        <v>3804.4285712763772</v>
      </c>
      <c r="J3555" s="5">
        <v>28800</v>
      </c>
      <c r="K3555" s="6">
        <f t="shared" si="143"/>
        <v>1.5376816492673269</v>
      </c>
    </row>
    <row r="3556" spans="1:11" hidden="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H3556" s="5">
        <v>5010</v>
      </c>
      <c r="I3556" s="6">
        <v>2641.8965516184649</v>
      </c>
      <c r="J3556" s="5">
        <v>20000</v>
      </c>
      <c r="K3556" s="6">
        <f t="shared" si="143"/>
        <v>1.8963649416669248</v>
      </c>
    </row>
    <row r="3557" spans="1:11" hidden="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H3557" s="5">
        <v>7650</v>
      </c>
      <c r="I3557" s="6">
        <v>3592.9793102010913</v>
      </c>
      <c r="J3557" s="5">
        <v>26044</v>
      </c>
      <c r="K3557" s="6">
        <f t="shared" si="143"/>
        <v>2.1291522548655717</v>
      </c>
    </row>
    <row r="3558" spans="1:11" hidden="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H3558" s="5">
        <v>2175</v>
      </c>
      <c r="I3558" s="6">
        <v>1268.1103447768633</v>
      </c>
      <c r="J3558" s="5">
        <v>9600</v>
      </c>
      <c r="K3558" s="6">
        <f t="shared" ref="K3558:K3620" si="146">+H3558/I3558</f>
        <v>1.7151504275305893</v>
      </c>
    </row>
    <row r="3559" spans="1:11" hidden="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H3559" s="5">
        <v>1000</v>
      </c>
      <c r="I3559" s="6">
        <v>528.37931032368999</v>
      </c>
      <c r="J3559" s="5">
        <v>4000</v>
      </c>
      <c r="K3559" s="6">
        <f t="shared" si="146"/>
        <v>1.8925797821027301</v>
      </c>
    </row>
    <row r="3560" spans="1:11" hidden="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H3560" s="5">
        <v>1560</v>
      </c>
      <c r="I3560" s="6">
        <v>1162.4344827121247</v>
      </c>
      <c r="J3560" s="5">
        <v>8800</v>
      </c>
      <c r="K3560" s="6">
        <f t="shared" si="146"/>
        <v>1.3420111182182917</v>
      </c>
    </row>
    <row r="3561" spans="1:11" hidden="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H3561" s="5">
        <v>720</v>
      </c>
      <c r="I3561" s="6">
        <v>528.3915024419166</v>
      </c>
      <c r="J3561" s="5">
        <v>4000</v>
      </c>
      <c r="K3561" s="6">
        <f t="shared" si="146"/>
        <v>1.3626260011233733</v>
      </c>
    </row>
    <row r="3562" spans="1:11" hidden="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H3562" s="5">
        <v>9930</v>
      </c>
      <c r="I3562" s="6">
        <v>3910.1071427007282</v>
      </c>
      <c r="J3562" s="5">
        <v>29260</v>
      </c>
      <c r="K3562" s="6">
        <f t="shared" si="146"/>
        <v>2.5395723538003372</v>
      </c>
    </row>
    <row r="3563" spans="1:11" hidden="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H3563" s="5">
        <v>2300</v>
      </c>
      <c r="I3563" s="6">
        <v>1902.2142856381945</v>
      </c>
      <c r="J3563" s="5">
        <v>14400</v>
      </c>
      <c r="K3563" s="6">
        <f t="shared" si="146"/>
        <v>1.2091171942956722</v>
      </c>
    </row>
    <row r="3564" spans="1:11" hidden="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H3564" s="5">
        <v>2250</v>
      </c>
      <c r="I3564" s="6">
        <v>1162.4642856677858</v>
      </c>
      <c r="J3564" s="5">
        <v>8800</v>
      </c>
      <c r="K3564" s="6">
        <f t="shared" si="146"/>
        <v>1.9355433347420834</v>
      </c>
    </row>
    <row r="3565" spans="1:11" hidden="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H3565" s="5">
        <v>720</v>
      </c>
      <c r="I3565" s="6">
        <v>317.03571427303262</v>
      </c>
      <c r="J3565" s="5">
        <v>2400</v>
      </c>
      <c r="K3565" s="6">
        <f t="shared" si="146"/>
        <v>2.2710375127640434</v>
      </c>
    </row>
    <row r="3566" spans="1:11" hidden="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H3566" s="5">
        <v>1075</v>
      </c>
      <c r="I3566" s="6">
        <v>951.10714281875391</v>
      </c>
      <c r="J3566" s="5">
        <v>7200</v>
      </c>
      <c r="K3566" s="6">
        <f t="shared" si="146"/>
        <v>1.1302617251028841</v>
      </c>
    </row>
    <row r="3567" spans="1:11" hidden="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H3567" s="5">
        <v>750</v>
      </c>
      <c r="I3567" s="6">
        <v>898.26785710660101</v>
      </c>
      <c r="J3567" s="5">
        <v>6800</v>
      </c>
      <c r="K3567" s="6">
        <f t="shared" si="146"/>
        <v>0.8349402620459061</v>
      </c>
    </row>
    <row r="3568" spans="1:11" hidden="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H3568" s="5">
        <v>2050</v>
      </c>
      <c r="I3568" s="6">
        <v>1162.4642856673661</v>
      </c>
      <c r="J3568" s="5">
        <v>8800</v>
      </c>
      <c r="K3568" s="6">
        <f t="shared" si="146"/>
        <v>1.7634950383212016</v>
      </c>
    </row>
    <row r="3569" spans="1:11" hidden="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H3569" s="5">
        <v>2490</v>
      </c>
      <c r="I3569" s="6">
        <v>686.91071425798896</v>
      </c>
      <c r="J3569" s="5">
        <v>5200</v>
      </c>
      <c r="K3569" s="6">
        <f t="shared" si="146"/>
        <v>3.6249252607593037</v>
      </c>
    </row>
    <row r="3570" spans="1:11" hidden="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H3570" s="5">
        <v>725</v>
      </c>
      <c r="I3570" s="6">
        <v>845.428571394752</v>
      </c>
      <c r="J3570" s="5">
        <v>6400</v>
      </c>
      <c r="K3570" s="6">
        <f t="shared" si="146"/>
        <v>0.85755322747600771</v>
      </c>
    </row>
    <row r="3571" spans="1:11" hidden="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H3571" s="5">
        <v>5175</v>
      </c>
      <c r="I3571" s="6">
        <v>3910.1071427007355</v>
      </c>
      <c r="J3571" s="5">
        <v>29600</v>
      </c>
      <c r="K3571" s="6">
        <f t="shared" si="146"/>
        <v>1.3234931451074241</v>
      </c>
    </row>
    <row r="3572" spans="1:11" hidden="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H3572" s="5">
        <v>5200</v>
      </c>
      <c r="I3572" s="6">
        <v>4015.7857141250793</v>
      </c>
      <c r="J3572" s="5">
        <v>30400</v>
      </c>
      <c r="K3572" s="6">
        <f t="shared" si="146"/>
        <v>1.2948898099093233</v>
      </c>
    </row>
    <row r="3573" spans="1:11" hidden="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H3573" s="5">
        <v>4800</v>
      </c>
      <c r="I3573" s="6">
        <v>2747.5751230427709</v>
      </c>
      <c r="J3573" s="5">
        <v>20800</v>
      </c>
      <c r="K3573" s="6">
        <f t="shared" si="146"/>
        <v>1.7469949992429303</v>
      </c>
    </row>
    <row r="3574" spans="1:11" hidden="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H3574" s="5">
        <v>1410</v>
      </c>
      <c r="I3574" s="6">
        <v>1056.75862064738</v>
      </c>
      <c r="J3574" s="5">
        <v>9600</v>
      </c>
      <c r="K3574" s="6">
        <f t="shared" si="146"/>
        <v>1.3342687463824248</v>
      </c>
    </row>
    <row r="3575" spans="1:11" hidden="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H3575" s="5">
        <v>0</v>
      </c>
      <c r="I3575" s="6">
        <v>317.02758619421581</v>
      </c>
      <c r="J3575" s="5">
        <v>2640</v>
      </c>
      <c r="K3575" s="6">
        <f t="shared" si="146"/>
        <v>0</v>
      </c>
    </row>
    <row r="3576" spans="1:11" hidden="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H3576" s="5">
        <v>0</v>
      </c>
      <c r="I3576" s="6">
        <v>52.837931032368999</v>
      </c>
      <c r="J3576" s="5">
        <v>440</v>
      </c>
      <c r="K3576" s="6">
        <f t="shared" si="146"/>
        <v>0</v>
      </c>
    </row>
    <row r="3577" spans="1:11" hidden="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H3577" s="5">
        <v>13350</v>
      </c>
      <c r="I3577" s="6">
        <v>3592.9793102011122</v>
      </c>
      <c r="J3577" s="5">
        <v>27820</v>
      </c>
      <c r="K3577" s="6">
        <f t="shared" si="146"/>
        <v>3.7155794251575447</v>
      </c>
    </row>
    <row r="3578" spans="1:11" hidden="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H3578" s="5">
        <v>4620</v>
      </c>
      <c r="I3578" s="6">
        <v>1585.2222221588099</v>
      </c>
      <c r="J3578" s="5">
        <v>11490</v>
      </c>
      <c r="K3578" s="6">
        <f t="shared" si="146"/>
        <v>2.9144178875491198</v>
      </c>
    </row>
    <row r="3579" spans="1:11" hidden="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H3579" s="5">
        <v>3720</v>
      </c>
      <c r="I3579" s="6">
        <v>2219.311111022334</v>
      </c>
      <c r="J3579" s="5">
        <v>16800</v>
      </c>
      <c r="K3579" s="6">
        <f t="shared" si="146"/>
        <v>1.6761958165866921</v>
      </c>
    </row>
    <row r="3580" spans="1:11" hidden="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H3580" s="5">
        <v>4200</v>
      </c>
      <c r="I3580" s="6">
        <v>2959.0814813631118</v>
      </c>
      <c r="J3580" s="5">
        <v>22400</v>
      </c>
      <c r="K3580" s="6">
        <f t="shared" si="146"/>
        <v>1.4193593608193764</v>
      </c>
    </row>
    <row r="3581" spans="1:11" hidden="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H3581" s="5">
        <v>0</v>
      </c>
      <c r="I3581" s="6">
        <v>1796.5851851133182</v>
      </c>
      <c r="J3581" s="5">
        <v>13600</v>
      </c>
      <c r="K3581" s="6">
        <f t="shared" si="146"/>
        <v>0</v>
      </c>
    </row>
    <row r="3582" spans="1:11" hidden="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H3582" s="5">
        <v>1275</v>
      </c>
      <c r="I3582" s="6">
        <v>1912.3542857142861</v>
      </c>
      <c r="J3582" s="5">
        <v>16320</v>
      </c>
      <c r="K3582" s="6">
        <f t="shared" si="146"/>
        <v>0.66671746418774747</v>
      </c>
    </row>
    <row r="3583" spans="1:11" hidden="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H3583" s="5">
        <v>2970</v>
      </c>
      <c r="I3583" s="6">
        <v>2812.2857142428579</v>
      </c>
      <c r="J3583" s="5">
        <v>20000</v>
      </c>
      <c r="K3583" s="6">
        <f t="shared" si="146"/>
        <v>1.0560804632894858</v>
      </c>
    </row>
    <row r="3584" spans="1:11" hidden="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H3584" s="5">
        <v>3600</v>
      </c>
      <c r="I3584" s="6">
        <v>1768.8376470588223</v>
      </c>
      <c r="J3584" s="5">
        <v>12800</v>
      </c>
      <c r="K3584" s="6">
        <f t="shared" si="146"/>
        <v>2.0352348368353574</v>
      </c>
    </row>
    <row r="3585" spans="1:11" hidden="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H3585" s="5">
        <v>3720</v>
      </c>
      <c r="I3585" s="6">
        <v>2263.7999998868127</v>
      </c>
      <c r="J3585" s="5">
        <v>17920</v>
      </c>
      <c r="K3585" s="6">
        <f t="shared" si="146"/>
        <v>1.643254704561355</v>
      </c>
    </row>
    <row r="3586" spans="1:11" hidden="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H3586" s="5">
        <v>1680</v>
      </c>
      <c r="I3586" s="6">
        <v>994.97117647058747</v>
      </c>
      <c r="J3586" s="5">
        <v>7200</v>
      </c>
      <c r="K3586" s="6">
        <f t="shared" si="146"/>
        <v>1.6884911238930376</v>
      </c>
    </row>
    <row r="3587" spans="1:11" hidden="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H3587" s="5">
        <v>1740</v>
      </c>
      <c r="I3587" s="6">
        <v>994.97117647058747</v>
      </c>
      <c r="J3587" s="5">
        <v>7920</v>
      </c>
      <c r="K3587" s="6">
        <f t="shared" si="146"/>
        <v>1.7487943783177888</v>
      </c>
    </row>
    <row r="3588" spans="1:11" hidden="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H3588" s="5">
        <v>2525</v>
      </c>
      <c r="I3588" s="6">
        <v>2263.7999998868127</v>
      </c>
      <c r="J3588" s="5">
        <v>17920</v>
      </c>
      <c r="K3588" s="6">
        <f t="shared" si="146"/>
        <v>1.1153812174778015</v>
      </c>
    </row>
    <row r="3589" spans="1:11" hidden="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H3589" s="5">
        <v>14010</v>
      </c>
      <c r="I3589" s="6">
        <v>6727.0499997982479</v>
      </c>
      <c r="J3589" s="5">
        <v>49210</v>
      </c>
      <c r="K3589" s="6">
        <f t="shared" si="146"/>
        <v>2.0826365197850731</v>
      </c>
    </row>
    <row r="3590" spans="1:11" hidden="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H3590" s="5">
        <v>1380</v>
      </c>
      <c r="I3590" s="6">
        <v>994.95</v>
      </c>
      <c r="J3590" s="5">
        <v>7200</v>
      </c>
      <c r="K3590" s="6">
        <f t="shared" si="146"/>
        <v>1.3870043720789988</v>
      </c>
    </row>
    <row r="3591" spans="1:11" hidden="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H3591" s="5">
        <v>1250</v>
      </c>
      <c r="I3591" s="6">
        <v>831.6</v>
      </c>
      <c r="J3591" s="5">
        <v>6300</v>
      </c>
      <c r="K3591" s="6">
        <f t="shared" si="146"/>
        <v>1.5031265031265031</v>
      </c>
    </row>
    <row r="3592" spans="1:11" hidden="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H3592" s="5">
        <v>3175</v>
      </c>
      <c r="I3592" s="6">
        <v>1267.2</v>
      </c>
      <c r="J3592" s="5">
        <v>9600</v>
      </c>
      <c r="K3592" s="6">
        <f t="shared" si="146"/>
        <v>2.5055239898989896</v>
      </c>
    </row>
    <row r="3593" spans="1:11" hidden="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H3593" s="5">
        <v>570</v>
      </c>
      <c r="I3593" s="6">
        <v>316.8</v>
      </c>
      <c r="J3593" s="5">
        <v>2400</v>
      </c>
      <c r="K3593" s="6">
        <f t="shared" si="146"/>
        <v>1.7992424242424241</v>
      </c>
    </row>
    <row r="3594" spans="1:11" hidden="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H3594" s="5">
        <v>9480</v>
      </c>
      <c r="I3594" s="6">
        <v>3603.6</v>
      </c>
      <c r="J3594" s="5">
        <v>27296</v>
      </c>
      <c r="K3594" s="6">
        <f t="shared" si="146"/>
        <v>2.6307026307026309</v>
      </c>
    </row>
    <row r="3595" spans="1:11" hidden="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H3595" s="5">
        <v>4400</v>
      </c>
      <c r="I3595" s="6">
        <v>3682.8</v>
      </c>
      <c r="J3595" s="5">
        <v>27900</v>
      </c>
      <c r="K3595" s="6">
        <f t="shared" si="146"/>
        <v>1.1947431302270011</v>
      </c>
    </row>
    <row r="3596" spans="1:11" hidden="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H3596" s="5">
        <v>3250</v>
      </c>
      <c r="I3596" s="6">
        <v>2376</v>
      </c>
      <c r="J3596" s="5">
        <v>18000</v>
      </c>
      <c r="K3596" s="6">
        <f t="shared" si="146"/>
        <v>1.3678451178451179</v>
      </c>
    </row>
    <row r="3597" spans="1:11" hidden="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H3597" s="5">
        <v>450</v>
      </c>
      <c r="I3597" s="6">
        <v>950.4</v>
      </c>
      <c r="J3597" s="5">
        <v>7200</v>
      </c>
      <c r="K3597" s="6">
        <f t="shared" si="146"/>
        <v>0.47348484848484851</v>
      </c>
    </row>
    <row r="3598" spans="1:11" hidden="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H3598" s="5">
        <v>3075</v>
      </c>
      <c r="I3598" s="6">
        <v>1346.4</v>
      </c>
      <c r="J3598" s="5">
        <v>10200</v>
      </c>
      <c r="K3598" s="6">
        <f t="shared" si="146"/>
        <v>2.2838680926916219</v>
      </c>
    </row>
    <row r="3599" spans="1:11" hidden="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H3599" s="5">
        <v>5040</v>
      </c>
      <c r="I3599" s="6">
        <v>2851.2</v>
      </c>
      <c r="J3599" s="5">
        <v>21600</v>
      </c>
      <c r="K3599" s="6">
        <f t="shared" si="146"/>
        <v>1.7676767676767677</v>
      </c>
    </row>
    <row r="3600" spans="1:11" hidden="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H3600" s="5">
        <v>2425</v>
      </c>
      <c r="I3600" s="6">
        <v>2138.4</v>
      </c>
      <c r="J3600" s="5">
        <v>16200</v>
      </c>
      <c r="K3600" s="6">
        <f t="shared" si="146"/>
        <v>1.134025439580995</v>
      </c>
    </row>
    <row r="3601" spans="1:11" hidden="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H3601" s="5">
        <v>1450</v>
      </c>
      <c r="I3601" s="6">
        <v>963.6</v>
      </c>
      <c r="J3601" s="5">
        <v>7570</v>
      </c>
      <c r="K3601" s="6">
        <f t="shared" si="146"/>
        <v>1.5047737650477375</v>
      </c>
    </row>
    <row r="3602" spans="1:11" hidden="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H3602" s="5">
        <v>4950</v>
      </c>
      <c r="I3602" s="6">
        <v>3168</v>
      </c>
      <c r="J3602" s="5">
        <v>24000</v>
      </c>
      <c r="K3602" s="6">
        <f t="shared" si="146"/>
        <v>1.5625</v>
      </c>
    </row>
    <row r="3603" spans="1:11" hidden="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H3603" s="5">
        <v>2490</v>
      </c>
      <c r="I3603" s="6">
        <v>1188</v>
      </c>
      <c r="J3603" s="5">
        <v>9000</v>
      </c>
      <c r="K3603" s="6">
        <f t="shared" si="146"/>
        <v>2.095959595959596</v>
      </c>
    </row>
    <row r="3604" spans="1:11" hidden="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H3604" s="5">
        <v>4625</v>
      </c>
      <c r="I3604" s="6">
        <v>2732.4</v>
      </c>
      <c r="J3604" s="5">
        <v>20700</v>
      </c>
      <c r="K3604" s="6">
        <f t="shared" si="146"/>
        <v>1.6926511491728882</v>
      </c>
    </row>
    <row r="3605" spans="1:11" hidden="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H3605" s="5">
        <v>930</v>
      </c>
      <c r="I3605" s="6">
        <v>673.2</v>
      </c>
      <c r="J3605" s="5">
        <v>5100</v>
      </c>
      <c r="K3605" s="6">
        <f t="shared" si="146"/>
        <v>1.3814616755793225</v>
      </c>
    </row>
    <row r="3606" spans="1:11" hidden="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H3606" s="5">
        <v>1275</v>
      </c>
      <c r="I3606" s="6">
        <v>1100.4749999999999</v>
      </c>
      <c r="J3606" s="5">
        <v>8000</v>
      </c>
      <c r="K3606" s="6">
        <f t="shared" si="146"/>
        <v>1.1585906086008315</v>
      </c>
    </row>
    <row r="3607" spans="1:11" hidden="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H3607" s="5">
        <v>2025</v>
      </c>
      <c r="I3607" s="6">
        <v>1287</v>
      </c>
      <c r="J3607" s="5">
        <v>9400</v>
      </c>
      <c r="K3607" s="6">
        <f t="shared" si="146"/>
        <v>1.5734265734265733</v>
      </c>
    </row>
    <row r="3608" spans="1:11" hidden="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H3608" s="5">
        <v>5400</v>
      </c>
      <c r="I3608" s="6">
        <v>2641.14</v>
      </c>
      <c r="J3608" s="5">
        <v>19200</v>
      </c>
      <c r="K3608" s="6">
        <f t="shared" si="146"/>
        <v>2.0445716622367613</v>
      </c>
    </row>
    <row r="3609" spans="1:11" hidden="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H3609" s="5">
        <v>3330</v>
      </c>
      <c r="I3609" s="6">
        <v>2641.14</v>
      </c>
      <c r="J3609" s="5">
        <v>19200</v>
      </c>
      <c r="K3609" s="6">
        <f t="shared" si="146"/>
        <v>1.2608191917126697</v>
      </c>
    </row>
    <row r="3610" spans="1:11" hidden="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H3610" s="5">
        <v>2610</v>
      </c>
      <c r="I3610" s="6">
        <v>1430.6174906250001</v>
      </c>
      <c r="J3610" s="5">
        <v>10400</v>
      </c>
      <c r="K3610" s="6">
        <f t="shared" si="146"/>
        <v>1.8243870336436037</v>
      </c>
    </row>
    <row r="3611" spans="1:11" hidden="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H3611" s="5">
        <v>1470</v>
      </c>
      <c r="I3611" s="6">
        <v>1430.6175000000001</v>
      </c>
      <c r="J3611" s="5">
        <v>10400</v>
      </c>
      <c r="K3611" s="6">
        <f t="shared" si="146"/>
        <v>1.0275283225600134</v>
      </c>
    </row>
    <row r="3612" spans="1:11" hidden="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H3612" s="5">
        <v>2640</v>
      </c>
      <c r="I3612" s="6">
        <v>2861.2350000000001</v>
      </c>
      <c r="J3612" s="5">
        <v>20800</v>
      </c>
      <c r="K3612" s="6">
        <f t="shared" si="146"/>
        <v>0.92267849372735899</v>
      </c>
    </row>
    <row r="3613" spans="1:11" hidden="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H3613" s="5">
        <v>4600</v>
      </c>
      <c r="I3613" s="6">
        <v>3071.9505625000002</v>
      </c>
      <c r="J3613" s="5">
        <v>22400</v>
      </c>
      <c r="K3613" s="6">
        <f t="shared" si="146"/>
        <v>1.4974199312167478</v>
      </c>
    </row>
    <row r="3614" spans="1:11" hidden="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H3614" s="5">
        <v>3000</v>
      </c>
      <c r="I3614" s="6">
        <v>1097.125</v>
      </c>
      <c r="J3614" s="5">
        <v>8000</v>
      </c>
      <c r="K3614" s="6">
        <f t="shared" si="146"/>
        <v>2.734419505525806</v>
      </c>
    </row>
    <row r="3615" spans="1:11" hidden="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H3615" s="5">
        <v>4225</v>
      </c>
      <c r="I3615" s="6">
        <v>2852.5250000000001</v>
      </c>
      <c r="J3615" s="5">
        <v>20800</v>
      </c>
      <c r="K3615" s="6">
        <f t="shared" si="146"/>
        <v>1.4811438988264782</v>
      </c>
    </row>
    <row r="3616" spans="1:11" hidden="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H3616" s="5">
        <v>3900</v>
      </c>
      <c r="I3616" s="6">
        <v>2633.1</v>
      </c>
      <c r="J3616" s="5">
        <v>19200</v>
      </c>
      <c r="K3616" s="6">
        <f t="shared" si="146"/>
        <v>1.4811438988264785</v>
      </c>
    </row>
    <row r="3617" spans="1:11" hidden="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H3617" s="5">
        <v>3750</v>
      </c>
      <c r="I3617" s="6">
        <v>2633.1</v>
      </c>
      <c r="J3617" s="5">
        <v>19200</v>
      </c>
      <c r="K3617" s="6">
        <f t="shared" si="146"/>
        <v>1.4241768257946907</v>
      </c>
    </row>
    <row r="3618" spans="1:11" hidden="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H3618" s="5">
        <v>3840</v>
      </c>
      <c r="I3618" s="6">
        <v>2852.5250000000001</v>
      </c>
      <c r="J3618" s="5">
        <v>20800</v>
      </c>
      <c r="K3618" s="6">
        <f t="shared" si="146"/>
        <v>1.3461757565665506</v>
      </c>
    </row>
    <row r="3619" spans="1:11" hidden="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H3619" s="5">
        <v>7950</v>
      </c>
      <c r="I3619" s="6">
        <v>2852.5250000000001</v>
      </c>
      <c r="J3619" s="5">
        <v>20800</v>
      </c>
      <c r="K3619" s="6">
        <f t="shared" si="146"/>
        <v>2.7870044960166869</v>
      </c>
    </row>
    <row r="3620" spans="1:11" hidden="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H3620" s="5">
        <v>4300</v>
      </c>
      <c r="I3620" s="6">
        <v>3071.95</v>
      </c>
      <c r="J3620" s="5">
        <v>22400</v>
      </c>
      <c r="K3620" s="6">
        <f t="shared" si="146"/>
        <v>1.3997623659239247</v>
      </c>
    </row>
    <row r="3621" spans="1:11" hidden="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H3621" s="5">
        <v>1675</v>
      </c>
      <c r="I3621" s="6">
        <v>1645.6875</v>
      </c>
      <c r="J3621" s="5">
        <v>12000</v>
      </c>
      <c r="K3621" s="6">
        <f t="shared" ref="K3621:K3683" si="148">+H3621/I3621</f>
        <v>1.0178117048346056</v>
      </c>
    </row>
    <row r="3622" spans="1:11" hidden="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H3622" s="5">
        <v>8500</v>
      </c>
      <c r="I3622" s="6">
        <v>4121.4642855494085</v>
      </c>
      <c r="J3622" s="5">
        <v>31200</v>
      </c>
      <c r="K3622" s="6">
        <f t="shared" si="148"/>
        <v>2.0623738096682098</v>
      </c>
    </row>
    <row r="3623" spans="1:11" hidden="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H3623" s="5">
        <v>1035</v>
      </c>
      <c r="I3623" s="6">
        <v>1056.7857142434418</v>
      </c>
      <c r="J3623" s="5">
        <v>8000</v>
      </c>
      <c r="K3623" s="6">
        <f t="shared" si="148"/>
        <v>0.97938492737949401</v>
      </c>
    </row>
    <row r="3624" spans="1:11" hidden="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H3624" s="5">
        <v>9270</v>
      </c>
      <c r="I3624" s="6">
        <v>2641.9642856076484</v>
      </c>
      <c r="J3624" s="5">
        <v>19996</v>
      </c>
      <c r="K3624" s="6">
        <f t="shared" si="148"/>
        <v>3.5087529572217182</v>
      </c>
    </row>
    <row r="3625" spans="1:11" hidden="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H3625" s="5">
        <v>1800</v>
      </c>
      <c r="I3625" s="6">
        <v>528.39285712153003</v>
      </c>
      <c r="J3625" s="5">
        <v>4000</v>
      </c>
      <c r="K3625" s="6">
        <f t="shared" si="148"/>
        <v>3.406556269147297</v>
      </c>
    </row>
    <row r="3626" spans="1:11" hidden="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H3626" s="5">
        <v>3300</v>
      </c>
      <c r="I3626" s="6">
        <v>1902.2142856375078</v>
      </c>
      <c r="J3626" s="5">
        <v>14400</v>
      </c>
      <c r="K3626" s="6">
        <f t="shared" si="148"/>
        <v>1.7348203222509384</v>
      </c>
    </row>
    <row r="3627" spans="1:11" hidden="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H3627" s="5">
        <v>1360</v>
      </c>
      <c r="I3627" s="6">
        <v>634.05652706821195</v>
      </c>
      <c r="J3627" s="5">
        <v>4800</v>
      </c>
      <c r="K3627" s="6">
        <f t="shared" si="148"/>
        <v>2.1449191703592239</v>
      </c>
    </row>
    <row r="3628" spans="1:11" hidden="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H3628" s="5">
        <v>13040</v>
      </c>
      <c r="I3628" s="6">
        <v>4487.9999999102474</v>
      </c>
      <c r="J3628" s="5">
        <v>31740</v>
      </c>
      <c r="K3628" s="6">
        <f t="shared" si="148"/>
        <v>2.905525846760423</v>
      </c>
    </row>
    <row r="3629" spans="1:11" hidden="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H3629" s="5">
        <v>2375</v>
      </c>
      <c r="I3629" s="6">
        <v>1702.8</v>
      </c>
      <c r="J3629" s="5">
        <v>12900</v>
      </c>
      <c r="K3629" s="6">
        <f t="shared" si="148"/>
        <v>1.3947615691801738</v>
      </c>
    </row>
    <row r="3630" spans="1:11" hidden="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H3630" s="5">
        <v>5380</v>
      </c>
      <c r="I3630" s="6">
        <v>3009.6</v>
      </c>
      <c r="J3630" s="5">
        <v>22800</v>
      </c>
      <c r="K3630" s="6">
        <f t="shared" si="148"/>
        <v>1.7876129718234981</v>
      </c>
    </row>
    <row r="3631" spans="1:11" hidden="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H3631" s="5">
        <v>3300</v>
      </c>
      <c r="I3631" s="6">
        <v>1386</v>
      </c>
      <c r="J3631" s="5">
        <v>10500</v>
      </c>
      <c r="K3631" s="6">
        <f t="shared" si="148"/>
        <v>2.3809523809523809</v>
      </c>
    </row>
    <row r="3632" spans="1:11" hidden="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H3632" s="5">
        <v>2880</v>
      </c>
      <c r="I3632" s="6">
        <v>1386</v>
      </c>
      <c r="J3632" s="5">
        <v>10500</v>
      </c>
      <c r="K3632" s="6">
        <f t="shared" si="148"/>
        <v>2.0779220779220777</v>
      </c>
    </row>
    <row r="3633" spans="1:11" hidden="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H3633" s="5">
        <v>1175</v>
      </c>
      <c r="I3633" s="6">
        <v>1029.5999999999999</v>
      </c>
      <c r="J3633" s="5">
        <v>7800</v>
      </c>
      <c r="K3633" s="6">
        <f t="shared" si="148"/>
        <v>1.1412198912198914</v>
      </c>
    </row>
    <row r="3634" spans="1:11" hidden="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H3634" s="5">
        <v>3750</v>
      </c>
      <c r="I3634" s="6">
        <v>2653.2</v>
      </c>
      <c r="J3634" s="5">
        <v>20100</v>
      </c>
      <c r="K3634" s="6">
        <f t="shared" si="148"/>
        <v>1.4133876074174583</v>
      </c>
    </row>
    <row r="3635" spans="1:11" hidden="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H3635" s="5">
        <v>4530</v>
      </c>
      <c r="I3635" s="6">
        <v>1768.8</v>
      </c>
      <c r="J3635" s="5">
        <v>13400</v>
      </c>
      <c r="K3635" s="6">
        <f t="shared" si="148"/>
        <v>2.5610583446404345</v>
      </c>
    </row>
    <row r="3636" spans="1:11" hidden="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H3636" s="5">
        <v>1800</v>
      </c>
      <c r="I3636" s="6">
        <v>1029.5999999999999</v>
      </c>
      <c r="J3636" s="5">
        <v>7800</v>
      </c>
      <c r="K3636" s="6">
        <f t="shared" si="148"/>
        <v>1.7482517482517483</v>
      </c>
    </row>
    <row r="3637" spans="1:11" hidden="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H3637" s="5">
        <v>3025</v>
      </c>
      <c r="I3637" s="6">
        <v>1346.4</v>
      </c>
      <c r="J3637" s="5">
        <v>10200</v>
      </c>
      <c r="K3637" s="6">
        <f t="shared" si="148"/>
        <v>2.2467320261437909</v>
      </c>
    </row>
    <row r="3638" spans="1:11" hidden="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H3638" s="5">
        <v>300</v>
      </c>
      <c r="I3638" s="6">
        <v>440.18999062500001</v>
      </c>
      <c r="J3638" s="5">
        <v>3200</v>
      </c>
      <c r="K3638" s="6">
        <f t="shared" si="148"/>
        <v>0.68152390192709189</v>
      </c>
    </row>
    <row r="3639" spans="1:11" hidden="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H3639" s="5">
        <v>1600</v>
      </c>
      <c r="I3639" s="6">
        <v>880.38</v>
      </c>
      <c r="J3639" s="5">
        <v>6400</v>
      </c>
      <c r="K3639" s="6">
        <f t="shared" si="148"/>
        <v>1.8173970330993434</v>
      </c>
    </row>
    <row r="3640" spans="1:11" hidden="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H3640" s="5">
        <v>550</v>
      </c>
      <c r="I3640" s="6">
        <v>330.14249999999998</v>
      </c>
      <c r="J3640" s="5">
        <v>2400</v>
      </c>
      <c r="K3640" s="6">
        <f t="shared" si="148"/>
        <v>1.6659472803410649</v>
      </c>
    </row>
    <row r="3641" spans="1:11" hidden="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H3641" s="5">
        <v>2400</v>
      </c>
      <c r="I3641" s="6">
        <v>1650.7125000000001</v>
      </c>
      <c r="J3641" s="5">
        <v>12000</v>
      </c>
      <c r="K3641" s="6">
        <f t="shared" si="148"/>
        <v>1.4539176264794746</v>
      </c>
    </row>
    <row r="3642" spans="1:11" hidden="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H3642" s="5">
        <v>2320</v>
      </c>
      <c r="I3642" s="6">
        <v>1287.0000000000018</v>
      </c>
      <c r="J3642" s="5">
        <v>9400</v>
      </c>
      <c r="K3642" s="6">
        <f t="shared" si="148"/>
        <v>1.8026418026418001</v>
      </c>
    </row>
    <row r="3643" spans="1:11" hidden="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H3643" s="5">
        <v>5100</v>
      </c>
      <c r="I3643" s="6">
        <v>2641.14</v>
      </c>
      <c r="J3643" s="5">
        <v>19200</v>
      </c>
      <c r="K3643" s="6">
        <f t="shared" si="148"/>
        <v>1.9309843476680526</v>
      </c>
    </row>
    <row r="3644" spans="1:11" hidden="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H3644" s="5">
        <v>2160</v>
      </c>
      <c r="I3644" s="6">
        <v>880.38</v>
      </c>
      <c r="J3644" s="5">
        <v>6400</v>
      </c>
      <c r="K3644" s="6">
        <f t="shared" si="148"/>
        <v>2.4534859946841139</v>
      </c>
    </row>
    <row r="3645" spans="1:11" hidden="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H3645" s="5">
        <v>1720</v>
      </c>
      <c r="I3645" s="6">
        <v>880.38</v>
      </c>
      <c r="J3645" s="5">
        <v>6400</v>
      </c>
      <c r="K3645" s="6">
        <f t="shared" si="148"/>
        <v>1.9537018105817943</v>
      </c>
    </row>
    <row r="3646" spans="1:11" hidden="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H3646" s="5">
        <v>480</v>
      </c>
      <c r="I3646" s="6">
        <v>1755.4</v>
      </c>
      <c r="J3646" s="5">
        <v>12800</v>
      </c>
      <c r="K3646" s="6">
        <f t="shared" si="148"/>
        <v>0.27344195055258058</v>
      </c>
    </row>
    <row r="3647" spans="1:11" hidden="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H3647" s="5">
        <v>4300</v>
      </c>
      <c r="I3647" s="6">
        <v>2413.6749943750001</v>
      </c>
      <c r="J3647" s="5">
        <v>17600</v>
      </c>
      <c r="K3647" s="6">
        <f t="shared" si="148"/>
        <v>1.7815157426004022</v>
      </c>
    </row>
    <row r="3648" spans="1:11" hidden="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H3648" s="5">
        <v>2600</v>
      </c>
      <c r="I3648" s="6">
        <v>1645.6875</v>
      </c>
      <c r="J3648" s="5">
        <v>12000</v>
      </c>
      <c r="K3648" s="6">
        <f t="shared" si="148"/>
        <v>1.5798868254149101</v>
      </c>
    </row>
    <row r="3649" spans="1:11" hidden="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H3649" s="5">
        <v>1820</v>
      </c>
      <c r="I3649" s="6">
        <v>726.32013058333712</v>
      </c>
      <c r="J3649" s="5">
        <v>5712</v>
      </c>
      <c r="K3649" s="6">
        <f t="shared" si="148"/>
        <v>2.505782124664897</v>
      </c>
    </row>
    <row r="3650" spans="1:11" hidden="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H3650" s="5">
        <v>1890</v>
      </c>
      <c r="I3650" s="6">
        <v>924.39958333667107</v>
      </c>
      <c r="J3650" s="5">
        <v>6720</v>
      </c>
      <c r="K3650" s="6">
        <f t="shared" si="148"/>
        <v>2.04457037202239</v>
      </c>
    </row>
    <row r="3651" spans="1:11" hidden="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H3651" s="5">
        <v>2480</v>
      </c>
      <c r="I3651" s="6">
        <v>1122.485208333339</v>
      </c>
      <c r="J3651" s="5">
        <v>8160</v>
      </c>
      <c r="K3651" s="6">
        <f t="shared" si="148"/>
        <v>2.2093832342630981</v>
      </c>
    </row>
    <row r="3652" spans="1:11" hidden="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H3652" s="5">
        <v>280</v>
      </c>
      <c r="I3652" s="6">
        <v>396.17125000000198</v>
      </c>
      <c r="J3652" s="5">
        <v>2880</v>
      </c>
      <c r="K3652" s="6">
        <f t="shared" si="148"/>
        <v>0.7067650668744857</v>
      </c>
    </row>
    <row r="3653" spans="1:11" hidden="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H3653" s="5">
        <v>3060</v>
      </c>
      <c r="I3653" s="6">
        <v>1535.9749999999999</v>
      </c>
      <c r="J3653" s="5">
        <v>11200</v>
      </c>
      <c r="K3653" s="6">
        <f t="shared" si="148"/>
        <v>1.9922199254545159</v>
      </c>
    </row>
    <row r="3654" spans="1:11" hidden="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H3654" s="5">
        <v>1860</v>
      </c>
      <c r="I3654" s="6">
        <v>1535.9749999999999</v>
      </c>
      <c r="J3654" s="5">
        <v>11200</v>
      </c>
      <c r="K3654" s="6">
        <f t="shared" si="148"/>
        <v>1.2109572095899999</v>
      </c>
    </row>
    <row r="3655" spans="1:11" hidden="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H3655" s="5">
        <v>1440</v>
      </c>
      <c r="I3655" s="6">
        <v>594.25687500000299</v>
      </c>
      <c r="J3655" s="5">
        <v>4320</v>
      </c>
      <c r="K3655" s="6">
        <f t="shared" si="148"/>
        <v>2.4231945149982366</v>
      </c>
    </row>
    <row r="3656" spans="1:11" hidden="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H3656" s="5">
        <v>2820</v>
      </c>
      <c r="I3656" s="6">
        <v>2575.1131250013459</v>
      </c>
      <c r="J3656" s="5">
        <v>18720</v>
      </c>
      <c r="K3656" s="6">
        <f t="shared" si="148"/>
        <v>1.0950975212005594</v>
      </c>
    </row>
    <row r="3657" spans="1:11" hidden="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H3657" s="5">
        <v>990</v>
      </c>
      <c r="I3657" s="6">
        <v>528.37931032368999</v>
      </c>
      <c r="J3657" s="5">
        <v>4000</v>
      </c>
      <c r="K3657" s="6">
        <f t="shared" ref="K3657:K3663" si="149">IFERROR(H3657/I3657,"")</f>
        <v>1.8736539842817028</v>
      </c>
    </row>
    <row r="3658" spans="1:11" hidden="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H3658" s="5">
        <v>2700</v>
      </c>
      <c r="I3658" s="6">
        <v>2272.0310343918732</v>
      </c>
      <c r="J3658" s="5">
        <v>17200</v>
      </c>
      <c r="K3658" s="6">
        <f t="shared" si="149"/>
        <v>1.1883640492272924</v>
      </c>
    </row>
    <row r="3659" spans="1:11" hidden="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H3659" s="5">
        <v>1590</v>
      </c>
      <c r="I3659" s="6">
        <v>1162.4344827121224</v>
      </c>
      <c r="J3659" s="5">
        <v>8800</v>
      </c>
      <c r="K3659" s="6">
        <f t="shared" si="149"/>
        <v>1.3678190243378769</v>
      </c>
    </row>
    <row r="3660" spans="1:11" hidden="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H3660" s="5">
        <v>1120</v>
      </c>
      <c r="I3660" s="6">
        <v>1162.4344827121181</v>
      </c>
      <c r="J3660" s="5">
        <v>8800</v>
      </c>
      <c r="K3660" s="6">
        <f t="shared" si="149"/>
        <v>0.96349516179775341</v>
      </c>
    </row>
    <row r="3661" spans="1:11" hidden="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H3661" s="5">
        <v>1140</v>
      </c>
      <c r="I3661" s="6">
        <v>1056.7586206473827</v>
      </c>
      <c r="J3661" s="5">
        <v>8000</v>
      </c>
      <c r="K3661" s="6">
        <f t="shared" si="149"/>
        <v>1.0787704757985535</v>
      </c>
    </row>
    <row r="3662" spans="1:11" hidden="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H3662" s="5">
        <v>1200</v>
      </c>
      <c r="I3662" s="6">
        <v>1109.596551679753</v>
      </c>
      <c r="J3662" s="5">
        <v>8400</v>
      </c>
      <c r="K3662" s="6">
        <f t="shared" si="149"/>
        <v>1.0814741612015562</v>
      </c>
    </row>
    <row r="3663" spans="1:11" hidden="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H3663" s="5">
        <v>3275</v>
      </c>
      <c r="I3663" s="6">
        <v>1902.1655171652881</v>
      </c>
      <c r="J3663" s="5">
        <v>14400</v>
      </c>
      <c r="K3663" s="6">
        <f t="shared" si="149"/>
        <v>1.721721885107341</v>
      </c>
    </row>
    <row r="3664" spans="1:11" hidden="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H3664" s="5">
        <v>2100</v>
      </c>
      <c r="I3664" s="6">
        <v>951.10714281909407</v>
      </c>
      <c r="J3664" s="5">
        <v>7200</v>
      </c>
      <c r="K3664" s="6">
        <f t="shared" si="148"/>
        <v>2.2079531374094956</v>
      </c>
    </row>
    <row r="3665" spans="1:11" hidden="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H3665" s="5">
        <v>6090</v>
      </c>
      <c r="I3665" s="6">
        <v>3804.4285712763772</v>
      </c>
      <c r="J3665" s="5">
        <v>28800</v>
      </c>
      <c r="K3665" s="6">
        <f t="shared" si="148"/>
        <v>1.600766024621884</v>
      </c>
    </row>
    <row r="3666" spans="1:11" hidden="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H3666" s="5">
        <v>4290</v>
      </c>
      <c r="I3666" s="6">
        <v>2641.8965516184649</v>
      </c>
      <c r="J3666" s="5">
        <v>20000</v>
      </c>
      <c r="K3666" s="6">
        <f t="shared" si="148"/>
        <v>1.6238334530441332</v>
      </c>
    </row>
    <row r="3667" spans="1:11" hidden="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H3667" s="5">
        <v>5850</v>
      </c>
      <c r="I3667" s="6">
        <v>3592.9793102010913</v>
      </c>
      <c r="J3667" s="5">
        <v>26044</v>
      </c>
      <c r="K3667" s="6">
        <f t="shared" si="148"/>
        <v>1.6281752537207312</v>
      </c>
    </row>
    <row r="3668" spans="1:11" hidden="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H3668" s="5">
        <v>2100</v>
      </c>
      <c r="I3668" s="6">
        <v>1268.1103447768633</v>
      </c>
      <c r="J3668" s="5">
        <v>9600</v>
      </c>
      <c r="K3668" s="6">
        <f t="shared" si="148"/>
        <v>1.6560073093398793</v>
      </c>
    </row>
    <row r="3669" spans="1:11" hidden="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H3669" s="5">
        <v>900</v>
      </c>
      <c r="I3669" s="6">
        <v>528.37931032368999</v>
      </c>
      <c r="J3669" s="5">
        <v>4000</v>
      </c>
      <c r="K3669" s="6">
        <f t="shared" si="148"/>
        <v>1.7033218038924571</v>
      </c>
    </row>
    <row r="3670" spans="1:11" hidden="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H3670" s="5">
        <v>1680</v>
      </c>
      <c r="I3670" s="6">
        <v>1162.4344827121247</v>
      </c>
      <c r="J3670" s="5">
        <v>8800</v>
      </c>
      <c r="K3670" s="6">
        <f t="shared" si="148"/>
        <v>1.4452427426966219</v>
      </c>
    </row>
    <row r="3671" spans="1:11" hidden="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H3671" s="5">
        <v>720</v>
      </c>
      <c r="I3671" s="6">
        <v>528.3915024419166</v>
      </c>
      <c r="J3671" s="5">
        <v>4000</v>
      </c>
      <c r="K3671" s="6">
        <f t="shared" si="148"/>
        <v>1.3626260011233733</v>
      </c>
    </row>
    <row r="3672" spans="1:11" hidden="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H3672" s="5">
        <v>8070</v>
      </c>
      <c r="I3672" s="6">
        <v>3910.1071427007282</v>
      </c>
      <c r="J3672" s="5">
        <v>29260</v>
      </c>
      <c r="K3672" s="6">
        <f t="shared" si="148"/>
        <v>2.0638820639646247</v>
      </c>
    </row>
    <row r="3673" spans="1:11" hidden="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H3673" s="5">
        <v>2450</v>
      </c>
      <c r="I3673" s="6">
        <v>1902.2142856381945</v>
      </c>
      <c r="J3673" s="5">
        <v>14400</v>
      </c>
      <c r="K3673" s="6">
        <f t="shared" si="148"/>
        <v>1.2879726634888682</v>
      </c>
    </row>
    <row r="3674" spans="1:11" hidden="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H3674" s="5">
        <v>1860</v>
      </c>
      <c r="I3674" s="6">
        <v>1162.4642856677858</v>
      </c>
      <c r="J3674" s="5">
        <v>8800</v>
      </c>
      <c r="K3674" s="6">
        <f t="shared" si="148"/>
        <v>1.6000491567201223</v>
      </c>
    </row>
    <row r="3675" spans="1:11" hidden="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H3675" s="5">
        <v>690</v>
      </c>
      <c r="I3675" s="6">
        <v>317.03571427303262</v>
      </c>
      <c r="J3675" s="5">
        <v>2400</v>
      </c>
      <c r="K3675" s="6">
        <f t="shared" si="148"/>
        <v>2.1764109497322086</v>
      </c>
    </row>
    <row r="3676" spans="1:11" hidden="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H3676" s="5">
        <v>1525</v>
      </c>
      <c r="I3676" s="6">
        <v>951.10714281875391</v>
      </c>
      <c r="J3676" s="5">
        <v>7200</v>
      </c>
      <c r="K3676" s="6">
        <f t="shared" si="148"/>
        <v>1.6033945402622309</v>
      </c>
    </row>
    <row r="3677" spans="1:11" hidden="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H3677" s="5">
        <v>675</v>
      </c>
      <c r="I3677" s="6">
        <v>898.26785710660101</v>
      </c>
      <c r="J3677" s="5">
        <v>6800</v>
      </c>
      <c r="K3677" s="6">
        <f t="shared" si="148"/>
        <v>0.75144623584131554</v>
      </c>
    </row>
    <row r="3678" spans="1:11" hidden="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H3678" s="5">
        <v>1950</v>
      </c>
      <c r="I3678" s="6">
        <v>1162.4642856673661</v>
      </c>
      <c r="J3678" s="5">
        <v>8800</v>
      </c>
      <c r="K3678" s="6">
        <f t="shared" si="148"/>
        <v>1.6774708901104112</v>
      </c>
    </row>
    <row r="3679" spans="1:11" hidden="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H3679" s="5">
        <v>2460</v>
      </c>
      <c r="I3679" s="6">
        <v>686.91071425798896</v>
      </c>
      <c r="J3679" s="5">
        <v>5200</v>
      </c>
      <c r="K3679" s="6">
        <f t="shared" si="148"/>
        <v>3.5812514624369021</v>
      </c>
    </row>
    <row r="3680" spans="1:11" hidden="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H3680" s="5">
        <v>650</v>
      </c>
      <c r="I3680" s="6">
        <v>845.428571394752</v>
      </c>
      <c r="J3680" s="5">
        <v>6400</v>
      </c>
      <c r="K3680" s="6">
        <f t="shared" si="148"/>
        <v>0.7688408246336621</v>
      </c>
    </row>
    <row r="3681" spans="1:11" hidden="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H3681" s="5">
        <v>5400</v>
      </c>
      <c r="I3681" s="6">
        <v>3910.1071427007355</v>
      </c>
      <c r="J3681" s="5">
        <v>29600</v>
      </c>
      <c r="K3681" s="6">
        <f t="shared" si="148"/>
        <v>1.3810363253294859</v>
      </c>
    </row>
    <row r="3682" spans="1:11" hidden="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H3682" s="5">
        <v>5800</v>
      </c>
      <c r="I3682" s="6">
        <v>4015.7857141250793</v>
      </c>
      <c r="J3682" s="5">
        <v>30400</v>
      </c>
      <c r="K3682" s="6">
        <f t="shared" si="148"/>
        <v>1.4443001725911684</v>
      </c>
    </row>
    <row r="3683" spans="1:11" hidden="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H3683" s="5">
        <v>7590</v>
      </c>
      <c r="I3683" s="6">
        <v>2747.5751230427709</v>
      </c>
      <c r="J3683" s="5">
        <v>20800</v>
      </c>
      <c r="K3683" s="6">
        <f t="shared" si="148"/>
        <v>2.7624358425528839</v>
      </c>
    </row>
    <row r="3684" spans="1:11" hidden="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H3684" s="5">
        <v>1350</v>
      </c>
      <c r="I3684" s="6">
        <v>1056.75862064738</v>
      </c>
      <c r="J3684" s="5">
        <v>9600</v>
      </c>
      <c r="K3684" s="6">
        <f t="shared" ref="K3684:K3747" si="151">+H3684/I3684</f>
        <v>1.2774913529193428</v>
      </c>
    </row>
    <row r="3685" spans="1:11" hidden="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H3685" s="5">
        <v>0</v>
      </c>
      <c r="I3685" s="6">
        <v>317.02758619421581</v>
      </c>
      <c r="J3685" s="5">
        <v>2640</v>
      </c>
      <c r="K3685" s="6">
        <f t="shared" si="151"/>
        <v>0</v>
      </c>
    </row>
    <row r="3686" spans="1:11" hidden="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H3686" s="5">
        <v>0</v>
      </c>
      <c r="I3686" s="6">
        <v>52.837931032368999</v>
      </c>
      <c r="J3686" s="5">
        <v>440</v>
      </c>
      <c r="K3686" s="6">
        <f t="shared" si="151"/>
        <v>0</v>
      </c>
    </row>
    <row r="3687" spans="1:11" hidden="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H3687" s="5">
        <v>12090</v>
      </c>
      <c r="I3687" s="6">
        <v>3592.9793102011122</v>
      </c>
      <c r="J3687" s="5">
        <v>27820</v>
      </c>
      <c r="K3687" s="6">
        <f t="shared" si="151"/>
        <v>3.3648955243561587</v>
      </c>
    </row>
    <row r="3688" spans="1:11" hidden="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H3688" s="5">
        <v>3330</v>
      </c>
      <c r="I3688" s="6">
        <v>1585.2222221588099</v>
      </c>
      <c r="J3688" s="5">
        <v>11490</v>
      </c>
      <c r="K3688" s="6">
        <f t="shared" si="151"/>
        <v>2.1006518540126771</v>
      </c>
    </row>
    <row r="3689" spans="1:11" hidden="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H3689" s="5">
        <v>3900</v>
      </c>
      <c r="I3689" s="6">
        <v>2219.311111022334</v>
      </c>
      <c r="J3689" s="5">
        <v>16800</v>
      </c>
      <c r="K3689" s="6">
        <f t="shared" si="151"/>
        <v>1.7573020657763707</v>
      </c>
    </row>
    <row r="3690" spans="1:11" hidden="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H3690" s="5">
        <v>4375</v>
      </c>
      <c r="I3690" s="6">
        <v>2959.0814813631118</v>
      </c>
      <c r="J3690" s="5">
        <v>22400</v>
      </c>
      <c r="K3690" s="6">
        <f t="shared" si="151"/>
        <v>1.4784993341868504</v>
      </c>
    </row>
    <row r="3691" spans="1:11" hidden="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H3691" s="5">
        <v>0</v>
      </c>
      <c r="I3691" s="6">
        <v>1796.5851851133182</v>
      </c>
      <c r="J3691" s="5">
        <v>13600</v>
      </c>
      <c r="K3691" s="6">
        <f t="shared" si="151"/>
        <v>0</v>
      </c>
    </row>
    <row r="3692" spans="1:11" hidden="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H3692" s="5">
        <v>2425</v>
      </c>
      <c r="I3692" s="6">
        <v>1912.3542857142861</v>
      </c>
      <c r="J3692" s="5">
        <v>16320</v>
      </c>
      <c r="K3692" s="6">
        <f t="shared" si="151"/>
        <v>1.2680704711021864</v>
      </c>
    </row>
    <row r="3693" spans="1:11" hidden="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H3693" s="5">
        <v>3030</v>
      </c>
      <c r="I3693" s="6">
        <v>2812.2857142428579</v>
      </c>
      <c r="J3693" s="5">
        <v>20000</v>
      </c>
      <c r="K3693" s="6">
        <f t="shared" si="151"/>
        <v>1.0774154221438188</v>
      </c>
    </row>
    <row r="3694" spans="1:11" hidden="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H3694" s="5">
        <v>3250</v>
      </c>
      <c r="I3694" s="6">
        <v>1768.8376470588223</v>
      </c>
      <c r="J3694" s="5">
        <v>12800</v>
      </c>
      <c r="K3694" s="6">
        <f t="shared" si="151"/>
        <v>1.8373647832541422</v>
      </c>
    </row>
    <row r="3695" spans="1:11" hidden="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H3695" s="5">
        <v>4360</v>
      </c>
      <c r="I3695" s="6">
        <v>2263.7999998868127</v>
      </c>
      <c r="J3695" s="5">
        <v>17920</v>
      </c>
      <c r="K3695" s="6">
        <f t="shared" si="151"/>
        <v>1.9259651913676097</v>
      </c>
    </row>
    <row r="3696" spans="1:11" hidden="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H3696" s="5">
        <v>1440</v>
      </c>
      <c r="I3696" s="6">
        <v>994.97117647058747</v>
      </c>
      <c r="J3696" s="5">
        <v>7200</v>
      </c>
      <c r="K3696" s="6">
        <f t="shared" si="151"/>
        <v>1.4472781061940321</v>
      </c>
    </row>
    <row r="3697" spans="1:11" hidden="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H3697" s="5">
        <v>1560</v>
      </c>
      <c r="I3697" s="6">
        <v>994.97117647058747</v>
      </c>
      <c r="J3697" s="5">
        <v>7920</v>
      </c>
      <c r="K3697" s="6">
        <f t="shared" si="151"/>
        <v>1.5678846150435348</v>
      </c>
    </row>
    <row r="3698" spans="1:11" hidden="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H3698" s="5">
        <v>2500</v>
      </c>
      <c r="I3698" s="6">
        <v>2263.7999998868127</v>
      </c>
      <c r="J3698" s="5">
        <v>17920</v>
      </c>
      <c r="K3698" s="6">
        <f t="shared" si="151"/>
        <v>1.1043378390869323</v>
      </c>
    </row>
    <row r="3699" spans="1:11" hidden="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H3699" s="5">
        <v>11820</v>
      </c>
      <c r="I3699" s="6">
        <v>6727.0499997982479</v>
      </c>
      <c r="J3699" s="5">
        <v>49210</v>
      </c>
      <c r="K3699" s="6">
        <f t="shared" si="151"/>
        <v>1.7570852008465072</v>
      </c>
    </row>
    <row r="3700" spans="1:11" hidden="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H3700" s="5">
        <v>1140</v>
      </c>
      <c r="I3700" s="6">
        <v>994.95</v>
      </c>
      <c r="J3700" s="5">
        <v>7200</v>
      </c>
      <c r="K3700" s="6">
        <f t="shared" si="151"/>
        <v>1.145786220413086</v>
      </c>
    </row>
    <row r="3701" spans="1:11" hidden="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H3701" s="5">
        <v>1475</v>
      </c>
      <c r="I3701" s="6">
        <v>831.6</v>
      </c>
      <c r="J3701" s="5">
        <v>6300</v>
      </c>
      <c r="K3701" s="6">
        <f t="shared" si="151"/>
        <v>1.7736892736892735</v>
      </c>
    </row>
    <row r="3702" spans="1:11" hidden="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H3702" s="5">
        <v>2200</v>
      </c>
      <c r="I3702" s="6">
        <v>1267.2</v>
      </c>
      <c r="J3702" s="5">
        <v>9600</v>
      </c>
      <c r="K3702" s="6">
        <f t="shared" si="151"/>
        <v>1.7361111111111109</v>
      </c>
    </row>
    <row r="3703" spans="1:11" hidden="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H3703" s="5">
        <v>330</v>
      </c>
      <c r="I3703" s="6">
        <v>316.8</v>
      </c>
      <c r="J3703" s="5">
        <v>2400</v>
      </c>
      <c r="K3703" s="6">
        <f t="shared" si="151"/>
        <v>1.0416666666666665</v>
      </c>
    </row>
    <row r="3704" spans="1:11" hidden="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H3704" s="5">
        <v>7320</v>
      </c>
      <c r="I3704" s="6">
        <v>3603.6</v>
      </c>
      <c r="J3704" s="5">
        <v>27296</v>
      </c>
      <c r="K3704" s="6">
        <f t="shared" si="151"/>
        <v>2.0313020313020314</v>
      </c>
    </row>
    <row r="3705" spans="1:11" hidden="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H3705" s="5">
        <v>3500</v>
      </c>
      <c r="I3705" s="6">
        <v>3682.8</v>
      </c>
      <c r="J3705" s="5">
        <v>27900</v>
      </c>
      <c r="K3705" s="6">
        <f t="shared" si="151"/>
        <v>0.95036385358966002</v>
      </c>
    </row>
    <row r="3706" spans="1:11" hidden="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H3706" s="5">
        <v>2450</v>
      </c>
      <c r="I3706" s="6">
        <v>2376</v>
      </c>
      <c r="J3706" s="5">
        <v>18000</v>
      </c>
      <c r="K3706" s="6">
        <f t="shared" si="151"/>
        <v>1.0311447811447811</v>
      </c>
    </row>
    <row r="3707" spans="1:11" hidden="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H3707" s="5">
        <v>420</v>
      </c>
      <c r="I3707" s="6">
        <v>950.4</v>
      </c>
      <c r="J3707" s="5">
        <v>7200</v>
      </c>
      <c r="K3707" s="6">
        <f t="shared" si="151"/>
        <v>0.44191919191919193</v>
      </c>
    </row>
    <row r="3708" spans="1:11" hidden="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H3708" s="5">
        <v>2825</v>
      </c>
      <c r="I3708" s="6">
        <v>1346.4</v>
      </c>
      <c r="J3708" s="5">
        <v>10200</v>
      </c>
      <c r="K3708" s="6">
        <f t="shared" si="151"/>
        <v>2.0981877599524656</v>
      </c>
    </row>
    <row r="3709" spans="1:11" hidden="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H3709" s="5">
        <v>4380</v>
      </c>
      <c r="I3709" s="6">
        <v>2851.2</v>
      </c>
      <c r="J3709" s="5">
        <v>21600</v>
      </c>
      <c r="K3709" s="6">
        <f t="shared" si="151"/>
        <v>1.5361952861952863</v>
      </c>
    </row>
    <row r="3710" spans="1:11" hidden="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H3710" s="5">
        <v>2025</v>
      </c>
      <c r="I3710" s="6">
        <v>2138.4</v>
      </c>
      <c r="J3710" s="5">
        <v>16200</v>
      </c>
      <c r="K3710" s="6">
        <f t="shared" si="151"/>
        <v>0.94696969696969691</v>
      </c>
    </row>
    <row r="3711" spans="1:11" hidden="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H3711" s="5">
        <v>1500</v>
      </c>
      <c r="I3711" s="6">
        <v>963.6</v>
      </c>
      <c r="J3711" s="5">
        <v>7570</v>
      </c>
      <c r="K3711" s="6">
        <f t="shared" si="151"/>
        <v>1.5566625155666252</v>
      </c>
    </row>
    <row r="3712" spans="1:11" hidden="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H3712" s="5">
        <v>4650</v>
      </c>
      <c r="I3712" s="6">
        <v>3168</v>
      </c>
      <c r="J3712" s="5">
        <v>24000</v>
      </c>
      <c r="K3712" s="6">
        <f t="shared" si="151"/>
        <v>1.4678030303030303</v>
      </c>
    </row>
    <row r="3713" spans="1:11" hidden="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H3713" s="5">
        <v>1830</v>
      </c>
      <c r="I3713" s="6">
        <v>1188</v>
      </c>
      <c r="J3713" s="5">
        <v>9000</v>
      </c>
      <c r="K3713" s="6">
        <f t="shared" si="151"/>
        <v>1.5404040404040404</v>
      </c>
    </row>
    <row r="3714" spans="1:11" hidden="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H3714" s="5">
        <v>3975</v>
      </c>
      <c r="I3714" s="6">
        <v>2732.4</v>
      </c>
      <c r="J3714" s="5">
        <v>20700</v>
      </c>
      <c r="K3714" s="6">
        <f t="shared" si="151"/>
        <v>1.4547650417215634</v>
      </c>
    </row>
    <row r="3715" spans="1:11" hidden="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H3715" s="5">
        <v>720</v>
      </c>
      <c r="I3715" s="6">
        <v>673.2</v>
      </c>
      <c r="J3715" s="5">
        <v>5100</v>
      </c>
      <c r="K3715" s="6">
        <f t="shared" si="151"/>
        <v>1.0695187165775399</v>
      </c>
    </row>
    <row r="3716" spans="1:11" hidden="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H3716" s="5">
        <v>1825</v>
      </c>
      <c r="I3716" s="6">
        <v>1100.4749999999999</v>
      </c>
      <c r="J3716" s="5">
        <v>8000</v>
      </c>
      <c r="K3716" s="6">
        <f t="shared" si="151"/>
        <v>1.6583747927031511</v>
      </c>
    </row>
    <row r="3717" spans="1:11" hidden="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H3717" s="5">
        <v>1325</v>
      </c>
      <c r="I3717" s="6">
        <v>1287</v>
      </c>
      <c r="J3717" s="5">
        <v>9400</v>
      </c>
      <c r="K3717" s="6">
        <f t="shared" si="151"/>
        <v>1.0295260295260296</v>
      </c>
    </row>
    <row r="3718" spans="1:11" hidden="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H3718" s="5">
        <v>6960</v>
      </c>
      <c r="I3718" s="6">
        <v>2641.14</v>
      </c>
      <c r="J3718" s="5">
        <v>19200</v>
      </c>
      <c r="K3718" s="6">
        <f t="shared" si="151"/>
        <v>2.635225697994048</v>
      </c>
    </row>
    <row r="3719" spans="1:11" hidden="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H3719" s="5">
        <v>3780</v>
      </c>
      <c r="I3719" s="6">
        <v>2641.14</v>
      </c>
      <c r="J3719" s="5">
        <v>19200</v>
      </c>
      <c r="K3719" s="6">
        <f t="shared" si="151"/>
        <v>1.431200163565733</v>
      </c>
    </row>
    <row r="3720" spans="1:11" hidden="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H3720" s="5">
        <v>3660</v>
      </c>
      <c r="I3720" s="6">
        <v>1430.6174906250001</v>
      </c>
      <c r="J3720" s="5">
        <v>10400</v>
      </c>
      <c r="K3720" s="6">
        <f t="shared" si="151"/>
        <v>2.5583358402818352</v>
      </c>
    </row>
    <row r="3721" spans="1:11" hidden="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H3721" s="5">
        <v>1890</v>
      </c>
      <c r="I3721" s="6">
        <v>1430.6175000000001</v>
      </c>
      <c r="J3721" s="5">
        <v>10400</v>
      </c>
      <c r="K3721" s="6">
        <f t="shared" si="151"/>
        <v>1.3211078432914458</v>
      </c>
    </row>
    <row r="3722" spans="1:11" hidden="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H3722" s="5">
        <v>3270</v>
      </c>
      <c r="I3722" s="6">
        <v>2861.2350000000001</v>
      </c>
      <c r="J3722" s="5">
        <v>20800</v>
      </c>
      <c r="K3722" s="6">
        <f t="shared" si="151"/>
        <v>1.1428631342759332</v>
      </c>
    </row>
    <row r="3723" spans="1:11" hidden="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H3723" s="5">
        <v>3825</v>
      </c>
      <c r="I3723" s="6">
        <v>3071.9505625000002</v>
      </c>
      <c r="J3723" s="5">
        <v>22400</v>
      </c>
      <c r="K3723" s="6">
        <f t="shared" si="151"/>
        <v>1.2451372254139261</v>
      </c>
    </row>
    <row r="3724" spans="1:11" hidden="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H3724" s="5">
        <v>3300</v>
      </c>
      <c r="I3724" s="6">
        <v>1097.125</v>
      </c>
      <c r="J3724" s="5">
        <v>8000</v>
      </c>
      <c r="K3724" s="6">
        <f t="shared" si="151"/>
        <v>3.0078614560783867</v>
      </c>
    </row>
    <row r="3725" spans="1:11" hidden="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H3725" s="5">
        <v>4350</v>
      </c>
      <c r="I3725" s="6">
        <v>2852.5250000000001</v>
      </c>
      <c r="J3725" s="5">
        <v>20800</v>
      </c>
      <c r="K3725" s="6">
        <f t="shared" si="151"/>
        <v>1.5249647242355457</v>
      </c>
    </row>
    <row r="3726" spans="1:11" hidden="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H3726" s="5">
        <v>4830</v>
      </c>
      <c r="I3726" s="6">
        <v>2633.1</v>
      </c>
      <c r="J3726" s="5">
        <v>19200</v>
      </c>
      <c r="K3726" s="6">
        <f t="shared" si="151"/>
        <v>1.8343397516235616</v>
      </c>
    </row>
    <row r="3727" spans="1:11" hidden="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H3727" s="5">
        <v>4770</v>
      </c>
      <c r="I3727" s="6">
        <v>2633.1</v>
      </c>
      <c r="J3727" s="5">
        <v>19200</v>
      </c>
      <c r="K3727" s="6">
        <f t="shared" si="151"/>
        <v>1.8115529224108466</v>
      </c>
    </row>
    <row r="3728" spans="1:11" hidden="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H3728" s="5">
        <v>5280</v>
      </c>
      <c r="I3728" s="6">
        <v>2852.5250000000001</v>
      </c>
      <c r="J3728" s="5">
        <v>20800</v>
      </c>
      <c r="K3728" s="6">
        <f t="shared" si="151"/>
        <v>1.850991665279007</v>
      </c>
    </row>
    <row r="3729" spans="1:11" hidden="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H3729" s="5">
        <v>6960</v>
      </c>
      <c r="I3729" s="6">
        <v>2852.5250000000001</v>
      </c>
      <c r="J3729" s="5">
        <v>20800</v>
      </c>
      <c r="K3729" s="6">
        <f t="shared" si="151"/>
        <v>2.4399435587768732</v>
      </c>
    </row>
    <row r="3730" spans="1:11" hidden="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H3730" s="5">
        <v>3200</v>
      </c>
      <c r="I3730" s="6">
        <v>3071.95</v>
      </c>
      <c r="J3730" s="5">
        <v>22400</v>
      </c>
      <c r="K3730" s="6">
        <f t="shared" si="151"/>
        <v>1.0416836211526881</v>
      </c>
    </row>
    <row r="3731" spans="1:11" hidden="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H3731" s="5">
        <v>1200</v>
      </c>
      <c r="I3731" s="6">
        <v>1645.6875</v>
      </c>
      <c r="J3731" s="5">
        <v>12000</v>
      </c>
      <c r="K3731" s="6">
        <f t="shared" si="151"/>
        <v>0.72917853480688166</v>
      </c>
    </row>
    <row r="3732" spans="1:11" hidden="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H3732" s="5">
        <v>7540</v>
      </c>
      <c r="I3732" s="6">
        <v>4121.4642855494085</v>
      </c>
      <c r="J3732" s="5">
        <v>31200</v>
      </c>
      <c r="K3732" s="6">
        <f t="shared" si="151"/>
        <v>1.829446885282153</v>
      </c>
    </row>
    <row r="3733" spans="1:11" hidden="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H3733" s="5">
        <v>1350</v>
      </c>
      <c r="I3733" s="6">
        <v>1056.7857142434418</v>
      </c>
      <c r="J3733" s="5">
        <v>8000</v>
      </c>
      <c r="K3733" s="6">
        <f t="shared" si="151"/>
        <v>1.2774586009297748</v>
      </c>
    </row>
    <row r="3734" spans="1:11" hidden="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H3734" s="5">
        <v>7530</v>
      </c>
      <c r="I3734" s="6">
        <v>2641.9642856076484</v>
      </c>
      <c r="J3734" s="5">
        <v>19996</v>
      </c>
      <c r="K3734" s="6">
        <f t="shared" si="151"/>
        <v>2.850152078519907</v>
      </c>
    </row>
    <row r="3735" spans="1:11" hidden="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H3735" s="5">
        <v>1380</v>
      </c>
      <c r="I3735" s="6">
        <v>528.39285712153003</v>
      </c>
      <c r="J3735" s="5">
        <v>4000</v>
      </c>
      <c r="K3735" s="6">
        <f t="shared" si="151"/>
        <v>2.6116931396795944</v>
      </c>
    </row>
    <row r="3736" spans="1:11" hidden="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H3736" s="5">
        <v>3750</v>
      </c>
      <c r="I3736" s="6">
        <v>1902.2142856375078</v>
      </c>
      <c r="J3736" s="5">
        <v>14400</v>
      </c>
      <c r="K3736" s="6">
        <f t="shared" si="151"/>
        <v>1.9713867298306118</v>
      </c>
    </row>
    <row r="3737" spans="1:11" hidden="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H3737" s="5">
        <v>1340</v>
      </c>
      <c r="I3737" s="6">
        <v>634.05652706821195</v>
      </c>
      <c r="J3737" s="5">
        <v>4800</v>
      </c>
      <c r="K3737" s="6">
        <f t="shared" si="151"/>
        <v>2.113376241383353</v>
      </c>
    </row>
    <row r="3738" spans="1:11" hidden="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H3738" s="5">
        <v>13160</v>
      </c>
      <c r="I3738" s="6">
        <v>4487.9999999102474</v>
      </c>
      <c r="J3738" s="5">
        <v>31740</v>
      </c>
      <c r="K3738" s="6">
        <f t="shared" si="151"/>
        <v>2.9322638146753963</v>
      </c>
    </row>
    <row r="3739" spans="1:11" hidden="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H3739" s="5">
        <v>2700</v>
      </c>
      <c r="I3739" s="6">
        <v>1702.8</v>
      </c>
      <c r="J3739" s="5">
        <v>12900</v>
      </c>
      <c r="K3739" s="6">
        <f t="shared" si="151"/>
        <v>1.5856236786469344</v>
      </c>
    </row>
    <row r="3740" spans="1:11" hidden="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H3740" s="5">
        <v>6420</v>
      </c>
      <c r="I3740" s="6">
        <v>3009.6</v>
      </c>
      <c r="J3740" s="5">
        <v>22800</v>
      </c>
      <c r="K3740" s="6">
        <f t="shared" si="151"/>
        <v>2.1331738437001597</v>
      </c>
    </row>
    <row r="3741" spans="1:11" hidden="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H3741" s="5">
        <v>4170</v>
      </c>
      <c r="I3741" s="6">
        <v>1386</v>
      </c>
      <c r="J3741" s="5">
        <v>10500</v>
      </c>
      <c r="K3741" s="6">
        <f t="shared" si="151"/>
        <v>3.0086580086580086</v>
      </c>
    </row>
    <row r="3742" spans="1:11" hidden="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H3742" s="5">
        <v>3720</v>
      </c>
      <c r="I3742" s="6">
        <v>1386</v>
      </c>
      <c r="J3742" s="5">
        <v>10500</v>
      </c>
      <c r="K3742" s="6">
        <f t="shared" si="151"/>
        <v>2.6839826839826841</v>
      </c>
    </row>
    <row r="3743" spans="1:11" hidden="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H3743" s="5">
        <v>1025</v>
      </c>
      <c r="I3743" s="6">
        <v>1029.5999999999999</v>
      </c>
      <c r="J3743" s="5">
        <v>7800</v>
      </c>
      <c r="K3743" s="6">
        <f t="shared" si="151"/>
        <v>0.99553224553224562</v>
      </c>
    </row>
    <row r="3744" spans="1:11" hidden="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H3744" s="5">
        <v>3925</v>
      </c>
      <c r="I3744" s="6">
        <v>2653.2</v>
      </c>
      <c r="J3744" s="5">
        <v>20100</v>
      </c>
      <c r="K3744" s="6">
        <f t="shared" si="151"/>
        <v>1.4793456957636064</v>
      </c>
    </row>
    <row r="3745" spans="1:11" hidden="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H3745" s="5">
        <v>5280</v>
      </c>
      <c r="I3745" s="6">
        <v>1768.8</v>
      </c>
      <c r="J3745" s="5">
        <v>13400</v>
      </c>
      <c r="K3745" s="6">
        <f t="shared" si="151"/>
        <v>2.9850746268656718</v>
      </c>
    </row>
    <row r="3746" spans="1:11" hidden="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H3746" s="5">
        <v>1935</v>
      </c>
      <c r="I3746" s="6">
        <v>1029.5999999999999</v>
      </c>
      <c r="J3746" s="5">
        <v>7800</v>
      </c>
      <c r="K3746" s="6">
        <f t="shared" si="151"/>
        <v>1.8793706293706296</v>
      </c>
    </row>
    <row r="3747" spans="1:11" hidden="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H3747" s="5">
        <v>3150</v>
      </c>
      <c r="I3747" s="6">
        <v>1346.4</v>
      </c>
      <c r="J3747" s="5">
        <v>10200</v>
      </c>
      <c r="K3747" s="6">
        <f t="shared" si="151"/>
        <v>2.3395721925133688</v>
      </c>
    </row>
    <row r="3748" spans="1:11" hidden="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H3748" s="5">
        <v>300</v>
      </c>
      <c r="I3748" s="6">
        <v>440.18999062500001</v>
      </c>
      <c r="J3748" s="5">
        <v>3200</v>
      </c>
      <c r="K3748" s="6">
        <f t="shared" ref="K3748:K3810" si="153">+H3748/I3748</f>
        <v>0.68152390192709189</v>
      </c>
    </row>
    <row r="3749" spans="1:11" hidden="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H3749" s="5">
        <v>1625</v>
      </c>
      <c r="I3749" s="6">
        <v>880.38</v>
      </c>
      <c r="J3749" s="5">
        <v>6400</v>
      </c>
      <c r="K3749" s="6">
        <f t="shared" si="153"/>
        <v>1.8457938617415208</v>
      </c>
    </row>
    <row r="3750" spans="1:11" hidden="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H3750" s="5">
        <v>600</v>
      </c>
      <c r="I3750" s="6">
        <v>330.14249999999998</v>
      </c>
      <c r="J3750" s="5">
        <v>2400</v>
      </c>
      <c r="K3750" s="6">
        <f t="shared" si="153"/>
        <v>1.8173970330993436</v>
      </c>
    </row>
    <row r="3751" spans="1:11" hidden="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H3751" s="5">
        <v>2650</v>
      </c>
      <c r="I3751" s="6">
        <v>1650.7125000000001</v>
      </c>
      <c r="J3751" s="5">
        <v>12000</v>
      </c>
      <c r="K3751" s="6">
        <f t="shared" si="153"/>
        <v>1.6053673792377534</v>
      </c>
    </row>
    <row r="3752" spans="1:11" hidden="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H3752" s="5">
        <v>2500</v>
      </c>
      <c r="I3752" s="6">
        <v>1287.0000000000018</v>
      </c>
      <c r="J3752" s="5">
        <v>9400</v>
      </c>
      <c r="K3752" s="6">
        <f t="shared" si="153"/>
        <v>1.9425019425019399</v>
      </c>
    </row>
    <row r="3753" spans="1:11" hidden="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H3753" s="5">
        <v>4200</v>
      </c>
      <c r="I3753" s="6">
        <v>2641.14</v>
      </c>
      <c r="J3753" s="5">
        <v>19200</v>
      </c>
      <c r="K3753" s="6">
        <f t="shared" si="153"/>
        <v>1.5902224039619257</v>
      </c>
    </row>
    <row r="3754" spans="1:11" hidden="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H3754" s="5">
        <v>2190</v>
      </c>
      <c r="I3754" s="6">
        <v>880.38</v>
      </c>
      <c r="J3754" s="5">
        <v>6400</v>
      </c>
      <c r="K3754" s="6">
        <f t="shared" si="153"/>
        <v>2.4875621890547266</v>
      </c>
    </row>
    <row r="3755" spans="1:11" hidden="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H3755" s="5">
        <v>1580</v>
      </c>
      <c r="I3755" s="6">
        <v>880.38</v>
      </c>
      <c r="J3755" s="5">
        <v>6400</v>
      </c>
      <c r="K3755" s="6">
        <f t="shared" si="153"/>
        <v>1.7946795701856018</v>
      </c>
    </row>
    <row r="3756" spans="1:11" hidden="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H3756" s="5">
        <v>470</v>
      </c>
      <c r="I3756" s="6">
        <v>1755.4</v>
      </c>
      <c r="J3756" s="5">
        <v>12800</v>
      </c>
      <c r="K3756" s="6">
        <f t="shared" si="153"/>
        <v>0.26774524324940185</v>
      </c>
    </row>
    <row r="3757" spans="1:11" hidden="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H3757" s="5">
        <v>4880</v>
      </c>
      <c r="I3757" s="6">
        <v>2413.6749943750001</v>
      </c>
      <c r="J3757" s="5">
        <v>17600</v>
      </c>
      <c r="K3757" s="6">
        <f t="shared" si="153"/>
        <v>2.0218132148581307</v>
      </c>
    </row>
    <row r="3758" spans="1:11" hidden="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H3758" s="5">
        <v>2440</v>
      </c>
      <c r="I3758" s="6">
        <v>1645.6875</v>
      </c>
      <c r="J3758" s="5">
        <v>12000</v>
      </c>
      <c r="K3758" s="6">
        <f t="shared" si="153"/>
        <v>1.4826630207739926</v>
      </c>
    </row>
    <row r="3759" spans="1:11" hidden="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H3759" s="5">
        <v>2620</v>
      </c>
      <c r="I3759" s="6">
        <v>726.32013058333712</v>
      </c>
      <c r="J3759" s="5">
        <v>5712</v>
      </c>
      <c r="K3759" s="6">
        <f t="shared" si="153"/>
        <v>3.6072248168252914</v>
      </c>
    </row>
    <row r="3760" spans="1:11" hidden="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H3760" s="5">
        <v>2310</v>
      </c>
      <c r="I3760" s="6">
        <v>924.39958333667107</v>
      </c>
      <c r="J3760" s="5">
        <v>6720</v>
      </c>
      <c r="K3760" s="6">
        <f t="shared" si="153"/>
        <v>2.4989193435829211</v>
      </c>
    </row>
    <row r="3761" spans="1:11" hidden="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H3761" s="5">
        <v>3520</v>
      </c>
      <c r="I3761" s="6">
        <v>1122.485208333339</v>
      </c>
      <c r="J3761" s="5">
        <v>8160</v>
      </c>
      <c r="K3761" s="6">
        <f t="shared" si="153"/>
        <v>3.1358987841153652</v>
      </c>
    </row>
    <row r="3762" spans="1:11" hidden="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H3762" s="5">
        <v>680</v>
      </c>
      <c r="I3762" s="6">
        <v>396.17125000000198</v>
      </c>
      <c r="J3762" s="5">
        <v>2880</v>
      </c>
      <c r="K3762" s="6">
        <f t="shared" si="153"/>
        <v>1.716429448123751</v>
      </c>
    </row>
    <row r="3763" spans="1:11" hidden="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H3763" s="5">
        <v>3270</v>
      </c>
      <c r="I3763" s="6">
        <v>1535.9749999999999</v>
      </c>
      <c r="J3763" s="5">
        <v>11200</v>
      </c>
      <c r="K3763" s="6">
        <f t="shared" si="153"/>
        <v>2.1289409007308064</v>
      </c>
    </row>
    <row r="3764" spans="1:11" hidden="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H3764" s="5">
        <v>1900</v>
      </c>
      <c r="I3764" s="6">
        <v>1535.9749999999999</v>
      </c>
      <c r="J3764" s="5">
        <v>11200</v>
      </c>
      <c r="K3764" s="6">
        <f t="shared" si="153"/>
        <v>1.2369993001188171</v>
      </c>
    </row>
    <row r="3765" spans="1:11" hidden="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H3765" s="5">
        <v>1620</v>
      </c>
      <c r="I3765" s="6">
        <v>594.25687500000299</v>
      </c>
      <c r="J3765" s="5">
        <v>4320</v>
      </c>
      <c r="K3765" s="6">
        <f t="shared" si="153"/>
        <v>2.7260938293730161</v>
      </c>
    </row>
    <row r="3766" spans="1:11" hidden="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H3766" s="5">
        <v>4200</v>
      </c>
      <c r="I3766" s="6">
        <v>2575.1131250013459</v>
      </c>
      <c r="J3766" s="5">
        <v>18720</v>
      </c>
      <c r="K3766" s="6">
        <f t="shared" si="153"/>
        <v>1.6309963081710459</v>
      </c>
    </row>
    <row r="3767" spans="1:11" hidden="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H3767" s="5">
        <v>1530</v>
      </c>
      <c r="I3767" s="6">
        <v>528.37931032368999</v>
      </c>
      <c r="J3767" s="5">
        <v>4000</v>
      </c>
      <c r="K3767" s="6">
        <f t="shared" ref="K3767:K3773" si="154">IFERROR(H3767/I3767,"")</f>
        <v>2.895647066617177</v>
      </c>
    </row>
    <row r="3768" spans="1:11" hidden="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H3768" s="5">
        <v>2950</v>
      </c>
      <c r="I3768" s="6">
        <v>2272.0310343918732</v>
      </c>
      <c r="J3768" s="5">
        <v>17200</v>
      </c>
      <c r="K3768" s="6">
        <f t="shared" si="154"/>
        <v>1.2983977574890788</v>
      </c>
    </row>
    <row r="3769" spans="1:11" hidden="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H3769" s="5">
        <v>1350</v>
      </c>
      <c r="I3769" s="6">
        <v>1162.4344827121224</v>
      </c>
      <c r="J3769" s="5">
        <v>8800</v>
      </c>
      <c r="K3769" s="6">
        <f t="shared" si="154"/>
        <v>1.1613557753812163</v>
      </c>
    </row>
    <row r="3770" spans="1:11" hidden="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H3770" s="5">
        <v>1505</v>
      </c>
      <c r="I3770" s="6">
        <v>1162.4344827121181</v>
      </c>
      <c r="J3770" s="5">
        <v>8800</v>
      </c>
      <c r="K3770" s="6">
        <f t="shared" si="154"/>
        <v>1.2946966236657311</v>
      </c>
    </row>
    <row r="3771" spans="1:11" hidden="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H3771" s="5">
        <v>1140</v>
      </c>
      <c r="I3771" s="6">
        <v>1056.7586206473827</v>
      </c>
      <c r="J3771" s="5">
        <v>8000</v>
      </c>
      <c r="K3771" s="6">
        <f t="shared" si="154"/>
        <v>1.0787704757985535</v>
      </c>
    </row>
    <row r="3772" spans="1:11" hidden="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H3772" s="5">
        <v>1500</v>
      </c>
      <c r="I3772" s="6">
        <v>1109.596551679753</v>
      </c>
      <c r="J3772" s="5">
        <v>8400</v>
      </c>
      <c r="K3772" s="6">
        <f t="shared" si="154"/>
        <v>1.3518427015019452</v>
      </c>
    </row>
    <row r="3773" spans="1:11" hidden="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H3773" s="5">
        <v>4775</v>
      </c>
      <c r="I3773" s="6">
        <v>1902.1655171652881</v>
      </c>
      <c r="J3773" s="5">
        <v>14400</v>
      </c>
      <c r="K3773" s="6">
        <f t="shared" si="154"/>
        <v>2.51029679431681</v>
      </c>
    </row>
    <row r="3774" spans="1:11" hidden="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H3774" s="5">
        <v>1450</v>
      </c>
      <c r="I3774" s="6">
        <v>951.10714281909407</v>
      </c>
      <c r="J3774" s="5">
        <v>7200</v>
      </c>
      <c r="K3774" s="6">
        <f t="shared" si="153"/>
        <v>1.5245390710684612</v>
      </c>
    </row>
    <row r="3775" spans="1:11" hidden="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H3775" s="5">
        <v>6930</v>
      </c>
      <c r="I3775" s="6">
        <v>3804.4285712763772</v>
      </c>
      <c r="J3775" s="5">
        <v>28800</v>
      </c>
      <c r="K3775" s="6">
        <f t="shared" si="153"/>
        <v>1.8215613383628335</v>
      </c>
    </row>
    <row r="3776" spans="1:11" hidden="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H3776" s="5">
        <v>4230</v>
      </c>
      <c r="I3776" s="6">
        <v>2641.8965516184649</v>
      </c>
      <c r="J3776" s="5">
        <v>20000</v>
      </c>
      <c r="K3776" s="6">
        <f t="shared" si="153"/>
        <v>1.6011224956589005</v>
      </c>
    </row>
    <row r="3777" spans="1:11" hidden="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H3777" s="5">
        <v>6060</v>
      </c>
      <c r="I3777" s="6">
        <v>3592.9793102010913</v>
      </c>
      <c r="J3777" s="5">
        <v>26044</v>
      </c>
      <c r="K3777" s="6">
        <f t="shared" si="153"/>
        <v>1.6866225705209628</v>
      </c>
    </row>
    <row r="3778" spans="1:11" hidden="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H3778" s="5">
        <v>1975</v>
      </c>
      <c r="I3778" s="6">
        <v>1268.1103447768633</v>
      </c>
      <c r="J3778" s="5">
        <v>9600</v>
      </c>
      <c r="K3778" s="6">
        <f t="shared" si="153"/>
        <v>1.5574354456886961</v>
      </c>
    </row>
    <row r="3779" spans="1:11" hidden="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H3779" s="5">
        <v>550</v>
      </c>
      <c r="I3779" s="6">
        <v>528.37931032368999</v>
      </c>
      <c r="J3779" s="5">
        <v>4000</v>
      </c>
      <c r="K3779" s="6">
        <f t="shared" si="153"/>
        <v>1.0409188801565015</v>
      </c>
    </row>
    <row r="3780" spans="1:11" hidden="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H3780" s="5">
        <v>1470</v>
      </c>
      <c r="I3780" s="6">
        <v>1162.4344827121247</v>
      </c>
      <c r="J3780" s="5">
        <v>8800</v>
      </c>
      <c r="K3780" s="6">
        <f t="shared" si="153"/>
        <v>1.2645873998595443</v>
      </c>
    </row>
    <row r="3781" spans="1:11" hidden="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H3781" s="5">
        <v>1560</v>
      </c>
      <c r="I3781" s="6">
        <v>528.3915024419166</v>
      </c>
      <c r="J3781" s="5">
        <v>4000</v>
      </c>
      <c r="K3781" s="6">
        <f t="shared" si="153"/>
        <v>2.952356335767309</v>
      </c>
    </row>
    <row r="3782" spans="1:11" hidden="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H3782" s="5">
        <v>6210</v>
      </c>
      <c r="I3782" s="6">
        <v>3910.1071427007282</v>
      </c>
      <c r="J3782" s="5">
        <v>29260</v>
      </c>
      <c r="K3782" s="6">
        <f t="shared" si="153"/>
        <v>1.588191774128912</v>
      </c>
    </row>
    <row r="3783" spans="1:11" hidden="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H3783" s="5">
        <v>3025</v>
      </c>
      <c r="I3783" s="6">
        <v>1902.2142856381945</v>
      </c>
      <c r="J3783" s="5">
        <v>14400</v>
      </c>
      <c r="K3783" s="6">
        <f t="shared" si="153"/>
        <v>1.5902519620627862</v>
      </c>
    </row>
    <row r="3784" spans="1:11" hidden="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H3784" s="5">
        <v>2010</v>
      </c>
      <c r="I3784" s="6">
        <v>1162.4642856677858</v>
      </c>
      <c r="J3784" s="5">
        <v>8800</v>
      </c>
      <c r="K3784" s="6">
        <f t="shared" si="153"/>
        <v>1.7290853790362612</v>
      </c>
    </row>
    <row r="3785" spans="1:11" hidden="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H3785" s="5">
        <v>720</v>
      </c>
      <c r="I3785" s="6">
        <v>317.03571427303262</v>
      </c>
      <c r="J3785" s="5">
        <v>2400</v>
      </c>
      <c r="K3785" s="6">
        <f t="shared" si="153"/>
        <v>2.2710375127640434</v>
      </c>
    </row>
    <row r="3786" spans="1:11" hidden="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H3786" s="5">
        <v>925</v>
      </c>
      <c r="I3786" s="6">
        <v>951.10714281875391</v>
      </c>
      <c r="J3786" s="5">
        <v>7200</v>
      </c>
      <c r="K3786" s="6">
        <f t="shared" si="153"/>
        <v>0.97255078671643513</v>
      </c>
    </row>
    <row r="3787" spans="1:11" hidden="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H3787" s="5">
        <v>750</v>
      </c>
      <c r="I3787" s="6">
        <v>898.26785710660101</v>
      </c>
      <c r="J3787" s="5">
        <v>6800</v>
      </c>
      <c r="K3787" s="6">
        <f t="shared" si="153"/>
        <v>0.8349402620459061</v>
      </c>
    </row>
    <row r="3788" spans="1:11" hidden="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H3788" s="5">
        <v>1350</v>
      </c>
      <c r="I3788" s="6">
        <v>1162.4642856673661</v>
      </c>
      <c r="J3788" s="5">
        <v>8800</v>
      </c>
      <c r="K3788" s="6">
        <f t="shared" si="153"/>
        <v>1.1613260008456694</v>
      </c>
    </row>
    <row r="3789" spans="1:11" hidden="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H3789" s="5">
        <v>1920</v>
      </c>
      <c r="I3789" s="6">
        <v>686.91071425798896</v>
      </c>
      <c r="J3789" s="5">
        <v>5200</v>
      </c>
      <c r="K3789" s="6">
        <f t="shared" si="153"/>
        <v>2.7951230926336796</v>
      </c>
    </row>
    <row r="3790" spans="1:11" hidden="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H3790" s="5">
        <v>650</v>
      </c>
      <c r="I3790" s="6">
        <v>845.428571394752</v>
      </c>
      <c r="J3790" s="5">
        <v>6400</v>
      </c>
      <c r="K3790" s="6">
        <f t="shared" si="153"/>
        <v>0.7688408246336621</v>
      </c>
    </row>
    <row r="3791" spans="1:11" hidden="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H3791" s="5">
        <v>5450</v>
      </c>
      <c r="I3791" s="6">
        <v>3910.1071427007355</v>
      </c>
      <c r="J3791" s="5">
        <v>29600</v>
      </c>
      <c r="K3791" s="6">
        <f t="shared" si="153"/>
        <v>1.3938236987121664</v>
      </c>
    </row>
    <row r="3792" spans="1:11" hidden="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H3792" s="5">
        <v>4825</v>
      </c>
      <c r="I3792" s="6">
        <v>4015.7857141250793</v>
      </c>
      <c r="J3792" s="5">
        <v>30400</v>
      </c>
      <c r="K3792" s="6">
        <f t="shared" si="153"/>
        <v>1.2015083332331702</v>
      </c>
    </row>
    <row r="3793" spans="1:11" hidden="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H3793" s="5">
        <v>8490</v>
      </c>
      <c r="I3793" s="6">
        <v>2747.5751230427709</v>
      </c>
      <c r="J3793" s="5">
        <v>20800</v>
      </c>
      <c r="K3793" s="6">
        <f t="shared" si="153"/>
        <v>3.0899974049109331</v>
      </c>
    </row>
    <row r="3794" spans="1:11" hidden="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H3794" s="5">
        <v>1650</v>
      </c>
      <c r="I3794" s="6">
        <v>1056.75862064738</v>
      </c>
      <c r="J3794" s="5">
        <v>9600</v>
      </c>
      <c r="K3794" s="6">
        <f t="shared" si="153"/>
        <v>1.5613783202347522</v>
      </c>
    </row>
    <row r="3795" spans="1:11" hidden="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H3795" s="5">
        <v>0</v>
      </c>
      <c r="I3795" s="6">
        <v>369.86551722658481</v>
      </c>
      <c r="J3795" s="5">
        <v>3080</v>
      </c>
      <c r="K3795" s="6">
        <f t="shared" si="153"/>
        <v>0</v>
      </c>
    </row>
    <row r="3796" spans="1:11" hidden="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H3796" s="5">
        <v>12090</v>
      </c>
      <c r="I3796" s="6">
        <v>3592.9793102011122</v>
      </c>
      <c r="J3796" s="5">
        <v>27820</v>
      </c>
      <c r="K3796" s="6">
        <f t="shared" si="153"/>
        <v>3.3648955243561587</v>
      </c>
    </row>
    <row r="3797" spans="1:11" hidden="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H3797" s="5">
        <v>1920</v>
      </c>
      <c r="I3797" s="6">
        <v>1585.2222221588099</v>
      </c>
      <c r="J3797" s="5">
        <v>11490</v>
      </c>
      <c r="K3797" s="6">
        <f t="shared" si="153"/>
        <v>1.2111866545658678</v>
      </c>
    </row>
    <row r="3798" spans="1:11" hidden="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H3798" s="5">
        <v>3060</v>
      </c>
      <c r="I3798" s="6">
        <v>2219.311111022334</v>
      </c>
      <c r="J3798" s="5">
        <v>16800</v>
      </c>
      <c r="K3798" s="6">
        <f t="shared" si="153"/>
        <v>1.378806236224537</v>
      </c>
    </row>
    <row r="3799" spans="1:11" hidden="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H3799" s="5">
        <v>4700</v>
      </c>
      <c r="I3799" s="6">
        <v>2959.0814813631118</v>
      </c>
      <c r="J3799" s="5">
        <v>22400</v>
      </c>
      <c r="K3799" s="6">
        <f t="shared" si="153"/>
        <v>1.5883307132978737</v>
      </c>
    </row>
    <row r="3800" spans="1:11" hidden="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H3800" s="5">
        <v>0</v>
      </c>
      <c r="I3800" s="6">
        <v>1796.5851851133182</v>
      </c>
      <c r="J3800" s="5">
        <v>13600</v>
      </c>
      <c r="K3800" s="6">
        <f t="shared" si="153"/>
        <v>0</v>
      </c>
    </row>
    <row r="3801" spans="1:11" hidden="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H3801" s="5">
        <v>2575</v>
      </c>
      <c r="I3801" s="6">
        <v>1912.3542857142861</v>
      </c>
      <c r="J3801" s="5">
        <v>16320</v>
      </c>
      <c r="K3801" s="6">
        <f t="shared" si="153"/>
        <v>1.3465078198301568</v>
      </c>
    </row>
    <row r="3802" spans="1:11" hidden="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H3802" s="5">
        <v>3570</v>
      </c>
      <c r="I3802" s="6">
        <v>2812.2857142428579</v>
      </c>
      <c r="J3802" s="5">
        <v>20000</v>
      </c>
      <c r="K3802" s="6">
        <f t="shared" si="153"/>
        <v>1.2694300518328163</v>
      </c>
    </row>
    <row r="3803" spans="1:11" hidden="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H3803" s="5">
        <v>3450</v>
      </c>
      <c r="I3803" s="6">
        <v>1768.8376470588223</v>
      </c>
      <c r="J3803" s="5">
        <v>12800</v>
      </c>
      <c r="K3803" s="6">
        <f t="shared" si="153"/>
        <v>1.9504333853005509</v>
      </c>
    </row>
    <row r="3804" spans="1:11" hidden="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H3804" s="5">
        <v>5120</v>
      </c>
      <c r="I3804" s="6">
        <v>2263.7999998868127</v>
      </c>
      <c r="J3804" s="5">
        <v>17920</v>
      </c>
      <c r="K3804" s="6">
        <f t="shared" si="153"/>
        <v>2.2616838944500373</v>
      </c>
    </row>
    <row r="3805" spans="1:11" hidden="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H3805" s="5">
        <v>1020</v>
      </c>
      <c r="I3805" s="6">
        <v>994.97117647058747</v>
      </c>
      <c r="J3805" s="5">
        <v>7200</v>
      </c>
      <c r="K3805" s="6">
        <f t="shared" si="153"/>
        <v>1.0251553252207728</v>
      </c>
    </row>
    <row r="3806" spans="1:11" hidden="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H3806" s="5">
        <v>1200</v>
      </c>
      <c r="I3806" s="6">
        <v>994.97117647058747</v>
      </c>
      <c r="J3806" s="5">
        <v>7920</v>
      </c>
      <c r="K3806" s="6">
        <f t="shared" si="153"/>
        <v>1.2060650884950268</v>
      </c>
    </row>
    <row r="3807" spans="1:11" hidden="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H3807" s="5">
        <v>2775</v>
      </c>
      <c r="I3807" s="6">
        <v>2263.7999998868127</v>
      </c>
      <c r="J3807" s="5">
        <v>17920</v>
      </c>
      <c r="K3807" s="6">
        <f t="shared" si="153"/>
        <v>1.2258150013864948</v>
      </c>
    </row>
    <row r="3808" spans="1:11" hidden="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H3808" s="5">
        <v>9570</v>
      </c>
      <c r="I3808" s="6">
        <v>6727.0499997982479</v>
      </c>
      <c r="J3808" s="5">
        <v>49210</v>
      </c>
      <c r="K3808" s="6">
        <f t="shared" si="153"/>
        <v>1.4226146676904461</v>
      </c>
    </row>
    <row r="3809" spans="1:11" hidden="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H3809" s="5">
        <v>1080</v>
      </c>
      <c r="I3809" s="6">
        <v>994.95</v>
      </c>
      <c r="J3809" s="5">
        <v>7200</v>
      </c>
      <c r="K3809" s="6">
        <f t="shared" si="153"/>
        <v>1.0854816824966078</v>
      </c>
    </row>
    <row r="3810" spans="1:11" hidden="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H3810" s="5">
        <v>1425</v>
      </c>
      <c r="I3810" s="6">
        <v>831.6</v>
      </c>
      <c r="J3810" s="5">
        <v>6300</v>
      </c>
      <c r="K3810" s="6">
        <f t="shared" si="153"/>
        <v>1.7135642135642135</v>
      </c>
    </row>
    <row r="3811" spans="1:11" hidden="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H3811" s="5">
        <v>2300</v>
      </c>
      <c r="I3811" s="6">
        <v>1267.2</v>
      </c>
      <c r="J3811" s="5">
        <v>9600</v>
      </c>
      <c r="K3811" s="6">
        <f t="shared" ref="K3811:K3874" si="156">+H3811/I3811</f>
        <v>1.8150252525252524</v>
      </c>
    </row>
    <row r="3812" spans="1:11" hidden="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H3812" s="5">
        <v>270</v>
      </c>
      <c r="I3812" s="6">
        <v>316.8</v>
      </c>
      <c r="J3812" s="5">
        <v>2400</v>
      </c>
      <c r="K3812" s="6">
        <f t="shared" si="156"/>
        <v>0.85227272727272729</v>
      </c>
    </row>
    <row r="3813" spans="1:11" hidden="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H3813" s="5">
        <v>8700</v>
      </c>
      <c r="I3813" s="6">
        <v>3603.6</v>
      </c>
      <c r="J3813" s="5">
        <v>27296</v>
      </c>
      <c r="K3813" s="6">
        <f t="shared" si="156"/>
        <v>2.4142524142524144</v>
      </c>
    </row>
    <row r="3814" spans="1:11" hidden="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H3814" s="5">
        <v>5300</v>
      </c>
      <c r="I3814" s="6">
        <v>3682.8</v>
      </c>
      <c r="J3814" s="5">
        <v>27900</v>
      </c>
      <c r="K3814" s="6">
        <f t="shared" si="156"/>
        <v>1.4391224068643422</v>
      </c>
    </row>
    <row r="3815" spans="1:11" hidden="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H3815" s="5">
        <v>2775</v>
      </c>
      <c r="I3815" s="6">
        <v>2376</v>
      </c>
      <c r="J3815" s="5">
        <v>18000</v>
      </c>
      <c r="K3815" s="6">
        <f t="shared" si="156"/>
        <v>1.167929292929293</v>
      </c>
    </row>
    <row r="3816" spans="1:11" hidden="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H3816" s="5">
        <v>660</v>
      </c>
      <c r="I3816" s="6">
        <v>950.4</v>
      </c>
      <c r="J3816" s="5">
        <v>7200</v>
      </c>
      <c r="K3816" s="6">
        <f t="shared" si="156"/>
        <v>0.69444444444444442</v>
      </c>
    </row>
    <row r="3817" spans="1:11" hidden="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H3817" s="5">
        <v>2450</v>
      </c>
      <c r="I3817" s="6">
        <v>1346.4</v>
      </c>
      <c r="J3817" s="5">
        <v>10200</v>
      </c>
      <c r="K3817" s="6">
        <f t="shared" si="156"/>
        <v>1.8196672608437312</v>
      </c>
    </row>
    <row r="3818" spans="1:11" hidden="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H3818" s="5">
        <v>3360</v>
      </c>
      <c r="I3818" s="6">
        <v>2851.2</v>
      </c>
      <c r="J3818" s="5">
        <v>21600</v>
      </c>
      <c r="K3818" s="6">
        <f t="shared" si="156"/>
        <v>1.1784511784511784</v>
      </c>
    </row>
    <row r="3819" spans="1:11" hidden="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H3819" s="5">
        <v>1750</v>
      </c>
      <c r="I3819" s="6">
        <v>2138.4</v>
      </c>
      <c r="J3819" s="5">
        <v>16200</v>
      </c>
      <c r="K3819" s="6">
        <f t="shared" si="156"/>
        <v>0.81836887392442947</v>
      </c>
    </row>
    <row r="3820" spans="1:11" hidden="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H3820" s="5">
        <v>1425</v>
      </c>
      <c r="I3820" s="6">
        <v>963.6</v>
      </c>
      <c r="J3820" s="5">
        <v>7570</v>
      </c>
      <c r="K3820" s="6">
        <f t="shared" si="156"/>
        <v>1.4788293897882938</v>
      </c>
    </row>
    <row r="3821" spans="1:11" hidden="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H3821" s="5">
        <v>4575</v>
      </c>
      <c r="I3821" s="6">
        <v>3168</v>
      </c>
      <c r="J3821" s="5">
        <v>24000</v>
      </c>
      <c r="K3821" s="6">
        <f t="shared" si="156"/>
        <v>1.4441287878787878</v>
      </c>
    </row>
    <row r="3822" spans="1:11" hidden="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H3822" s="5">
        <v>1980</v>
      </c>
      <c r="I3822" s="6">
        <v>1188</v>
      </c>
      <c r="J3822" s="5">
        <v>9000</v>
      </c>
      <c r="K3822" s="6">
        <f t="shared" si="156"/>
        <v>1.6666666666666667</v>
      </c>
    </row>
    <row r="3823" spans="1:11" hidden="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H3823" s="5">
        <v>4500</v>
      </c>
      <c r="I3823" s="6">
        <v>2732.4</v>
      </c>
      <c r="J3823" s="5">
        <v>20700</v>
      </c>
      <c r="K3823" s="6">
        <f t="shared" si="156"/>
        <v>1.6469038208168643</v>
      </c>
    </row>
    <row r="3824" spans="1:11" hidden="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H3824" s="5">
        <v>540</v>
      </c>
      <c r="I3824" s="6">
        <v>673.2</v>
      </c>
      <c r="J3824" s="5">
        <v>5100</v>
      </c>
      <c r="K3824" s="6">
        <f t="shared" si="156"/>
        <v>0.80213903743315507</v>
      </c>
    </row>
    <row r="3825" spans="1:11" hidden="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H3825" s="5">
        <v>2075</v>
      </c>
      <c r="I3825" s="6">
        <v>1100.4749999999999</v>
      </c>
      <c r="J3825" s="5">
        <v>8000</v>
      </c>
      <c r="K3825" s="6">
        <f t="shared" si="156"/>
        <v>1.8855494218405691</v>
      </c>
    </row>
    <row r="3826" spans="1:11" hidden="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H3826" s="5">
        <v>1875</v>
      </c>
      <c r="I3826" s="6">
        <v>1287</v>
      </c>
      <c r="J3826" s="5">
        <v>9400</v>
      </c>
      <c r="K3826" s="6">
        <f t="shared" si="156"/>
        <v>1.4568764568764569</v>
      </c>
    </row>
    <row r="3827" spans="1:11" hidden="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H3827" s="5">
        <v>8250</v>
      </c>
      <c r="I3827" s="6">
        <v>2641.14</v>
      </c>
      <c r="J3827" s="5">
        <v>19200</v>
      </c>
      <c r="K3827" s="6">
        <f t="shared" si="156"/>
        <v>3.1236511506394966</v>
      </c>
    </row>
    <row r="3828" spans="1:11" hidden="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H3828" s="5">
        <v>4410</v>
      </c>
      <c r="I3828" s="6">
        <v>2641.14</v>
      </c>
      <c r="J3828" s="5">
        <v>19200</v>
      </c>
      <c r="K3828" s="6">
        <f t="shared" si="156"/>
        <v>1.669733524160022</v>
      </c>
    </row>
    <row r="3829" spans="1:11" hidden="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H3829" s="5">
        <v>4410</v>
      </c>
      <c r="I3829" s="6">
        <v>1430.6174906250001</v>
      </c>
      <c r="J3829" s="5">
        <v>10400</v>
      </c>
      <c r="K3829" s="6">
        <f t="shared" si="156"/>
        <v>3.0825849878805718</v>
      </c>
    </row>
    <row r="3830" spans="1:11" hidden="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H3830" s="5">
        <v>2370</v>
      </c>
      <c r="I3830" s="6">
        <v>1430.6175000000001</v>
      </c>
      <c r="J3830" s="5">
        <v>10400</v>
      </c>
      <c r="K3830" s="6">
        <f t="shared" si="156"/>
        <v>1.65662729555594</v>
      </c>
    </row>
    <row r="3831" spans="1:11" hidden="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H3831" s="5">
        <v>4590</v>
      </c>
      <c r="I3831" s="6">
        <v>2861.2350000000001</v>
      </c>
      <c r="J3831" s="5">
        <v>20800</v>
      </c>
      <c r="K3831" s="6">
        <f t="shared" si="156"/>
        <v>1.6042023811396127</v>
      </c>
    </row>
    <row r="3832" spans="1:11" hidden="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H3832" s="5">
        <v>3300</v>
      </c>
      <c r="I3832" s="6">
        <v>3071.9505625000002</v>
      </c>
      <c r="J3832" s="5">
        <v>22400</v>
      </c>
      <c r="K3832" s="6">
        <f t="shared" si="156"/>
        <v>1.0742360376120148</v>
      </c>
    </row>
    <row r="3833" spans="1:11" hidden="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H3833" s="5">
        <v>2700</v>
      </c>
      <c r="I3833" s="6">
        <v>1097.125</v>
      </c>
      <c r="J3833" s="5">
        <v>8000</v>
      </c>
      <c r="K3833" s="6">
        <f t="shared" si="156"/>
        <v>2.4609775549732253</v>
      </c>
    </row>
    <row r="3834" spans="1:11" hidden="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H3834" s="5">
        <v>3425</v>
      </c>
      <c r="I3834" s="6">
        <v>2852.5250000000001</v>
      </c>
      <c r="J3834" s="5">
        <v>20800</v>
      </c>
      <c r="K3834" s="6">
        <f t="shared" si="156"/>
        <v>1.200690616208447</v>
      </c>
    </row>
    <row r="3835" spans="1:11" hidden="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H3835" s="5">
        <v>5550</v>
      </c>
      <c r="I3835" s="6">
        <v>2633.1</v>
      </c>
      <c r="J3835" s="5">
        <v>19200</v>
      </c>
      <c r="K3835" s="6">
        <f t="shared" si="156"/>
        <v>2.1077817021761422</v>
      </c>
    </row>
    <row r="3836" spans="1:11" hidden="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H3836" s="5">
        <v>6360</v>
      </c>
      <c r="I3836" s="6">
        <v>2633.1</v>
      </c>
      <c r="J3836" s="5">
        <v>19200</v>
      </c>
      <c r="K3836" s="6">
        <f t="shared" si="156"/>
        <v>2.4154038965477955</v>
      </c>
    </row>
    <row r="3837" spans="1:11" hidden="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H3837" s="5">
        <v>6420</v>
      </c>
      <c r="I3837" s="6">
        <v>2852.5250000000001</v>
      </c>
      <c r="J3837" s="5">
        <v>20800</v>
      </c>
      <c r="K3837" s="6">
        <f t="shared" si="156"/>
        <v>2.250637593009702</v>
      </c>
    </row>
    <row r="3838" spans="1:11" hidden="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H3838" s="5">
        <v>6240</v>
      </c>
      <c r="I3838" s="6">
        <v>2852.5250000000001</v>
      </c>
      <c r="J3838" s="5">
        <v>20800</v>
      </c>
      <c r="K3838" s="6">
        <f t="shared" si="156"/>
        <v>2.1875356044206447</v>
      </c>
    </row>
    <row r="3839" spans="1:11" hidden="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H3839" s="5">
        <v>2725</v>
      </c>
      <c r="I3839" s="6">
        <v>3071.95</v>
      </c>
      <c r="J3839" s="5">
        <v>22400</v>
      </c>
      <c r="K3839" s="6">
        <f t="shared" si="156"/>
        <v>0.88705870863783598</v>
      </c>
    </row>
    <row r="3840" spans="1:11" hidden="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H3840" s="5">
        <v>1525</v>
      </c>
      <c r="I3840" s="6">
        <v>1645.6875</v>
      </c>
      <c r="J3840" s="5">
        <v>12000</v>
      </c>
      <c r="K3840" s="6">
        <f t="shared" si="156"/>
        <v>0.9266643879837454</v>
      </c>
    </row>
    <row r="3841" spans="1:11" hidden="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H3841" s="5">
        <v>8140</v>
      </c>
      <c r="I3841" s="6">
        <v>4121.4642855494085</v>
      </c>
      <c r="J3841" s="5">
        <v>31200</v>
      </c>
      <c r="K3841" s="6">
        <f t="shared" si="156"/>
        <v>1.9750262130234386</v>
      </c>
    </row>
    <row r="3842" spans="1:11" hidden="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H3842" s="5">
        <v>1605</v>
      </c>
      <c r="I3842" s="6">
        <v>1056.7857142434418</v>
      </c>
      <c r="J3842" s="5">
        <v>8000</v>
      </c>
      <c r="K3842" s="6">
        <f t="shared" si="156"/>
        <v>1.5187563366609544</v>
      </c>
    </row>
    <row r="3843" spans="1:11" hidden="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H3843" s="5">
        <v>7290</v>
      </c>
      <c r="I3843" s="6">
        <v>2641.9642856076484</v>
      </c>
      <c r="J3843" s="5">
        <v>19996</v>
      </c>
      <c r="K3843" s="6">
        <f t="shared" si="156"/>
        <v>2.7593105780093121</v>
      </c>
    </row>
    <row r="3844" spans="1:11" hidden="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H3844" s="5">
        <v>1180</v>
      </c>
      <c r="I3844" s="6">
        <v>528.39285712153003</v>
      </c>
      <c r="J3844" s="5">
        <v>4000</v>
      </c>
      <c r="K3844" s="6">
        <f t="shared" si="156"/>
        <v>2.2331868875521166</v>
      </c>
    </row>
    <row r="3845" spans="1:11" hidden="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H3845" s="5">
        <v>3300</v>
      </c>
      <c r="I3845" s="6">
        <v>1902.2142856375078</v>
      </c>
      <c r="J3845" s="5">
        <v>14400</v>
      </c>
      <c r="K3845" s="6">
        <f t="shared" si="156"/>
        <v>1.7348203222509384</v>
      </c>
    </row>
    <row r="3846" spans="1:11" hidden="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H3846" s="5">
        <v>1140</v>
      </c>
      <c r="I3846" s="6">
        <v>634.05652706821195</v>
      </c>
      <c r="J3846" s="5">
        <v>4800</v>
      </c>
      <c r="K3846" s="6">
        <f t="shared" si="156"/>
        <v>1.7979469516246436</v>
      </c>
    </row>
    <row r="3847" spans="1:11" hidden="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H3847" s="5">
        <v>10540</v>
      </c>
      <c r="I3847" s="6">
        <v>4487.9999999102474</v>
      </c>
      <c r="J3847" s="5">
        <v>31740</v>
      </c>
      <c r="K3847" s="6">
        <f t="shared" si="156"/>
        <v>2.3484848485318142</v>
      </c>
    </row>
    <row r="3848" spans="1:11" hidden="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H3848" s="5">
        <v>2775</v>
      </c>
      <c r="I3848" s="6">
        <v>1702.8</v>
      </c>
      <c r="J3848" s="5">
        <v>12900</v>
      </c>
      <c r="K3848" s="6">
        <f t="shared" si="156"/>
        <v>1.6296687808315715</v>
      </c>
    </row>
    <row r="3849" spans="1:11" hidden="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H3849" s="5">
        <v>5000</v>
      </c>
      <c r="I3849" s="6">
        <v>3009.6</v>
      </c>
      <c r="J3849" s="5">
        <v>22800</v>
      </c>
      <c r="K3849" s="6">
        <f t="shared" si="156"/>
        <v>1.661350345560872</v>
      </c>
    </row>
    <row r="3850" spans="1:11" hidden="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H3850" s="5">
        <v>3840</v>
      </c>
      <c r="I3850" s="6">
        <v>1386</v>
      </c>
      <c r="J3850" s="5">
        <v>10500</v>
      </c>
      <c r="K3850" s="6">
        <f t="shared" si="156"/>
        <v>2.7705627705627704</v>
      </c>
    </row>
    <row r="3851" spans="1:11" hidden="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H3851" s="5">
        <v>3660</v>
      </c>
      <c r="I3851" s="6">
        <v>1386</v>
      </c>
      <c r="J3851" s="5">
        <v>10500</v>
      </c>
      <c r="K3851" s="6">
        <f t="shared" si="156"/>
        <v>2.6406926406926408</v>
      </c>
    </row>
    <row r="3852" spans="1:11" hidden="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H3852" s="5">
        <v>1075</v>
      </c>
      <c r="I3852" s="6">
        <v>1029.5999999999999</v>
      </c>
      <c r="J3852" s="5">
        <v>7800</v>
      </c>
      <c r="K3852" s="6">
        <f t="shared" si="156"/>
        <v>1.0440947940947942</v>
      </c>
    </row>
    <row r="3853" spans="1:11" hidden="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H3853" s="5">
        <v>3375</v>
      </c>
      <c r="I3853" s="6">
        <v>2653.2</v>
      </c>
      <c r="J3853" s="5">
        <v>20100</v>
      </c>
      <c r="K3853" s="6">
        <f t="shared" si="156"/>
        <v>1.2720488466757125</v>
      </c>
    </row>
    <row r="3854" spans="1:11" hidden="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H3854" s="5">
        <v>4680</v>
      </c>
      <c r="I3854" s="6">
        <v>1768.8</v>
      </c>
      <c r="J3854" s="5">
        <v>13400</v>
      </c>
      <c r="K3854" s="6">
        <f t="shared" si="156"/>
        <v>2.6458616010854819</v>
      </c>
    </row>
    <row r="3855" spans="1:11" hidden="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H3855" s="5">
        <v>1125</v>
      </c>
      <c r="I3855" s="6">
        <v>1029.5999999999999</v>
      </c>
      <c r="J3855" s="5">
        <v>7800</v>
      </c>
      <c r="K3855" s="6">
        <f t="shared" si="156"/>
        <v>1.0926573426573427</v>
      </c>
    </row>
    <row r="3856" spans="1:11" hidden="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H3856" s="5">
        <v>2475</v>
      </c>
      <c r="I3856" s="6">
        <v>1346.4</v>
      </c>
      <c r="J3856" s="5">
        <v>10200</v>
      </c>
      <c r="K3856" s="6">
        <f t="shared" si="156"/>
        <v>1.838235294117647</v>
      </c>
    </row>
    <row r="3857" spans="1:11" hidden="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H3857" s="5">
        <v>420</v>
      </c>
      <c r="I3857" s="6">
        <v>440.18999062500001</v>
      </c>
      <c r="J3857" s="5">
        <v>3200</v>
      </c>
      <c r="K3857" s="6">
        <f t="shared" si="156"/>
        <v>0.95413346269792865</v>
      </c>
    </row>
    <row r="3858" spans="1:11" hidden="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H3858" s="5">
        <v>1575</v>
      </c>
      <c r="I3858" s="6">
        <v>880.38</v>
      </c>
      <c r="J3858" s="5">
        <v>6400</v>
      </c>
      <c r="K3858" s="6">
        <f t="shared" si="156"/>
        <v>1.7890002044571662</v>
      </c>
    </row>
    <row r="3859" spans="1:11" hidden="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H3859" s="5">
        <v>550</v>
      </c>
      <c r="I3859" s="6">
        <v>330.14249999999998</v>
      </c>
      <c r="J3859" s="5">
        <v>2400</v>
      </c>
      <c r="K3859" s="6">
        <f t="shared" si="156"/>
        <v>1.6659472803410649</v>
      </c>
    </row>
    <row r="3860" spans="1:11" hidden="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H3860" s="5">
        <v>2725</v>
      </c>
      <c r="I3860" s="6">
        <v>1650.7125000000001</v>
      </c>
      <c r="J3860" s="5">
        <v>12000</v>
      </c>
      <c r="K3860" s="6">
        <f t="shared" si="156"/>
        <v>1.650802305065237</v>
      </c>
    </row>
    <row r="3861" spans="1:11" hidden="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H3861" s="5">
        <v>2480</v>
      </c>
      <c r="I3861" s="6">
        <v>1287.0000000000018</v>
      </c>
      <c r="J3861" s="5">
        <v>9400</v>
      </c>
      <c r="K3861" s="6">
        <f t="shared" si="156"/>
        <v>1.9269619269619243</v>
      </c>
    </row>
    <row r="3862" spans="1:11" hidden="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H3862" s="5">
        <v>3350</v>
      </c>
      <c r="I3862" s="6">
        <v>2641.14</v>
      </c>
      <c r="J3862" s="5">
        <v>19200</v>
      </c>
      <c r="K3862" s="6">
        <f t="shared" si="156"/>
        <v>1.2683916793505836</v>
      </c>
    </row>
    <row r="3863" spans="1:11" hidden="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H3863" s="5">
        <v>1920</v>
      </c>
      <c r="I3863" s="6">
        <v>880.38</v>
      </c>
      <c r="J3863" s="5">
        <v>6400</v>
      </c>
      <c r="K3863" s="6">
        <f t="shared" si="156"/>
        <v>2.1808764397192122</v>
      </c>
    </row>
    <row r="3864" spans="1:11" hidden="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H3864" s="5">
        <v>1500</v>
      </c>
      <c r="I3864" s="6">
        <v>880.38</v>
      </c>
      <c r="J3864" s="5">
        <v>6400</v>
      </c>
      <c r="K3864" s="6">
        <f t="shared" si="156"/>
        <v>1.7038097185306345</v>
      </c>
    </row>
    <row r="3865" spans="1:11" hidden="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H3865" s="5">
        <v>400</v>
      </c>
      <c r="I3865" s="6">
        <v>1755.4</v>
      </c>
      <c r="J3865" s="5">
        <v>12800</v>
      </c>
      <c r="K3865" s="6">
        <f t="shared" si="156"/>
        <v>0.22786829212715048</v>
      </c>
    </row>
    <row r="3866" spans="1:11" hidden="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H3866" s="5">
        <v>5440</v>
      </c>
      <c r="I3866" s="6">
        <v>2413.6749943750001</v>
      </c>
      <c r="J3866" s="5">
        <v>17600</v>
      </c>
      <c r="K3866" s="6">
        <f t="shared" si="156"/>
        <v>2.2538245673828343</v>
      </c>
    </row>
    <row r="3867" spans="1:11" hidden="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H3867" s="5">
        <v>3080</v>
      </c>
      <c r="I3867" s="6">
        <v>1645.6875</v>
      </c>
      <c r="J3867" s="5">
        <v>12000</v>
      </c>
      <c r="K3867" s="6">
        <f t="shared" si="156"/>
        <v>1.8715582393376629</v>
      </c>
    </row>
    <row r="3868" spans="1:11" hidden="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H3868" s="5">
        <v>3000</v>
      </c>
      <c r="I3868" s="6">
        <v>726.32013058333712</v>
      </c>
      <c r="J3868" s="5">
        <v>5712</v>
      </c>
      <c r="K3868" s="6">
        <f t="shared" si="156"/>
        <v>4.1304100956014791</v>
      </c>
    </row>
    <row r="3869" spans="1:11" hidden="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H3869" s="5">
        <v>2160</v>
      </c>
      <c r="I3869" s="6">
        <v>924.39958333667107</v>
      </c>
      <c r="J3869" s="5">
        <v>6720</v>
      </c>
      <c r="K3869" s="6">
        <f t="shared" si="156"/>
        <v>2.3366518537398746</v>
      </c>
    </row>
    <row r="3870" spans="1:11" hidden="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H3870" s="5">
        <v>3560</v>
      </c>
      <c r="I3870" s="6">
        <v>1122.485208333339</v>
      </c>
      <c r="J3870" s="5">
        <v>8160</v>
      </c>
      <c r="K3870" s="6">
        <f t="shared" si="156"/>
        <v>3.1715339975712218</v>
      </c>
    </row>
    <row r="3871" spans="1:11" hidden="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H3871" s="5">
        <v>760</v>
      </c>
      <c r="I3871" s="6">
        <v>396.17125000000198</v>
      </c>
      <c r="J3871" s="5">
        <v>2880</v>
      </c>
      <c r="K3871" s="6">
        <f t="shared" si="156"/>
        <v>1.9183623243736041</v>
      </c>
    </row>
    <row r="3872" spans="1:11" hidden="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H3872" s="5">
        <v>4080</v>
      </c>
      <c r="I3872" s="6">
        <v>1535.9749999999999</v>
      </c>
      <c r="J3872" s="5">
        <v>11200</v>
      </c>
      <c r="K3872" s="6">
        <f t="shared" si="156"/>
        <v>2.6562932339393548</v>
      </c>
    </row>
    <row r="3873" spans="1:11" hidden="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H3873" s="5">
        <v>2080</v>
      </c>
      <c r="I3873" s="6">
        <v>1535.9749999999999</v>
      </c>
      <c r="J3873" s="5">
        <v>11200</v>
      </c>
      <c r="K3873" s="6">
        <f t="shared" si="156"/>
        <v>1.3541887074984946</v>
      </c>
    </row>
    <row r="3874" spans="1:11" hidden="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H3874" s="5">
        <v>1530</v>
      </c>
      <c r="I3874" s="6">
        <v>594.25687500000299</v>
      </c>
      <c r="J3874" s="5">
        <v>4320</v>
      </c>
      <c r="K3874" s="6">
        <f t="shared" si="156"/>
        <v>2.5746441721856264</v>
      </c>
    </row>
    <row r="3875" spans="1:11" hidden="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H3875" s="5">
        <v>4500</v>
      </c>
      <c r="I3875" s="6">
        <v>2575.1131250013459</v>
      </c>
      <c r="J3875" s="5">
        <v>18720</v>
      </c>
      <c r="K3875" s="6">
        <f t="shared" ref="K3875:K3937" si="158">+H3875/I3875</f>
        <v>1.7474960444689778</v>
      </c>
    </row>
    <row r="3876" spans="1:11" hidden="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H3876" s="5">
        <v>1380</v>
      </c>
      <c r="I3876" s="6">
        <v>528.37931032368999</v>
      </c>
      <c r="J3876" s="5">
        <v>4000</v>
      </c>
      <c r="K3876" s="6">
        <f t="shared" ref="K3876:K3882" si="159">IFERROR(H3876/I3876,"")</f>
        <v>2.6117600993017676</v>
      </c>
    </row>
    <row r="3877" spans="1:11" hidden="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H3877" s="5">
        <v>3000</v>
      </c>
      <c r="I3877" s="6">
        <v>2272.0310343918732</v>
      </c>
      <c r="J3877" s="5">
        <v>17200</v>
      </c>
      <c r="K3877" s="6">
        <f t="shared" si="159"/>
        <v>1.3204044991414361</v>
      </c>
    </row>
    <row r="3878" spans="1:11" hidden="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H3878" s="5">
        <v>1560</v>
      </c>
      <c r="I3878" s="6">
        <v>1162.4344827121224</v>
      </c>
      <c r="J3878" s="5">
        <v>8800</v>
      </c>
      <c r="K3878" s="6">
        <f t="shared" si="159"/>
        <v>1.3420111182182943</v>
      </c>
    </row>
    <row r="3879" spans="1:11" hidden="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H3879" s="5">
        <v>735</v>
      </c>
      <c r="I3879" s="6">
        <v>1162.4344827121181</v>
      </c>
      <c r="J3879" s="5">
        <v>8800</v>
      </c>
      <c r="K3879" s="6">
        <f t="shared" si="159"/>
        <v>0.63229369992977569</v>
      </c>
    </row>
    <row r="3880" spans="1:11" hidden="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H3880" s="5">
        <v>930</v>
      </c>
      <c r="I3880" s="6">
        <v>1056.7586206473827</v>
      </c>
      <c r="J3880" s="5">
        <v>8000</v>
      </c>
      <c r="K3880" s="6">
        <f t="shared" si="159"/>
        <v>0.88004959867776722</v>
      </c>
    </row>
    <row r="3881" spans="1:11" hidden="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H3881" s="5">
        <v>1530</v>
      </c>
      <c r="I3881" s="6">
        <v>1109.596551679753</v>
      </c>
      <c r="J3881" s="5">
        <v>8400</v>
      </c>
      <c r="K3881" s="6">
        <f t="shared" si="159"/>
        <v>1.3788795555319839</v>
      </c>
    </row>
    <row r="3882" spans="1:11" hidden="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H3882" s="5">
        <v>3075</v>
      </c>
      <c r="I3882" s="6">
        <v>1902.1655171652881</v>
      </c>
      <c r="J3882" s="5">
        <v>14400</v>
      </c>
      <c r="K3882" s="6">
        <f t="shared" si="159"/>
        <v>1.6165785638794119</v>
      </c>
    </row>
    <row r="3883" spans="1:11" hidden="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H3883" s="5">
        <v>1650</v>
      </c>
      <c r="I3883" s="6">
        <v>951.10714281909407</v>
      </c>
      <c r="J3883" s="5">
        <v>7200</v>
      </c>
      <c r="K3883" s="6">
        <f t="shared" si="158"/>
        <v>1.734820322250318</v>
      </c>
    </row>
    <row r="3884" spans="1:11" hidden="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H3884" s="5">
        <v>6000</v>
      </c>
      <c r="I3884" s="6">
        <v>3804.4285712763772</v>
      </c>
      <c r="J3884" s="5">
        <v>28800</v>
      </c>
      <c r="K3884" s="6">
        <f t="shared" si="158"/>
        <v>1.5771093838639252</v>
      </c>
    </row>
    <row r="3885" spans="1:11" hidden="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H3885" s="5">
        <v>4830</v>
      </c>
      <c r="I3885" s="6">
        <v>2641.8965516184649</v>
      </c>
      <c r="J3885" s="5">
        <v>20000</v>
      </c>
      <c r="K3885" s="6">
        <f t="shared" si="158"/>
        <v>1.8282320695112269</v>
      </c>
    </row>
    <row r="3886" spans="1:11" hidden="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H3886" s="5">
        <v>6450</v>
      </c>
      <c r="I3886" s="6">
        <v>3592.9793102010913</v>
      </c>
      <c r="J3886" s="5">
        <v>26044</v>
      </c>
      <c r="K3886" s="6">
        <f t="shared" si="158"/>
        <v>1.7951675874356781</v>
      </c>
    </row>
    <row r="3887" spans="1:11" hidden="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H3887" s="5">
        <v>2100</v>
      </c>
      <c r="I3887" s="6">
        <v>1268.1103447768633</v>
      </c>
      <c r="J3887" s="5">
        <v>9600</v>
      </c>
      <c r="K3887" s="6">
        <f t="shared" si="158"/>
        <v>1.6560073093398793</v>
      </c>
    </row>
    <row r="3888" spans="1:11" hidden="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H3888" s="5">
        <v>750</v>
      </c>
      <c r="I3888" s="6">
        <v>528.37931032368999</v>
      </c>
      <c r="J3888" s="5">
        <v>4000</v>
      </c>
      <c r="K3888" s="6">
        <f t="shared" si="158"/>
        <v>1.4194348365770475</v>
      </c>
    </row>
    <row r="3889" spans="1:11" hidden="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H3889" s="5">
        <v>1440</v>
      </c>
      <c r="I3889" s="6">
        <v>1162.4344827121247</v>
      </c>
      <c r="J3889" s="5">
        <v>8800</v>
      </c>
      <c r="K3889" s="6">
        <f t="shared" si="158"/>
        <v>1.2387794937399617</v>
      </c>
    </row>
    <row r="3890" spans="1:11" hidden="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H3890" s="5">
        <v>1920</v>
      </c>
      <c r="I3890" s="6">
        <v>528.3915024419166</v>
      </c>
      <c r="J3890" s="5">
        <v>4000</v>
      </c>
      <c r="K3890" s="6">
        <f t="shared" si="158"/>
        <v>3.6336693363289956</v>
      </c>
    </row>
    <row r="3891" spans="1:11" hidden="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H3891" s="5">
        <v>6180</v>
      </c>
      <c r="I3891" s="6">
        <v>3910.1071427007282</v>
      </c>
      <c r="J3891" s="5">
        <v>29260</v>
      </c>
      <c r="K3891" s="6">
        <f t="shared" si="158"/>
        <v>1.5805193500993036</v>
      </c>
    </row>
    <row r="3892" spans="1:11" hidden="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H3892" s="5">
        <v>3475</v>
      </c>
      <c r="I3892" s="6">
        <v>1902.2142856381945</v>
      </c>
      <c r="J3892" s="5">
        <v>14400</v>
      </c>
      <c r="K3892" s="6">
        <f t="shared" si="158"/>
        <v>1.8268183696423743</v>
      </c>
    </row>
    <row r="3893" spans="1:11" hidden="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H3893" s="5">
        <v>2070</v>
      </c>
      <c r="I3893" s="6">
        <v>1162.4642856677858</v>
      </c>
      <c r="J3893" s="5">
        <v>8800</v>
      </c>
      <c r="K3893" s="6">
        <f t="shared" si="158"/>
        <v>1.7806998679627166</v>
      </c>
    </row>
    <row r="3894" spans="1:11" hidden="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H3894" s="5">
        <v>540</v>
      </c>
      <c r="I3894" s="6">
        <v>317.03571427303262</v>
      </c>
      <c r="J3894" s="5">
        <v>2400</v>
      </c>
      <c r="K3894" s="6">
        <f t="shared" si="158"/>
        <v>1.7032781345730328</v>
      </c>
    </row>
    <row r="3895" spans="1:11" hidden="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H3895" s="5">
        <v>1250</v>
      </c>
      <c r="I3895" s="6">
        <v>951.10714281875391</v>
      </c>
      <c r="J3895" s="5">
        <v>7200</v>
      </c>
      <c r="K3895" s="6">
        <f t="shared" si="158"/>
        <v>1.3142578198870747</v>
      </c>
    </row>
    <row r="3896" spans="1:11" hidden="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H3896" s="5">
        <v>725</v>
      </c>
      <c r="I3896" s="6">
        <v>898.26785710660101</v>
      </c>
      <c r="J3896" s="5">
        <v>6800</v>
      </c>
      <c r="K3896" s="6">
        <f t="shared" si="158"/>
        <v>0.80710891997770928</v>
      </c>
    </row>
    <row r="3897" spans="1:11" hidden="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H3897" s="5">
        <v>1825</v>
      </c>
      <c r="I3897" s="6">
        <v>1162.4642856673661</v>
      </c>
      <c r="J3897" s="5">
        <v>8800</v>
      </c>
      <c r="K3897" s="6">
        <f t="shared" si="158"/>
        <v>1.5699407048469234</v>
      </c>
    </row>
    <row r="3898" spans="1:11" hidden="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H3898" s="5">
        <v>1680</v>
      </c>
      <c r="I3898" s="6">
        <v>686.91071425798896</v>
      </c>
      <c r="J3898" s="5">
        <v>5200</v>
      </c>
      <c r="K3898" s="6">
        <f t="shared" si="158"/>
        <v>2.4457327060544696</v>
      </c>
    </row>
    <row r="3899" spans="1:11" hidden="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H3899" s="5">
        <v>500</v>
      </c>
      <c r="I3899" s="6">
        <v>845.428571394752</v>
      </c>
      <c r="J3899" s="5">
        <v>6400</v>
      </c>
      <c r="K3899" s="6">
        <f t="shared" si="158"/>
        <v>0.59141601894897089</v>
      </c>
    </row>
    <row r="3900" spans="1:11" hidden="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H3900" s="5">
        <v>5850</v>
      </c>
      <c r="I3900" s="6">
        <v>3910.1071427007355</v>
      </c>
      <c r="J3900" s="5">
        <v>29600</v>
      </c>
      <c r="K3900" s="6">
        <f t="shared" si="158"/>
        <v>1.4961226857736099</v>
      </c>
    </row>
    <row r="3901" spans="1:11" hidden="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H3901" s="5">
        <v>5525</v>
      </c>
      <c r="I3901" s="6">
        <v>4015.7857141250793</v>
      </c>
      <c r="J3901" s="5">
        <v>30400</v>
      </c>
      <c r="K3901" s="6">
        <f t="shared" si="158"/>
        <v>1.3758204230286559</v>
      </c>
    </row>
    <row r="3902" spans="1:11" hidden="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H3902" s="5">
        <v>6270</v>
      </c>
      <c r="I3902" s="6">
        <v>2747.5751230427709</v>
      </c>
      <c r="J3902" s="5">
        <v>20800</v>
      </c>
      <c r="K3902" s="6">
        <f t="shared" si="158"/>
        <v>2.282012217761078</v>
      </c>
    </row>
    <row r="3903" spans="1:11" hidden="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H3903" s="5">
        <v>1350</v>
      </c>
      <c r="I3903" s="6">
        <v>1056.75862064738</v>
      </c>
      <c r="J3903" s="5">
        <v>9600</v>
      </c>
      <c r="K3903" s="6">
        <f t="shared" si="158"/>
        <v>1.2774913529193428</v>
      </c>
    </row>
    <row r="3904" spans="1:11" hidden="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H3904" s="5">
        <v>1200</v>
      </c>
      <c r="I3904" s="6">
        <v>369.86551722658481</v>
      </c>
      <c r="J3904" s="5">
        <v>3080</v>
      </c>
      <c r="K3904" s="6">
        <f t="shared" si="158"/>
        <v>3.244422483604664</v>
      </c>
    </row>
    <row r="3905" spans="1:11" hidden="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H3905" s="5">
        <v>9570</v>
      </c>
      <c r="I3905" s="6">
        <v>3592.9793102011122</v>
      </c>
      <c r="J3905" s="5">
        <v>27820</v>
      </c>
      <c r="K3905" s="6">
        <f t="shared" si="158"/>
        <v>2.6635277227533858</v>
      </c>
    </row>
    <row r="3906" spans="1:11" hidden="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H3906" s="5">
        <v>2100</v>
      </c>
      <c r="I3906" s="6">
        <v>1585.2222221588099</v>
      </c>
      <c r="J3906" s="5">
        <v>11490</v>
      </c>
      <c r="K3906" s="6">
        <f t="shared" si="158"/>
        <v>1.324735403431418</v>
      </c>
    </row>
    <row r="3907" spans="1:11" hidden="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H3907" s="5">
        <v>2430</v>
      </c>
      <c r="I3907" s="6">
        <v>2219.311111022334</v>
      </c>
      <c r="J3907" s="5">
        <v>16800</v>
      </c>
      <c r="K3907" s="6">
        <f t="shared" si="158"/>
        <v>1.0949343640606617</v>
      </c>
    </row>
    <row r="3908" spans="1:11" hidden="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H3908" s="5">
        <v>4050</v>
      </c>
      <c r="I3908" s="6">
        <v>2959.0814813631118</v>
      </c>
      <c r="J3908" s="5">
        <v>22400</v>
      </c>
      <c r="K3908" s="6">
        <f t="shared" si="158"/>
        <v>1.3686679550758274</v>
      </c>
    </row>
    <row r="3909" spans="1:11" hidden="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H3909" s="5">
        <v>0</v>
      </c>
      <c r="I3909" s="6">
        <v>1796.5851851133182</v>
      </c>
      <c r="J3909" s="5">
        <v>13600</v>
      </c>
      <c r="K3909" s="6">
        <f t="shared" si="158"/>
        <v>0</v>
      </c>
    </row>
    <row r="3910" spans="1:11" hidden="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H3910" s="5">
        <v>2875</v>
      </c>
      <c r="I3910" s="6">
        <v>1912.3542857142861</v>
      </c>
      <c r="J3910" s="5">
        <v>16320</v>
      </c>
      <c r="K3910" s="6">
        <f t="shared" si="158"/>
        <v>1.5033825172860973</v>
      </c>
    </row>
    <row r="3911" spans="1:11" hidden="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H3911" s="5">
        <v>5640</v>
      </c>
      <c r="I3911" s="6">
        <v>2812.2857142428579</v>
      </c>
      <c r="J3911" s="5">
        <v>20000</v>
      </c>
      <c r="K3911" s="6">
        <f t="shared" si="158"/>
        <v>2.0054861323073063</v>
      </c>
    </row>
    <row r="3912" spans="1:11" hidden="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H3912" s="5">
        <v>2825</v>
      </c>
      <c r="I3912" s="6">
        <v>1768.8376470588223</v>
      </c>
      <c r="J3912" s="5">
        <v>12800</v>
      </c>
      <c r="K3912" s="6">
        <f t="shared" si="158"/>
        <v>1.5970940039055237</v>
      </c>
    </row>
    <row r="3913" spans="1:11" hidden="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H3913" s="5">
        <v>6180</v>
      </c>
      <c r="I3913" s="6">
        <v>2263.7999998868127</v>
      </c>
      <c r="J3913" s="5">
        <v>17920</v>
      </c>
      <c r="K3913" s="6">
        <f t="shared" si="158"/>
        <v>2.7299231382228966</v>
      </c>
    </row>
    <row r="3914" spans="1:11" hidden="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H3914" s="5">
        <v>510</v>
      </c>
      <c r="I3914" s="6">
        <v>994.97117647058747</v>
      </c>
      <c r="J3914" s="5">
        <v>7200</v>
      </c>
      <c r="K3914" s="6">
        <f t="shared" si="158"/>
        <v>0.5125776626103864</v>
      </c>
    </row>
    <row r="3915" spans="1:11" hidden="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H3915" s="5">
        <v>1740</v>
      </c>
      <c r="I3915" s="6">
        <v>994.97117647058747</v>
      </c>
      <c r="J3915" s="5">
        <v>7920</v>
      </c>
      <c r="K3915" s="6">
        <f t="shared" si="158"/>
        <v>1.7487943783177888</v>
      </c>
    </row>
    <row r="3916" spans="1:11" hidden="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H3916" s="5">
        <v>3175</v>
      </c>
      <c r="I3916" s="6">
        <v>2263.7999998868127</v>
      </c>
      <c r="J3916" s="5">
        <v>17920</v>
      </c>
      <c r="K3916" s="6">
        <f t="shared" si="158"/>
        <v>1.4025090556404038</v>
      </c>
    </row>
    <row r="3917" spans="1:11" hidden="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H3917" s="5">
        <v>12150</v>
      </c>
      <c r="I3917" s="6">
        <v>6727.0499997982479</v>
      </c>
      <c r="J3917" s="5">
        <v>49210</v>
      </c>
      <c r="K3917" s="6">
        <f t="shared" si="158"/>
        <v>1.8061408790427294</v>
      </c>
    </row>
    <row r="3918" spans="1:11" hidden="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H3918" s="5">
        <v>870</v>
      </c>
      <c r="I3918" s="6">
        <v>994.95</v>
      </c>
      <c r="J3918" s="5">
        <v>7200</v>
      </c>
      <c r="K3918" s="6">
        <f t="shared" si="158"/>
        <v>0.87441579978893402</v>
      </c>
    </row>
    <row r="3919" spans="1:11" hidden="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H3919" s="5">
        <v>1050</v>
      </c>
      <c r="I3919" s="6">
        <v>831.6</v>
      </c>
      <c r="J3919" s="5">
        <v>6300</v>
      </c>
      <c r="K3919" s="6">
        <f t="shared" si="158"/>
        <v>1.2626262626262625</v>
      </c>
    </row>
    <row r="3920" spans="1:11" hidden="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H3920" s="5">
        <v>2900</v>
      </c>
      <c r="I3920" s="6">
        <v>1267.2</v>
      </c>
      <c r="J3920" s="5">
        <v>9600</v>
      </c>
      <c r="K3920" s="6">
        <f t="shared" si="158"/>
        <v>2.2885101010101008</v>
      </c>
    </row>
    <row r="3921" spans="1:11" hidden="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H3921" s="5">
        <v>360</v>
      </c>
      <c r="I3921" s="6">
        <v>316.8</v>
      </c>
      <c r="J3921" s="5">
        <v>2400</v>
      </c>
      <c r="K3921" s="6">
        <f t="shared" si="158"/>
        <v>1.1363636363636362</v>
      </c>
    </row>
    <row r="3922" spans="1:11" hidden="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H3922" s="5">
        <v>5220</v>
      </c>
      <c r="I3922" s="6">
        <v>3603.6</v>
      </c>
      <c r="J3922" s="5">
        <v>27296</v>
      </c>
      <c r="K3922" s="6">
        <f t="shared" si="158"/>
        <v>1.4485514485514486</v>
      </c>
    </row>
    <row r="3923" spans="1:11" hidden="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H3923" s="5">
        <v>4550</v>
      </c>
      <c r="I3923" s="6">
        <v>3682.8</v>
      </c>
      <c r="J3923" s="5">
        <v>27900</v>
      </c>
      <c r="K3923" s="6">
        <f t="shared" si="158"/>
        <v>1.235473009666558</v>
      </c>
    </row>
    <row r="3924" spans="1:11" hidden="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H3924" s="5">
        <v>4325</v>
      </c>
      <c r="I3924" s="6">
        <v>2376</v>
      </c>
      <c r="J3924" s="5">
        <v>18000</v>
      </c>
      <c r="K3924" s="6">
        <f t="shared" si="158"/>
        <v>1.8202861952861953</v>
      </c>
    </row>
    <row r="3925" spans="1:11" hidden="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H3925" s="5">
        <v>600</v>
      </c>
      <c r="I3925" s="6">
        <v>950.4</v>
      </c>
      <c r="J3925" s="5">
        <v>7200</v>
      </c>
      <c r="K3925" s="6">
        <f t="shared" si="158"/>
        <v>0.63131313131313138</v>
      </c>
    </row>
    <row r="3926" spans="1:11" hidden="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H3926" s="5">
        <v>2250</v>
      </c>
      <c r="I3926" s="6">
        <v>1346.4</v>
      </c>
      <c r="J3926" s="5">
        <v>10200</v>
      </c>
      <c r="K3926" s="6">
        <f t="shared" si="158"/>
        <v>1.6711229946524062</v>
      </c>
    </row>
    <row r="3927" spans="1:11" hidden="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H3927" s="5">
        <v>4200</v>
      </c>
      <c r="I3927" s="6">
        <v>2851.2</v>
      </c>
      <c r="J3927" s="5">
        <v>21600</v>
      </c>
      <c r="K3927" s="6">
        <f t="shared" si="158"/>
        <v>1.4730639730639732</v>
      </c>
    </row>
    <row r="3928" spans="1:11" hidden="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H3928" s="5">
        <v>2650</v>
      </c>
      <c r="I3928" s="6">
        <v>2138.4</v>
      </c>
      <c r="J3928" s="5">
        <v>16200</v>
      </c>
      <c r="K3928" s="6">
        <f t="shared" si="158"/>
        <v>1.2392442947998503</v>
      </c>
    </row>
    <row r="3929" spans="1:11" hidden="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H3929" s="5">
        <v>1300</v>
      </c>
      <c r="I3929" s="6">
        <v>963.6</v>
      </c>
      <c r="J3929" s="5">
        <v>7570</v>
      </c>
      <c r="K3929" s="6">
        <f t="shared" si="158"/>
        <v>1.349107513491075</v>
      </c>
    </row>
    <row r="3930" spans="1:11" hidden="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H3930" s="5">
        <v>3850</v>
      </c>
      <c r="I3930" s="6">
        <v>3168</v>
      </c>
      <c r="J3930" s="5">
        <v>24000</v>
      </c>
      <c r="K3930" s="6">
        <f t="shared" si="158"/>
        <v>1.2152777777777777</v>
      </c>
    </row>
    <row r="3931" spans="1:11" hidden="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H3931" s="5">
        <v>1740</v>
      </c>
      <c r="I3931" s="6">
        <v>1188</v>
      </c>
      <c r="J3931" s="5">
        <v>9000</v>
      </c>
      <c r="K3931" s="6">
        <f t="shared" si="158"/>
        <v>1.4646464646464648</v>
      </c>
    </row>
    <row r="3932" spans="1:11" hidden="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H3932" s="5">
        <v>3650</v>
      </c>
      <c r="I3932" s="6">
        <v>2732.4</v>
      </c>
      <c r="J3932" s="5">
        <v>20700</v>
      </c>
      <c r="K3932" s="6">
        <f t="shared" si="158"/>
        <v>1.335821987995901</v>
      </c>
    </row>
    <row r="3933" spans="1:11" hidden="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H3933" s="5">
        <v>780</v>
      </c>
      <c r="I3933" s="6">
        <v>673.2</v>
      </c>
      <c r="J3933" s="5">
        <v>5100</v>
      </c>
      <c r="K3933" s="6">
        <f t="shared" si="158"/>
        <v>1.1586452762923349</v>
      </c>
    </row>
    <row r="3934" spans="1:11" hidden="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H3934" s="5">
        <v>2350</v>
      </c>
      <c r="I3934" s="6">
        <v>1100.4749999999999</v>
      </c>
      <c r="J3934" s="5">
        <v>8000</v>
      </c>
      <c r="K3934" s="6">
        <f t="shared" si="158"/>
        <v>2.1354415138917289</v>
      </c>
    </row>
    <row r="3935" spans="1:11" hidden="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H3935" s="5">
        <v>1400</v>
      </c>
      <c r="I3935" s="6">
        <v>1287</v>
      </c>
      <c r="J3935" s="5">
        <v>9400</v>
      </c>
      <c r="K3935" s="6">
        <f t="shared" si="158"/>
        <v>1.0878010878010878</v>
      </c>
    </row>
    <row r="3936" spans="1:11" hidden="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H3936" s="5">
        <v>8250</v>
      </c>
      <c r="I3936" s="6">
        <v>2641.14</v>
      </c>
      <c r="J3936" s="5">
        <v>19200</v>
      </c>
      <c r="K3936" s="6">
        <f t="shared" si="158"/>
        <v>3.1236511506394966</v>
      </c>
    </row>
    <row r="3937" spans="1:11" hidden="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H3937" s="5">
        <v>3960</v>
      </c>
      <c r="I3937" s="6">
        <v>2641.14</v>
      </c>
      <c r="J3937" s="5">
        <v>19200</v>
      </c>
      <c r="K3937" s="6">
        <f t="shared" si="158"/>
        <v>1.4993525523069584</v>
      </c>
    </row>
    <row r="3938" spans="1:11" hidden="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H3938" s="5">
        <v>4080</v>
      </c>
      <c r="I3938" s="6">
        <v>1430.6174906250001</v>
      </c>
      <c r="J3938" s="5">
        <v>10400</v>
      </c>
      <c r="K3938" s="6">
        <f t="shared" ref="K3938:K4001" si="161">+H3938/I3938</f>
        <v>2.8519153629371279</v>
      </c>
    </row>
    <row r="3939" spans="1:11" hidden="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H3939" s="5">
        <v>3450</v>
      </c>
      <c r="I3939" s="6">
        <v>1430.6175000000001</v>
      </c>
      <c r="J3939" s="5">
        <v>10400</v>
      </c>
      <c r="K3939" s="6">
        <f t="shared" si="161"/>
        <v>2.4115460631510519</v>
      </c>
    </row>
    <row r="3940" spans="1:11" hidden="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H3940" s="5">
        <v>5010</v>
      </c>
      <c r="I3940" s="6">
        <v>2861.2350000000001</v>
      </c>
      <c r="J3940" s="5">
        <v>20800</v>
      </c>
      <c r="K3940" s="6">
        <f t="shared" si="161"/>
        <v>1.7509921415053289</v>
      </c>
    </row>
    <row r="3941" spans="1:11" hidden="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H3941" s="5">
        <v>4225</v>
      </c>
      <c r="I3941" s="6">
        <v>3071.9505625000002</v>
      </c>
      <c r="J3941" s="5">
        <v>22400</v>
      </c>
      <c r="K3941" s="6">
        <f t="shared" si="161"/>
        <v>1.3753476542153824</v>
      </c>
    </row>
    <row r="3942" spans="1:11" hidden="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H3942" s="5">
        <v>2975</v>
      </c>
      <c r="I3942" s="6">
        <v>1097.125</v>
      </c>
      <c r="J3942" s="5">
        <v>8000</v>
      </c>
      <c r="K3942" s="6">
        <f t="shared" si="161"/>
        <v>2.7116326763130911</v>
      </c>
    </row>
    <row r="3943" spans="1:11" hidden="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H3943" s="5">
        <v>4425</v>
      </c>
      <c r="I3943" s="6">
        <v>2852.5250000000001</v>
      </c>
      <c r="J3943" s="5">
        <v>20800</v>
      </c>
      <c r="K3943" s="6">
        <f t="shared" si="161"/>
        <v>1.5512572194809862</v>
      </c>
    </row>
    <row r="3944" spans="1:11" hidden="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H3944" s="5">
        <v>4050</v>
      </c>
      <c r="I3944" s="6">
        <v>2633.1</v>
      </c>
      <c r="J3944" s="5">
        <v>19200</v>
      </c>
      <c r="K3944" s="6">
        <f t="shared" si="161"/>
        <v>1.538110971858266</v>
      </c>
    </row>
    <row r="3945" spans="1:11" hidden="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H3945" s="5">
        <v>4830</v>
      </c>
      <c r="I3945" s="6">
        <v>2633.1</v>
      </c>
      <c r="J3945" s="5">
        <v>19200</v>
      </c>
      <c r="K3945" s="6">
        <f t="shared" si="161"/>
        <v>1.8343397516235616</v>
      </c>
    </row>
    <row r="3946" spans="1:11" hidden="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H3946" s="5">
        <v>5910</v>
      </c>
      <c r="I3946" s="6">
        <v>2852.5250000000001</v>
      </c>
      <c r="J3946" s="5">
        <v>20800</v>
      </c>
      <c r="K3946" s="6">
        <f t="shared" si="161"/>
        <v>2.0718486253407069</v>
      </c>
    </row>
    <row r="3947" spans="1:11" hidden="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H3947" s="5">
        <v>6060</v>
      </c>
      <c r="I3947" s="6">
        <v>2852.5250000000001</v>
      </c>
      <c r="J3947" s="5">
        <v>20800</v>
      </c>
      <c r="K3947" s="6">
        <f t="shared" si="161"/>
        <v>2.1244336158315877</v>
      </c>
    </row>
    <row r="3948" spans="1:11" hidden="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H3948" s="5">
        <v>2800</v>
      </c>
      <c r="I3948" s="6">
        <v>3071.95</v>
      </c>
      <c r="J3948" s="5">
        <v>22400</v>
      </c>
      <c r="K3948" s="6">
        <f t="shared" si="161"/>
        <v>0.91147316850860205</v>
      </c>
    </row>
    <row r="3949" spans="1:11" hidden="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H3949" s="5">
        <v>1900</v>
      </c>
      <c r="I3949" s="6">
        <v>1645.6875</v>
      </c>
      <c r="J3949" s="5">
        <v>12000</v>
      </c>
      <c r="K3949" s="6">
        <f t="shared" si="161"/>
        <v>1.1545326801108959</v>
      </c>
    </row>
    <row r="3950" spans="1:11" hidden="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H3950" s="5">
        <v>7800</v>
      </c>
      <c r="I3950" s="6">
        <v>4121.4642855494085</v>
      </c>
      <c r="J3950" s="5">
        <v>31200</v>
      </c>
      <c r="K3950" s="6">
        <f t="shared" si="161"/>
        <v>1.8925312606367102</v>
      </c>
    </row>
    <row r="3951" spans="1:11" hidden="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H3951" s="5">
        <v>1200</v>
      </c>
      <c r="I3951" s="6">
        <v>1056.7857142434418</v>
      </c>
      <c r="J3951" s="5">
        <v>8000</v>
      </c>
      <c r="K3951" s="6">
        <f t="shared" si="161"/>
        <v>1.1355187563820222</v>
      </c>
    </row>
    <row r="3952" spans="1:11" hidden="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H3952" s="5">
        <v>7170</v>
      </c>
      <c r="I3952" s="6">
        <v>2641.9642856076484</v>
      </c>
      <c r="J3952" s="5">
        <v>19996</v>
      </c>
      <c r="K3952" s="6">
        <f t="shared" si="161"/>
        <v>2.7138898277540151</v>
      </c>
    </row>
    <row r="3953" spans="1:11" hidden="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H3953" s="5">
        <v>1040</v>
      </c>
      <c r="I3953" s="6">
        <v>528.39285712153003</v>
      </c>
      <c r="J3953" s="5">
        <v>4000</v>
      </c>
      <c r="K3953" s="6">
        <f t="shared" si="161"/>
        <v>1.9682325110628827</v>
      </c>
    </row>
    <row r="3954" spans="1:11" hidden="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H3954" s="5">
        <v>3240</v>
      </c>
      <c r="I3954" s="6">
        <v>1902.2142856375078</v>
      </c>
      <c r="J3954" s="5">
        <v>14400</v>
      </c>
      <c r="K3954" s="6">
        <f t="shared" si="161"/>
        <v>1.7032781345736487</v>
      </c>
    </row>
    <row r="3955" spans="1:11" hidden="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H3955" s="5">
        <v>860</v>
      </c>
      <c r="I3955" s="6">
        <v>634.05652706821195</v>
      </c>
      <c r="J3955" s="5">
        <v>4800</v>
      </c>
      <c r="K3955" s="6">
        <f t="shared" si="161"/>
        <v>1.3563459459624505</v>
      </c>
    </row>
    <row r="3956" spans="1:11" hidden="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H3956" s="5">
        <v>9920</v>
      </c>
      <c r="I3956" s="6">
        <v>4487.9999999102474</v>
      </c>
      <c r="J3956" s="5">
        <v>31740</v>
      </c>
      <c r="K3956" s="6">
        <f t="shared" si="161"/>
        <v>2.2103386809711192</v>
      </c>
    </row>
    <row r="3957" spans="1:11" hidden="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H3957" s="5">
        <v>2450</v>
      </c>
      <c r="I3957" s="6">
        <v>1702.8</v>
      </c>
      <c r="J3957" s="5">
        <v>12900</v>
      </c>
      <c r="K3957" s="6">
        <f t="shared" si="161"/>
        <v>1.4388066713648109</v>
      </c>
    </row>
    <row r="3958" spans="1:11" hidden="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H3958" s="5">
        <v>4360</v>
      </c>
      <c r="I3958" s="6">
        <v>3009.6</v>
      </c>
      <c r="J3958" s="5">
        <v>22800</v>
      </c>
      <c r="K3958" s="6">
        <f t="shared" si="161"/>
        <v>1.4486975013290804</v>
      </c>
    </row>
    <row r="3959" spans="1:11" hidden="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H3959" s="5">
        <v>3540</v>
      </c>
      <c r="I3959" s="6">
        <v>1386</v>
      </c>
      <c r="J3959" s="5">
        <v>10500</v>
      </c>
      <c r="K3959" s="6">
        <f t="shared" si="161"/>
        <v>2.554112554112554</v>
      </c>
    </row>
    <row r="3960" spans="1:11" hidden="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H3960" s="5">
        <v>3870</v>
      </c>
      <c r="I3960" s="6">
        <v>1386</v>
      </c>
      <c r="J3960" s="5">
        <v>10500</v>
      </c>
      <c r="K3960" s="6">
        <f t="shared" si="161"/>
        <v>2.7922077922077921</v>
      </c>
    </row>
    <row r="3961" spans="1:11" hidden="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H3961" s="5">
        <v>1150</v>
      </c>
      <c r="I3961" s="6">
        <v>1029.5999999999999</v>
      </c>
      <c r="J3961" s="5">
        <v>7800</v>
      </c>
      <c r="K3961" s="6">
        <f t="shared" si="161"/>
        <v>1.1169386169386171</v>
      </c>
    </row>
    <row r="3962" spans="1:11" hidden="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H3962" s="5">
        <v>3625</v>
      </c>
      <c r="I3962" s="6">
        <v>2653.2</v>
      </c>
      <c r="J3962" s="5">
        <v>20100</v>
      </c>
      <c r="K3962" s="6">
        <f t="shared" si="161"/>
        <v>1.3662746871702096</v>
      </c>
    </row>
    <row r="3963" spans="1:11" hidden="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H3963" s="5">
        <v>3960</v>
      </c>
      <c r="I3963" s="6">
        <v>1768.8</v>
      </c>
      <c r="J3963" s="5">
        <v>13400</v>
      </c>
      <c r="K3963" s="6">
        <f t="shared" si="161"/>
        <v>2.238805970149254</v>
      </c>
    </row>
    <row r="3964" spans="1:11" hidden="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H3964" s="5">
        <v>930</v>
      </c>
      <c r="I3964" s="6">
        <v>1029.5999999999999</v>
      </c>
      <c r="J3964" s="5">
        <v>7800</v>
      </c>
      <c r="K3964" s="6">
        <f t="shared" si="161"/>
        <v>0.90326340326340337</v>
      </c>
    </row>
    <row r="3965" spans="1:11" hidden="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H3965" s="5">
        <v>2675</v>
      </c>
      <c r="I3965" s="6">
        <v>1346.4</v>
      </c>
      <c r="J3965" s="5">
        <v>10200</v>
      </c>
      <c r="K3965" s="6">
        <f t="shared" si="161"/>
        <v>1.986779560308972</v>
      </c>
    </row>
    <row r="3966" spans="1:11" hidden="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H3966" s="5">
        <v>270</v>
      </c>
      <c r="I3966" s="6">
        <v>440.18999062500001</v>
      </c>
      <c r="J3966" s="5">
        <v>3200</v>
      </c>
      <c r="K3966" s="6">
        <f t="shared" si="161"/>
        <v>0.61337151173438265</v>
      </c>
    </row>
    <row r="3967" spans="1:11" hidden="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H3967" s="5">
        <v>1325</v>
      </c>
      <c r="I3967" s="6">
        <v>880.38</v>
      </c>
      <c r="J3967" s="5">
        <v>6400</v>
      </c>
      <c r="K3967" s="6">
        <f t="shared" si="161"/>
        <v>1.5050319180353937</v>
      </c>
    </row>
    <row r="3968" spans="1:11" hidden="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H3968" s="5">
        <v>800</v>
      </c>
      <c r="I3968" s="6">
        <v>330.14249999999998</v>
      </c>
      <c r="J3968" s="5">
        <v>2400</v>
      </c>
      <c r="K3968" s="6">
        <f t="shared" si="161"/>
        <v>2.423196044132458</v>
      </c>
    </row>
    <row r="3969" spans="1:11" hidden="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H3969" s="5">
        <v>2700</v>
      </c>
      <c r="I3969" s="6">
        <v>1650.7125000000001</v>
      </c>
      <c r="J3969" s="5">
        <v>12000</v>
      </c>
      <c r="K3969" s="6">
        <f t="shared" si="161"/>
        <v>1.635657329789409</v>
      </c>
    </row>
    <row r="3970" spans="1:11" hidden="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H3970" s="5">
        <v>1820</v>
      </c>
      <c r="I3970" s="6">
        <v>1287.0000000000018</v>
      </c>
      <c r="J3970" s="5">
        <v>9400</v>
      </c>
      <c r="K3970" s="6">
        <f t="shared" si="161"/>
        <v>1.4141414141414121</v>
      </c>
    </row>
    <row r="3971" spans="1:11" hidden="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H3971" s="5">
        <v>3875</v>
      </c>
      <c r="I3971" s="6">
        <v>2641.14</v>
      </c>
      <c r="J3971" s="5">
        <v>19200</v>
      </c>
      <c r="K3971" s="6">
        <f t="shared" si="161"/>
        <v>1.4671694798458241</v>
      </c>
    </row>
    <row r="3972" spans="1:11" hidden="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H3972" s="5">
        <v>1950</v>
      </c>
      <c r="I3972" s="6">
        <v>880.38</v>
      </c>
      <c r="J3972" s="5">
        <v>6400</v>
      </c>
      <c r="K3972" s="6">
        <f t="shared" si="161"/>
        <v>2.2149526340898249</v>
      </c>
    </row>
    <row r="3973" spans="1:11" hidden="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H3973" s="5">
        <v>1500</v>
      </c>
      <c r="I3973" s="6">
        <v>880.38</v>
      </c>
      <c r="J3973" s="5">
        <v>6400</v>
      </c>
      <c r="K3973" s="6">
        <f t="shared" si="161"/>
        <v>1.7038097185306345</v>
      </c>
    </row>
    <row r="3974" spans="1:11" hidden="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H3974" s="5">
        <v>340</v>
      </c>
      <c r="I3974" s="6">
        <v>1755.4</v>
      </c>
      <c r="J3974" s="5">
        <v>12800</v>
      </c>
      <c r="K3974" s="6">
        <f t="shared" si="161"/>
        <v>0.19368804830807793</v>
      </c>
    </row>
    <row r="3975" spans="1:11" hidden="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H3975" s="5">
        <v>4060</v>
      </c>
      <c r="I3975" s="6">
        <v>2413.6749943750001</v>
      </c>
      <c r="J3975" s="5">
        <v>17600</v>
      </c>
      <c r="K3975" s="6">
        <f t="shared" si="161"/>
        <v>1.6820823058041008</v>
      </c>
    </row>
    <row r="3976" spans="1:11" hidden="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H3976" s="5">
        <v>3180</v>
      </c>
      <c r="I3976" s="6">
        <v>1645.6875</v>
      </c>
      <c r="J3976" s="5">
        <v>12000</v>
      </c>
      <c r="K3976" s="6">
        <f t="shared" si="161"/>
        <v>1.9323231172382362</v>
      </c>
    </row>
    <row r="3977" spans="1:11" hidden="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H3977" s="5">
        <v>2300</v>
      </c>
      <c r="I3977" s="6">
        <v>726.32013058333712</v>
      </c>
      <c r="J3977" s="5">
        <v>5712</v>
      </c>
      <c r="K3977" s="6">
        <f t="shared" si="161"/>
        <v>3.1666477399611339</v>
      </c>
    </row>
    <row r="3978" spans="1:11" hidden="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H3978" s="5">
        <v>2100</v>
      </c>
      <c r="I3978" s="6">
        <v>924.39958333667107</v>
      </c>
      <c r="J3978" s="5">
        <v>6720</v>
      </c>
      <c r="K3978" s="6">
        <f t="shared" si="161"/>
        <v>2.2717448578026556</v>
      </c>
    </row>
    <row r="3979" spans="1:11" hidden="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H3979" s="5">
        <v>2300</v>
      </c>
      <c r="I3979" s="6">
        <v>1122.485208333339</v>
      </c>
      <c r="J3979" s="5">
        <v>8160</v>
      </c>
      <c r="K3979" s="6">
        <f t="shared" si="161"/>
        <v>2.0490247737117442</v>
      </c>
    </row>
    <row r="3980" spans="1:11" hidden="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H3980" s="5">
        <v>580</v>
      </c>
      <c r="I3980" s="6">
        <v>396.17125000000198</v>
      </c>
      <c r="J3980" s="5">
        <v>2880</v>
      </c>
      <c r="K3980" s="6">
        <f t="shared" si="161"/>
        <v>1.4640133528114347</v>
      </c>
    </row>
    <row r="3981" spans="1:11" hidden="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H3981" s="5">
        <v>2970</v>
      </c>
      <c r="I3981" s="6">
        <v>1535.9749999999999</v>
      </c>
      <c r="J3981" s="5">
        <v>11200</v>
      </c>
      <c r="K3981" s="6">
        <f t="shared" si="161"/>
        <v>1.9336252217646772</v>
      </c>
    </row>
    <row r="3982" spans="1:11" hidden="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H3982" s="5">
        <v>1800</v>
      </c>
      <c r="I3982" s="6">
        <v>1535.9749999999999</v>
      </c>
      <c r="J3982" s="5">
        <v>11200</v>
      </c>
      <c r="K3982" s="6">
        <f t="shared" si="161"/>
        <v>1.171894073796774</v>
      </c>
    </row>
    <row r="3983" spans="1:11" hidden="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H3983" s="5">
        <v>1350</v>
      </c>
      <c r="I3983" s="6">
        <v>594.25687500000299</v>
      </c>
      <c r="J3983" s="5">
        <v>4320</v>
      </c>
      <c r="K3983" s="6">
        <f t="shared" si="161"/>
        <v>2.2717448578108468</v>
      </c>
    </row>
    <row r="3984" spans="1:11" hidden="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H3984" s="5">
        <v>4500</v>
      </c>
      <c r="I3984" s="6">
        <v>2575.1131250013459</v>
      </c>
      <c r="J3984" s="5">
        <v>18720</v>
      </c>
      <c r="K3984" s="6">
        <f t="shared" si="161"/>
        <v>1.7474960444689778</v>
      </c>
    </row>
    <row r="3985" spans="1:11" hidden="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H3985" s="5">
        <v>1320</v>
      </c>
      <c r="I3985" s="6">
        <v>528.37931032368999</v>
      </c>
      <c r="J3985" s="5">
        <v>4000</v>
      </c>
      <c r="K3985" s="6">
        <f t="shared" ref="K3985:K3991" si="162">IFERROR(H3985/I3985,"")</f>
        <v>2.4982053123756036</v>
      </c>
    </row>
    <row r="3986" spans="1:11" hidden="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H3986" s="5">
        <v>3950</v>
      </c>
      <c r="I3986" s="6">
        <v>2272.0310343918732</v>
      </c>
      <c r="J3986" s="5">
        <v>17200</v>
      </c>
      <c r="K3986" s="6">
        <f t="shared" si="162"/>
        <v>1.7385325905362241</v>
      </c>
    </row>
    <row r="3987" spans="1:11" hidden="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H3987" s="5">
        <v>2160</v>
      </c>
      <c r="I3987" s="6">
        <v>1162.4344827121224</v>
      </c>
      <c r="J3987" s="5">
        <v>8800</v>
      </c>
      <c r="K3987" s="6">
        <f t="shared" si="162"/>
        <v>1.8581692406099461</v>
      </c>
    </row>
    <row r="3988" spans="1:11" hidden="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H3988" s="5">
        <v>770</v>
      </c>
      <c r="I3988" s="6">
        <v>1162.4344827121181</v>
      </c>
      <c r="J3988" s="5">
        <v>8800</v>
      </c>
      <c r="K3988" s="6">
        <f t="shared" si="162"/>
        <v>0.66240292373595544</v>
      </c>
    </row>
    <row r="3989" spans="1:11" hidden="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H3989" s="5">
        <v>870</v>
      </c>
      <c r="I3989" s="6">
        <v>1056.7586206473827</v>
      </c>
      <c r="J3989" s="5">
        <v>8000</v>
      </c>
      <c r="K3989" s="6">
        <f t="shared" si="162"/>
        <v>0.82327220521468547</v>
      </c>
    </row>
    <row r="3990" spans="1:11" hidden="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H3990" s="5">
        <v>1290</v>
      </c>
      <c r="I3990" s="6">
        <v>1109.596551679753</v>
      </c>
      <c r="J3990" s="5">
        <v>8400</v>
      </c>
      <c r="K3990" s="6">
        <f t="shared" si="162"/>
        <v>1.1625847232916728</v>
      </c>
    </row>
    <row r="3991" spans="1:11" hidden="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H3991" s="5">
        <v>3450</v>
      </c>
      <c r="I3991" s="6">
        <v>1902.1655171652881</v>
      </c>
      <c r="J3991" s="5">
        <v>14400</v>
      </c>
      <c r="K3991" s="6">
        <f t="shared" si="162"/>
        <v>1.8137222911817792</v>
      </c>
    </row>
    <row r="3992" spans="1:11" hidden="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H3992" s="5">
        <v>3025</v>
      </c>
      <c r="I3992" s="6">
        <v>951.10714281909407</v>
      </c>
      <c r="J3992" s="5">
        <v>7200</v>
      </c>
      <c r="K3992" s="6">
        <f t="shared" si="161"/>
        <v>3.180503924125583</v>
      </c>
    </row>
    <row r="3993" spans="1:11" hidden="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H3993" s="5">
        <v>6540</v>
      </c>
      <c r="I3993" s="6">
        <v>3804.4285712763772</v>
      </c>
      <c r="J3993" s="5">
        <v>28800</v>
      </c>
      <c r="K3993" s="6">
        <f t="shared" si="161"/>
        <v>1.7190492284116783</v>
      </c>
    </row>
    <row r="3994" spans="1:11" hidden="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H3994" s="5">
        <v>4110</v>
      </c>
      <c r="I3994" s="6">
        <v>2641.8965516184649</v>
      </c>
      <c r="J3994" s="5">
        <v>20000</v>
      </c>
      <c r="K3994" s="6">
        <f t="shared" si="161"/>
        <v>1.5557005808884354</v>
      </c>
    </row>
    <row r="3995" spans="1:11" hidden="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H3995" s="5">
        <v>5910</v>
      </c>
      <c r="I3995" s="6">
        <v>3592.9793102010913</v>
      </c>
      <c r="J3995" s="5">
        <v>26044</v>
      </c>
      <c r="K3995" s="6">
        <f t="shared" si="161"/>
        <v>1.6448744870922261</v>
      </c>
    </row>
    <row r="3996" spans="1:11" hidden="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H3996" s="5">
        <v>2275</v>
      </c>
      <c r="I3996" s="6">
        <v>1268.1103447768633</v>
      </c>
      <c r="J3996" s="5">
        <v>9600</v>
      </c>
      <c r="K3996" s="6">
        <f t="shared" si="161"/>
        <v>1.7940079184515358</v>
      </c>
    </row>
    <row r="3997" spans="1:11" hidden="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H3997" s="5">
        <v>900</v>
      </c>
      <c r="I3997" s="6">
        <v>528.37931032368999</v>
      </c>
      <c r="J3997" s="5">
        <v>4000</v>
      </c>
      <c r="K3997" s="6">
        <f t="shared" si="161"/>
        <v>1.7033218038924571</v>
      </c>
    </row>
    <row r="3998" spans="1:11" hidden="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H3998" s="5">
        <v>1320</v>
      </c>
      <c r="I3998" s="6">
        <v>1162.4344827121247</v>
      </c>
      <c r="J3998" s="5">
        <v>8800</v>
      </c>
      <c r="K3998" s="6">
        <f t="shared" si="161"/>
        <v>1.1355478692616314</v>
      </c>
    </row>
    <row r="3999" spans="1:11" hidden="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H3999" s="5">
        <v>1200</v>
      </c>
      <c r="I3999" s="6">
        <v>528.3915024419166</v>
      </c>
      <c r="J3999" s="5">
        <v>4000</v>
      </c>
      <c r="K3999" s="6">
        <f t="shared" si="161"/>
        <v>2.2710433352056225</v>
      </c>
    </row>
    <row r="4000" spans="1:11" hidden="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H4000" s="5">
        <v>5700</v>
      </c>
      <c r="I4000" s="6">
        <v>3910.1071427007282</v>
      </c>
      <c r="J4000" s="5">
        <v>29260</v>
      </c>
      <c r="K4000" s="6">
        <f t="shared" si="161"/>
        <v>1.4577605656255712</v>
      </c>
    </row>
    <row r="4001" spans="1:11" hidden="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H4001" s="5">
        <v>3250</v>
      </c>
      <c r="I4001" s="6">
        <v>1902.2142856381945</v>
      </c>
      <c r="J4001" s="5">
        <v>14400</v>
      </c>
      <c r="K4001" s="6">
        <f t="shared" si="161"/>
        <v>1.7085351658525803</v>
      </c>
    </row>
    <row r="4002" spans="1:11" hidden="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H4002" s="5">
        <v>2370</v>
      </c>
      <c r="I4002" s="6">
        <v>1162.4642856677858</v>
      </c>
      <c r="J4002" s="5">
        <v>8800</v>
      </c>
      <c r="K4002" s="6">
        <f t="shared" ref="K4002:K4064" si="164">+H4002/I4002</f>
        <v>2.0387723125949946</v>
      </c>
    </row>
    <row r="4003" spans="1:11" hidden="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H4003" s="5">
        <v>390</v>
      </c>
      <c r="I4003" s="6">
        <v>317.03571427303262</v>
      </c>
      <c r="J4003" s="5">
        <v>2400</v>
      </c>
      <c r="K4003" s="6">
        <f t="shared" si="164"/>
        <v>1.230145319413857</v>
      </c>
    </row>
    <row r="4004" spans="1:11" hidden="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H4004" s="5">
        <v>1450</v>
      </c>
      <c r="I4004" s="6">
        <v>951.10714281875391</v>
      </c>
      <c r="J4004" s="5">
        <v>7200</v>
      </c>
      <c r="K4004" s="6">
        <f t="shared" si="164"/>
        <v>1.5245390710690065</v>
      </c>
    </row>
    <row r="4005" spans="1:11" hidden="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H4005" s="5">
        <v>825</v>
      </c>
      <c r="I4005" s="6">
        <v>898.26785710660101</v>
      </c>
      <c r="J4005" s="5">
        <v>6800</v>
      </c>
      <c r="K4005" s="6">
        <f t="shared" si="164"/>
        <v>0.91843428825049678</v>
      </c>
    </row>
    <row r="4006" spans="1:11" hidden="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H4006" s="5">
        <v>1875</v>
      </c>
      <c r="I4006" s="6">
        <v>1162.4642856673661</v>
      </c>
      <c r="J4006" s="5">
        <v>8800</v>
      </c>
      <c r="K4006" s="6">
        <f t="shared" si="164"/>
        <v>1.6129527789523186</v>
      </c>
    </row>
    <row r="4007" spans="1:11" hidden="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H4007" s="5">
        <v>1560</v>
      </c>
      <c r="I4007" s="6">
        <v>686.91071425798896</v>
      </c>
      <c r="J4007" s="5">
        <v>5200</v>
      </c>
      <c r="K4007" s="6">
        <f t="shared" si="164"/>
        <v>2.271037512764865</v>
      </c>
    </row>
    <row r="4008" spans="1:11" hidden="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H4008" s="5">
        <v>500</v>
      </c>
      <c r="I4008" s="6">
        <v>845.428571394752</v>
      </c>
      <c r="J4008" s="5">
        <v>6400</v>
      </c>
      <c r="K4008" s="6">
        <f t="shared" si="164"/>
        <v>0.59141601894897089</v>
      </c>
    </row>
    <row r="4009" spans="1:11" hidden="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H4009" s="5">
        <v>4650</v>
      </c>
      <c r="I4009" s="6">
        <v>3910.1071427007355</v>
      </c>
      <c r="J4009" s="5">
        <v>29600</v>
      </c>
      <c r="K4009" s="6">
        <f t="shared" si="164"/>
        <v>1.1892257245892797</v>
      </c>
    </row>
    <row r="4010" spans="1:11" hidden="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H4010" s="5">
        <v>5475</v>
      </c>
      <c r="I4010" s="6">
        <v>4015.7857141250793</v>
      </c>
      <c r="J4010" s="5">
        <v>30400</v>
      </c>
      <c r="K4010" s="6">
        <f t="shared" si="164"/>
        <v>1.3633695594718356</v>
      </c>
    </row>
    <row r="4011" spans="1:11" hidden="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H4011" s="5">
        <v>4470</v>
      </c>
      <c r="I4011" s="6">
        <v>2747.5751230427709</v>
      </c>
      <c r="J4011" s="5">
        <v>20800</v>
      </c>
      <c r="K4011" s="6">
        <f t="shared" si="164"/>
        <v>1.6268890930449789</v>
      </c>
    </row>
    <row r="4012" spans="1:11" hidden="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H4012" s="5">
        <v>1200</v>
      </c>
      <c r="I4012" s="6">
        <v>1056.75862064738</v>
      </c>
      <c r="J4012" s="5">
        <v>9600</v>
      </c>
      <c r="K4012" s="6">
        <f t="shared" si="164"/>
        <v>1.1355478692616381</v>
      </c>
    </row>
    <row r="4013" spans="1:11" hidden="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H4013" s="5">
        <v>825</v>
      </c>
      <c r="I4013" s="6">
        <v>369.86551722658481</v>
      </c>
      <c r="J4013" s="5">
        <v>3080</v>
      </c>
      <c r="K4013" s="6">
        <f t="shared" si="164"/>
        <v>2.2305404574782064</v>
      </c>
    </row>
    <row r="4014" spans="1:11" hidden="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H4014" s="5">
        <v>8340</v>
      </c>
      <c r="I4014" s="6">
        <v>3592.9793102011122</v>
      </c>
      <c r="J4014" s="5">
        <v>27820</v>
      </c>
      <c r="K4014" s="6">
        <f t="shared" si="164"/>
        <v>2.3211934386377471</v>
      </c>
    </row>
    <row r="4015" spans="1:11" hidden="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H4015" s="5">
        <v>2070</v>
      </c>
      <c r="I4015" s="6">
        <v>1585.2222221588099</v>
      </c>
      <c r="J4015" s="5">
        <v>11490</v>
      </c>
      <c r="K4015" s="6">
        <f t="shared" si="164"/>
        <v>1.3058106119538264</v>
      </c>
    </row>
    <row r="4016" spans="1:11" hidden="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H4016" s="5">
        <v>2070</v>
      </c>
      <c r="I4016" s="6">
        <v>2219.311111022334</v>
      </c>
      <c r="J4016" s="5">
        <v>16800</v>
      </c>
      <c r="K4016" s="6">
        <f t="shared" si="164"/>
        <v>0.93272186568130444</v>
      </c>
    </row>
    <row r="4017" spans="1:11" hidden="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H4017" s="5">
        <v>3150</v>
      </c>
      <c r="I4017" s="6">
        <v>2959.0814813631118</v>
      </c>
      <c r="J4017" s="5">
        <v>22400</v>
      </c>
      <c r="K4017" s="6">
        <f t="shared" si="164"/>
        <v>1.0645195206145324</v>
      </c>
    </row>
    <row r="4018" spans="1:11" hidden="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H4018" s="5">
        <v>0</v>
      </c>
      <c r="I4018" s="6">
        <v>1796.5851851133182</v>
      </c>
      <c r="J4018" s="5">
        <v>13600</v>
      </c>
      <c r="K4018" s="6">
        <f t="shared" si="164"/>
        <v>0</v>
      </c>
    </row>
    <row r="4019" spans="1:11" hidden="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H4019" s="5">
        <v>1875</v>
      </c>
      <c r="I4019" s="6">
        <v>1912.3542857142861</v>
      </c>
      <c r="J4019" s="5">
        <v>16320</v>
      </c>
      <c r="K4019" s="6">
        <f t="shared" si="164"/>
        <v>0.98046685909962872</v>
      </c>
    </row>
    <row r="4020" spans="1:11" hidden="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H4020" s="5">
        <v>4860</v>
      </c>
      <c r="I4020" s="6">
        <v>2812.2857142428579</v>
      </c>
      <c r="J4020" s="5">
        <v>20000</v>
      </c>
      <c r="K4020" s="6">
        <f t="shared" si="164"/>
        <v>1.7281316672009768</v>
      </c>
    </row>
    <row r="4021" spans="1:11" hidden="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H4021" s="5">
        <v>1700</v>
      </c>
      <c r="I4021" s="6">
        <v>1768.8376470588223</v>
      </c>
      <c r="J4021" s="5">
        <v>12800</v>
      </c>
      <c r="K4021" s="6">
        <f t="shared" si="164"/>
        <v>0.96108311739447438</v>
      </c>
    </row>
    <row r="4022" spans="1:11" hidden="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H4022" s="5">
        <v>4420</v>
      </c>
      <c r="I4022" s="6">
        <v>2263.7999998868127</v>
      </c>
      <c r="J4022" s="5">
        <v>17920</v>
      </c>
      <c r="K4022" s="6">
        <f t="shared" si="164"/>
        <v>1.952469299505696</v>
      </c>
    </row>
    <row r="4023" spans="1:11" hidden="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H4023" s="5">
        <v>900</v>
      </c>
      <c r="I4023" s="6">
        <v>994.97117647058747</v>
      </c>
      <c r="J4023" s="5">
        <v>7200</v>
      </c>
      <c r="K4023" s="6">
        <f t="shared" si="164"/>
        <v>0.90454881637127005</v>
      </c>
    </row>
    <row r="4024" spans="1:11" hidden="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H4024" s="5">
        <v>1200</v>
      </c>
      <c r="I4024" s="6">
        <v>994.97117647058747</v>
      </c>
      <c r="J4024" s="5">
        <v>7920</v>
      </c>
      <c r="K4024" s="6">
        <f t="shared" si="164"/>
        <v>1.2060650884950268</v>
      </c>
    </row>
    <row r="4025" spans="1:11" hidden="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H4025" s="5">
        <v>2775</v>
      </c>
      <c r="I4025" s="6">
        <v>2263.7999998868127</v>
      </c>
      <c r="J4025" s="5">
        <v>17920</v>
      </c>
      <c r="K4025" s="6">
        <f t="shared" si="164"/>
        <v>1.2258150013864948</v>
      </c>
    </row>
    <row r="4026" spans="1:11" hidden="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H4026" s="5">
        <v>9450</v>
      </c>
      <c r="I4026" s="6">
        <v>6727.0499997982479</v>
      </c>
      <c r="J4026" s="5">
        <v>49210</v>
      </c>
      <c r="K4026" s="6">
        <f t="shared" si="164"/>
        <v>1.4047762392554561</v>
      </c>
    </row>
    <row r="4027" spans="1:11" hidden="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H4027" s="5">
        <v>630</v>
      </c>
      <c r="I4027" s="6">
        <v>994.95</v>
      </c>
      <c r="J4027" s="5">
        <v>7200</v>
      </c>
      <c r="K4027" s="6">
        <f t="shared" si="164"/>
        <v>0.63319764812302126</v>
      </c>
    </row>
    <row r="4028" spans="1:11" hidden="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H4028" s="5">
        <v>925</v>
      </c>
      <c r="I4028" s="6">
        <v>831.6</v>
      </c>
      <c r="J4028" s="5">
        <v>6300</v>
      </c>
      <c r="K4028" s="6">
        <f t="shared" si="164"/>
        <v>1.1123136123136124</v>
      </c>
    </row>
    <row r="4029" spans="1:11" hidden="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H4029" s="5">
        <v>2500</v>
      </c>
      <c r="I4029" s="6">
        <v>1267.2</v>
      </c>
      <c r="J4029" s="5">
        <v>9600</v>
      </c>
      <c r="K4029" s="6">
        <f t="shared" si="164"/>
        <v>1.9728535353535352</v>
      </c>
    </row>
    <row r="4030" spans="1:11" hidden="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H4030" s="5">
        <v>180</v>
      </c>
      <c r="I4030" s="6">
        <v>316.8</v>
      </c>
      <c r="J4030" s="5">
        <v>2400</v>
      </c>
      <c r="K4030" s="6">
        <f t="shared" si="164"/>
        <v>0.56818181818181812</v>
      </c>
    </row>
    <row r="4031" spans="1:11" hidden="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H4031" s="5">
        <v>4890</v>
      </c>
      <c r="I4031" s="6">
        <v>3603.6</v>
      </c>
      <c r="J4031" s="5">
        <v>27296</v>
      </c>
      <c r="K4031" s="6">
        <f t="shared" si="164"/>
        <v>1.3569763569763571</v>
      </c>
    </row>
    <row r="4032" spans="1:11" hidden="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H4032" s="5">
        <v>4475</v>
      </c>
      <c r="I4032" s="6">
        <v>3682.8</v>
      </c>
      <c r="J4032" s="5">
        <v>27900</v>
      </c>
      <c r="K4032" s="6">
        <f t="shared" si="164"/>
        <v>1.2151080699467796</v>
      </c>
    </row>
    <row r="4033" spans="1:11" hidden="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H4033" s="5">
        <v>3100</v>
      </c>
      <c r="I4033" s="6">
        <v>2376</v>
      </c>
      <c r="J4033" s="5">
        <v>18000</v>
      </c>
      <c r="K4033" s="6">
        <f t="shared" si="164"/>
        <v>1.3047138047138047</v>
      </c>
    </row>
    <row r="4034" spans="1:11" hidden="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H4034" s="5">
        <v>750</v>
      </c>
      <c r="I4034" s="6">
        <v>950.4</v>
      </c>
      <c r="J4034" s="5">
        <v>7200</v>
      </c>
      <c r="K4034" s="6">
        <f t="shared" si="164"/>
        <v>0.78914141414141414</v>
      </c>
    </row>
    <row r="4035" spans="1:11" hidden="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H4035" s="5">
        <v>1525</v>
      </c>
      <c r="I4035" s="6">
        <v>1346.4</v>
      </c>
      <c r="J4035" s="5">
        <v>10200</v>
      </c>
      <c r="K4035" s="6">
        <f t="shared" si="164"/>
        <v>1.1326500297088531</v>
      </c>
    </row>
    <row r="4036" spans="1:11" hidden="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H4036" s="5">
        <v>3930</v>
      </c>
      <c r="I4036" s="6">
        <v>2851.2</v>
      </c>
      <c r="J4036" s="5">
        <v>21600</v>
      </c>
      <c r="K4036" s="6">
        <f t="shared" si="164"/>
        <v>1.3783670033670035</v>
      </c>
    </row>
    <row r="4037" spans="1:11" hidden="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H4037" s="5">
        <v>2825</v>
      </c>
      <c r="I4037" s="6">
        <v>2138.4</v>
      </c>
      <c r="J4037" s="5">
        <v>16200</v>
      </c>
      <c r="K4037" s="6">
        <f t="shared" si="164"/>
        <v>1.3210811821922932</v>
      </c>
    </row>
    <row r="4038" spans="1:11" hidden="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H4038" s="5">
        <v>2025</v>
      </c>
      <c r="I4038" s="6">
        <v>963.6</v>
      </c>
      <c r="J4038" s="5">
        <v>7570</v>
      </c>
      <c r="K4038" s="6">
        <f t="shared" si="164"/>
        <v>2.1014943960149437</v>
      </c>
    </row>
    <row r="4039" spans="1:11" hidden="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H4039" s="5">
        <v>6050</v>
      </c>
      <c r="I4039" s="6">
        <v>3168</v>
      </c>
      <c r="J4039" s="5">
        <v>24000</v>
      </c>
      <c r="K4039" s="6">
        <f t="shared" si="164"/>
        <v>1.9097222222222223</v>
      </c>
    </row>
    <row r="4040" spans="1:11" hidden="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H4040" s="5">
        <v>1560</v>
      </c>
      <c r="I4040" s="6">
        <v>1188</v>
      </c>
      <c r="J4040" s="5">
        <v>9000</v>
      </c>
      <c r="K4040" s="6">
        <f t="shared" si="164"/>
        <v>1.3131313131313131</v>
      </c>
    </row>
    <row r="4041" spans="1:11" hidden="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H4041" s="5">
        <v>5375</v>
      </c>
      <c r="I4041" s="6">
        <v>2732.4</v>
      </c>
      <c r="J4041" s="5">
        <v>20700</v>
      </c>
      <c r="K4041" s="6">
        <f t="shared" si="164"/>
        <v>1.9671351193090323</v>
      </c>
    </row>
    <row r="4042" spans="1:11" hidden="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H4042" s="5">
        <v>1080</v>
      </c>
      <c r="I4042" s="6">
        <v>673.2</v>
      </c>
      <c r="J4042" s="5">
        <v>5100</v>
      </c>
      <c r="K4042" s="6">
        <f t="shared" si="164"/>
        <v>1.6042780748663101</v>
      </c>
    </row>
    <row r="4043" spans="1:11" hidden="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H4043" s="5">
        <v>2025</v>
      </c>
      <c r="I4043" s="6">
        <v>1100.4749999999999</v>
      </c>
      <c r="J4043" s="5">
        <v>8000</v>
      </c>
      <c r="K4043" s="6">
        <f t="shared" si="164"/>
        <v>1.8401144960130855</v>
      </c>
    </row>
    <row r="4044" spans="1:11" hidden="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H4044" s="5">
        <v>1575</v>
      </c>
      <c r="I4044" s="6">
        <v>1287</v>
      </c>
      <c r="J4044" s="5">
        <v>9400</v>
      </c>
      <c r="K4044" s="6">
        <f t="shared" si="164"/>
        <v>1.2237762237762237</v>
      </c>
    </row>
    <row r="4045" spans="1:11" hidden="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H4045" s="5">
        <v>7230</v>
      </c>
      <c r="I4045" s="6">
        <v>2641.14</v>
      </c>
      <c r="J4045" s="5">
        <v>19200</v>
      </c>
      <c r="K4045" s="6">
        <f t="shared" si="164"/>
        <v>2.7374542811058862</v>
      </c>
    </row>
    <row r="4046" spans="1:11" hidden="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H4046" s="5">
        <v>3420</v>
      </c>
      <c r="I4046" s="6">
        <v>2641.14</v>
      </c>
      <c r="J4046" s="5">
        <v>19200</v>
      </c>
      <c r="K4046" s="6">
        <f t="shared" si="164"/>
        <v>1.2948953860832824</v>
      </c>
    </row>
    <row r="4047" spans="1:11" hidden="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H4047" s="5">
        <v>3810</v>
      </c>
      <c r="I4047" s="6">
        <v>1430.6174906250001</v>
      </c>
      <c r="J4047" s="5">
        <v>10400</v>
      </c>
      <c r="K4047" s="6">
        <f t="shared" si="164"/>
        <v>2.6631856698015826</v>
      </c>
    </row>
    <row r="4048" spans="1:11" hidden="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H4048" s="5">
        <v>4200</v>
      </c>
      <c r="I4048" s="6">
        <v>1430.6175000000001</v>
      </c>
      <c r="J4048" s="5">
        <v>10400</v>
      </c>
      <c r="K4048" s="6">
        <f t="shared" si="164"/>
        <v>2.9357952073143241</v>
      </c>
    </row>
    <row r="4049" spans="1:11" hidden="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H4049" s="5">
        <v>5460</v>
      </c>
      <c r="I4049" s="6">
        <v>2861.2350000000001</v>
      </c>
      <c r="J4049" s="5">
        <v>20800</v>
      </c>
      <c r="K4049" s="6">
        <f t="shared" si="164"/>
        <v>1.9082668847543105</v>
      </c>
    </row>
    <row r="4050" spans="1:11" hidden="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H4050" s="5">
        <v>5850</v>
      </c>
      <c r="I4050" s="6">
        <v>3071.9505625000002</v>
      </c>
      <c r="J4050" s="5">
        <v>22400</v>
      </c>
      <c r="K4050" s="6">
        <f t="shared" si="164"/>
        <v>1.9043275212212989</v>
      </c>
    </row>
    <row r="4051" spans="1:11" hidden="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H4051" s="5">
        <v>3750</v>
      </c>
      <c r="I4051" s="6">
        <v>1097.125</v>
      </c>
      <c r="J4051" s="5">
        <v>8000</v>
      </c>
      <c r="K4051" s="6">
        <f t="shared" si="164"/>
        <v>3.4180243819072578</v>
      </c>
    </row>
    <row r="4052" spans="1:11" hidden="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H4052" s="5">
        <v>4450</v>
      </c>
      <c r="I4052" s="6">
        <v>2852.5250000000001</v>
      </c>
      <c r="J4052" s="5">
        <v>20800</v>
      </c>
      <c r="K4052" s="6">
        <f t="shared" si="164"/>
        <v>1.5600213845627995</v>
      </c>
    </row>
    <row r="4053" spans="1:11" hidden="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H4053" s="5">
        <v>3570</v>
      </c>
      <c r="I4053" s="6">
        <v>2633.1</v>
      </c>
      <c r="J4053" s="5">
        <v>19200</v>
      </c>
      <c r="K4053" s="6">
        <f t="shared" si="164"/>
        <v>1.3558163381565456</v>
      </c>
    </row>
    <row r="4054" spans="1:11" hidden="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H4054" s="5">
        <v>3720</v>
      </c>
      <c r="I4054" s="6">
        <v>2633.1</v>
      </c>
      <c r="J4054" s="5">
        <v>19200</v>
      </c>
      <c r="K4054" s="6">
        <f t="shared" si="164"/>
        <v>1.4127834111883333</v>
      </c>
    </row>
    <row r="4055" spans="1:11" hidden="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H4055" s="5">
        <v>7380</v>
      </c>
      <c r="I4055" s="6">
        <v>2852.5250000000001</v>
      </c>
      <c r="J4055" s="5">
        <v>20800</v>
      </c>
      <c r="K4055" s="6">
        <f t="shared" si="164"/>
        <v>2.5871815321513396</v>
      </c>
    </row>
    <row r="4056" spans="1:11" hidden="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H4056" s="5">
        <v>5310</v>
      </c>
      <c r="I4056" s="6">
        <v>2852.5250000000001</v>
      </c>
      <c r="J4056" s="5">
        <v>20800</v>
      </c>
      <c r="K4056" s="6">
        <f t="shared" si="164"/>
        <v>1.8615086633771833</v>
      </c>
    </row>
    <row r="4057" spans="1:11" hidden="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H4057" s="5">
        <v>2300</v>
      </c>
      <c r="I4057" s="6">
        <v>3071.95</v>
      </c>
      <c r="J4057" s="5">
        <v>22400</v>
      </c>
      <c r="K4057" s="6">
        <f t="shared" si="164"/>
        <v>0.74871010270349458</v>
      </c>
    </row>
    <row r="4058" spans="1:11" hidden="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H4058" s="5">
        <v>1950</v>
      </c>
      <c r="I4058" s="6">
        <v>1645.6875</v>
      </c>
      <c r="J4058" s="5">
        <v>12000</v>
      </c>
      <c r="K4058" s="6">
        <f t="shared" si="164"/>
        <v>1.1849151190611826</v>
      </c>
    </row>
    <row r="4059" spans="1:11" hidden="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H4059" s="5">
        <v>7720</v>
      </c>
      <c r="I4059" s="6">
        <v>4121.4642855494085</v>
      </c>
      <c r="J4059" s="5">
        <v>31200</v>
      </c>
      <c r="K4059" s="6">
        <f t="shared" si="164"/>
        <v>1.8731206836045389</v>
      </c>
    </row>
    <row r="4060" spans="1:11" hidden="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H4060" s="5">
        <v>1395</v>
      </c>
      <c r="I4060" s="6">
        <v>1056.7857142434418</v>
      </c>
      <c r="J4060" s="5">
        <v>8000</v>
      </c>
      <c r="K4060" s="6">
        <f t="shared" si="164"/>
        <v>1.3200405542941007</v>
      </c>
    </row>
    <row r="4061" spans="1:11" hidden="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H4061" s="5">
        <v>6000</v>
      </c>
      <c r="I4061" s="6">
        <v>2641.9642856076484</v>
      </c>
      <c r="J4061" s="5">
        <v>19996</v>
      </c>
      <c r="K4061" s="6">
        <f t="shared" si="164"/>
        <v>2.2710375127648659</v>
      </c>
    </row>
    <row r="4062" spans="1:11" hidden="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H4062" s="5">
        <v>1280</v>
      </c>
      <c r="I4062" s="6">
        <v>528.39285712153003</v>
      </c>
      <c r="J4062" s="5">
        <v>4000</v>
      </c>
      <c r="K4062" s="6">
        <f t="shared" si="164"/>
        <v>2.4224400136158555</v>
      </c>
    </row>
    <row r="4063" spans="1:11" hidden="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H4063" s="5">
        <v>2850</v>
      </c>
      <c r="I4063" s="6">
        <v>1902.2142856375078</v>
      </c>
      <c r="J4063" s="5">
        <v>14400</v>
      </c>
      <c r="K4063" s="6">
        <f t="shared" si="164"/>
        <v>1.498253914671265</v>
      </c>
    </row>
    <row r="4064" spans="1:11" hidden="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H4064" s="5">
        <v>840</v>
      </c>
      <c r="I4064" s="6">
        <v>634.05652706821195</v>
      </c>
      <c r="J4064" s="5">
        <v>4800</v>
      </c>
      <c r="K4064" s="6">
        <f t="shared" si="164"/>
        <v>1.3248030169865794</v>
      </c>
    </row>
    <row r="4065" spans="1:11" hidden="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H4065" s="5">
        <v>9780</v>
      </c>
      <c r="I4065" s="6">
        <v>4487.9999999102474</v>
      </c>
      <c r="J4065" s="5">
        <v>31740</v>
      </c>
      <c r="K4065" s="6">
        <f t="shared" ref="K4065:K4127" si="166">+H4065/I4065</f>
        <v>2.1791443850703174</v>
      </c>
    </row>
    <row r="4066" spans="1:11" hidden="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H4066" s="5">
        <v>2275</v>
      </c>
      <c r="I4066" s="6">
        <v>1702.8</v>
      </c>
      <c r="J4066" s="5">
        <v>12900</v>
      </c>
      <c r="K4066" s="6">
        <f t="shared" si="166"/>
        <v>1.3360347662673244</v>
      </c>
    </row>
    <row r="4067" spans="1:11" hidden="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H4067" s="5">
        <v>4720</v>
      </c>
      <c r="I4067" s="6">
        <v>3009.6</v>
      </c>
      <c r="J4067" s="5">
        <v>22800</v>
      </c>
      <c r="K4067" s="6">
        <f t="shared" si="166"/>
        <v>1.568314726209463</v>
      </c>
    </row>
    <row r="4068" spans="1:11" hidden="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H4068" s="5">
        <v>3570</v>
      </c>
      <c r="I4068" s="6">
        <v>1386</v>
      </c>
      <c r="J4068" s="5">
        <v>10500</v>
      </c>
      <c r="K4068" s="6">
        <f t="shared" si="166"/>
        <v>2.5757575757575757</v>
      </c>
    </row>
    <row r="4069" spans="1:11" hidden="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H4069" s="5">
        <v>3300</v>
      </c>
      <c r="I4069" s="6">
        <v>1386</v>
      </c>
      <c r="J4069" s="5">
        <v>10500</v>
      </c>
      <c r="K4069" s="6">
        <f t="shared" si="166"/>
        <v>2.3809523809523809</v>
      </c>
    </row>
    <row r="4070" spans="1:11" hidden="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H4070" s="5">
        <v>1225</v>
      </c>
      <c r="I4070" s="6">
        <v>1029.5999999999999</v>
      </c>
      <c r="J4070" s="5">
        <v>7800</v>
      </c>
      <c r="K4070" s="6">
        <f t="shared" si="166"/>
        <v>1.1897824397824399</v>
      </c>
    </row>
    <row r="4071" spans="1:11" hidden="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H4071" s="5">
        <v>3075</v>
      </c>
      <c r="I4071" s="6">
        <v>2653.2</v>
      </c>
      <c r="J4071" s="5">
        <v>20100</v>
      </c>
      <c r="K4071" s="6">
        <f t="shared" si="166"/>
        <v>1.1589778380823157</v>
      </c>
    </row>
    <row r="4072" spans="1:11" hidden="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H4072" s="5">
        <v>3780</v>
      </c>
      <c r="I4072" s="6">
        <v>1768.8</v>
      </c>
      <c r="J4072" s="5">
        <v>13400</v>
      </c>
      <c r="K4072" s="6">
        <f t="shared" si="166"/>
        <v>2.1370420624151967</v>
      </c>
    </row>
    <row r="4073" spans="1:11" hidden="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H4073" s="5">
        <v>885</v>
      </c>
      <c r="I4073" s="6">
        <v>1029.5999999999999</v>
      </c>
      <c r="J4073" s="5">
        <v>7800</v>
      </c>
      <c r="K4073" s="6">
        <f t="shared" si="166"/>
        <v>0.85955710955710962</v>
      </c>
    </row>
    <row r="4074" spans="1:11" hidden="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H4074" s="5">
        <v>2200</v>
      </c>
      <c r="I4074" s="6">
        <v>1346.4</v>
      </c>
      <c r="J4074" s="5">
        <v>10200</v>
      </c>
      <c r="K4074" s="6">
        <f t="shared" si="166"/>
        <v>1.6339869281045751</v>
      </c>
    </row>
    <row r="4075" spans="1:11" hidden="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H4075" s="5">
        <v>360</v>
      </c>
      <c r="I4075" s="6">
        <v>440.18999062500001</v>
      </c>
      <c r="J4075" s="5">
        <v>3200</v>
      </c>
      <c r="K4075" s="6">
        <f t="shared" si="166"/>
        <v>0.81782868231251027</v>
      </c>
    </row>
    <row r="4076" spans="1:11" hidden="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H4076" s="5">
        <v>1575</v>
      </c>
      <c r="I4076" s="6">
        <v>880.38</v>
      </c>
      <c r="J4076" s="5">
        <v>6400</v>
      </c>
      <c r="K4076" s="6">
        <f t="shared" si="166"/>
        <v>1.7890002044571662</v>
      </c>
    </row>
    <row r="4077" spans="1:11" hidden="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H4077" s="5">
        <v>575</v>
      </c>
      <c r="I4077" s="6">
        <v>330.14249999999998</v>
      </c>
      <c r="J4077" s="5">
        <v>2400</v>
      </c>
      <c r="K4077" s="6">
        <f t="shared" si="166"/>
        <v>1.7416721567202043</v>
      </c>
    </row>
    <row r="4078" spans="1:11" hidden="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H4078" s="5">
        <v>2350</v>
      </c>
      <c r="I4078" s="6">
        <v>1650.7125000000001</v>
      </c>
      <c r="J4078" s="5">
        <v>12000</v>
      </c>
      <c r="K4078" s="6">
        <f t="shared" si="166"/>
        <v>1.423627675927819</v>
      </c>
    </row>
    <row r="4079" spans="1:11" hidden="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H4079" s="5">
        <v>2100</v>
      </c>
      <c r="I4079" s="6">
        <v>1287.0000000000018</v>
      </c>
      <c r="J4079" s="5">
        <v>9400</v>
      </c>
      <c r="K4079" s="6">
        <f t="shared" si="166"/>
        <v>1.6317016317016293</v>
      </c>
    </row>
    <row r="4080" spans="1:11" hidden="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H4080" s="5">
        <v>2875</v>
      </c>
      <c r="I4080" s="6">
        <v>2641.14</v>
      </c>
      <c r="J4080" s="5">
        <v>19200</v>
      </c>
      <c r="K4080" s="6">
        <f t="shared" si="166"/>
        <v>1.0885450979501277</v>
      </c>
    </row>
    <row r="4081" spans="1:11" hidden="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H4081" s="5">
        <v>2340</v>
      </c>
      <c r="I4081" s="6">
        <v>880.38</v>
      </c>
      <c r="J4081" s="5">
        <v>6400</v>
      </c>
      <c r="K4081" s="6">
        <f t="shared" si="166"/>
        <v>2.6579431609077897</v>
      </c>
    </row>
    <row r="4082" spans="1:11" hidden="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H4082" s="5">
        <v>1800</v>
      </c>
      <c r="I4082" s="6">
        <v>880.38</v>
      </c>
      <c r="J4082" s="5">
        <v>6400</v>
      </c>
      <c r="K4082" s="6">
        <f t="shared" si="166"/>
        <v>2.0445716622367613</v>
      </c>
    </row>
    <row r="4083" spans="1:11" hidden="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H4083" s="5">
        <v>690</v>
      </c>
      <c r="I4083" s="6">
        <v>1755.4</v>
      </c>
      <c r="J4083" s="5">
        <v>12800</v>
      </c>
      <c r="K4083" s="6">
        <f t="shared" si="166"/>
        <v>0.39307280391933458</v>
      </c>
    </row>
    <row r="4084" spans="1:11" hidden="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H4084" s="5">
        <v>3780</v>
      </c>
      <c r="I4084" s="6">
        <v>2413.6749943750001</v>
      </c>
      <c r="J4084" s="5">
        <v>17600</v>
      </c>
      <c r="K4084" s="6">
        <f t="shared" si="166"/>
        <v>1.566076629541749</v>
      </c>
    </row>
    <row r="4085" spans="1:11" hidden="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H4085" s="5">
        <v>1700</v>
      </c>
      <c r="I4085" s="6">
        <v>1645.6875</v>
      </c>
      <c r="J4085" s="5">
        <v>12000</v>
      </c>
      <c r="K4085" s="6">
        <f t="shared" si="166"/>
        <v>1.0330029243097489</v>
      </c>
    </row>
    <row r="4086" spans="1:11" hidden="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H4086" s="5">
        <v>2240</v>
      </c>
      <c r="I4086" s="6">
        <v>726.32013058333712</v>
      </c>
      <c r="J4086" s="5">
        <v>5712</v>
      </c>
      <c r="K4086" s="6">
        <f t="shared" si="166"/>
        <v>3.0840395380491041</v>
      </c>
    </row>
    <row r="4087" spans="1:11" hidden="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H4087" s="5">
        <v>2250</v>
      </c>
      <c r="I4087" s="6">
        <v>924.39958333667107</v>
      </c>
      <c r="J4087" s="5">
        <v>6720</v>
      </c>
      <c r="K4087" s="6">
        <f t="shared" si="166"/>
        <v>2.4340123476457025</v>
      </c>
    </row>
    <row r="4088" spans="1:11" hidden="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H4088" s="5">
        <v>2860</v>
      </c>
      <c r="I4088" s="6">
        <v>1122.485208333339</v>
      </c>
      <c r="J4088" s="5">
        <v>8160</v>
      </c>
      <c r="K4088" s="6">
        <f t="shared" si="166"/>
        <v>2.5479177620937343</v>
      </c>
    </row>
    <row r="4089" spans="1:11" hidden="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H4089" s="5">
        <v>420</v>
      </c>
      <c r="I4089" s="6">
        <v>396.17125000000198</v>
      </c>
      <c r="J4089" s="5">
        <v>2880</v>
      </c>
      <c r="K4089" s="6">
        <f t="shared" si="166"/>
        <v>1.0601476003117285</v>
      </c>
    </row>
    <row r="4090" spans="1:11" hidden="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H4090" s="5">
        <v>2550</v>
      </c>
      <c r="I4090" s="6">
        <v>1535.9749999999999</v>
      </c>
      <c r="J4090" s="5">
        <v>11200</v>
      </c>
      <c r="K4090" s="6">
        <f t="shared" si="166"/>
        <v>1.6601832712120967</v>
      </c>
    </row>
    <row r="4091" spans="1:11" hidden="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H4091" s="5">
        <v>2160</v>
      </c>
      <c r="I4091" s="6">
        <v>1535.9749999999999</v>
      </c>
      <c r="J4091" s="5">
        <v>11200</v>
      </c>
      <c r="K4091" s="6">
        <f t="shared" si="166"/>
        <v>1.4062728885561289</v>
      </c>
    </row>
    <row r="4092" spans="1:11" hidden="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H4092" s="5">
        <v>1590</v>
      </c>
      <c r="I4092" s="6">
        <v>594.25687500000299</v>
      </c>
      <c r="J4092" s="5">
        <v>4320</v>
      </c>
      <c r="K4092" s="6">
        <f t="shared" si="166"/>
        <v>2.675610610310553</v>
      </c>
    </row>
    <row r="4093" spans="1:11" hidden="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H4093" s="5">
        <v>4480</v>
      </c>
      <c r="I4093" s="6">
        <v>2575.1131250013459</v>
      </c>
      <c r="J4093" s="5">
        <v>18720</v>
      </c>
      <c r="K4093" s="6">
        <f t="shared" si="166"/>
        <v>1.7397293953824489</v>
      </c>
    </row>
    <row r="4094" spans="1:11" hidden="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H4094" s="5">
        <v>1260</v>
      </c>
      <c r="I4094" s="6">
        <v>528.37931032368999</v>
      </c>
      <c r="J4094" s="5">
        <v>4000</v>
      </c>
      <c r="K4094" s="6">
        <f t="shared" ref="K4094:K4100" si="167">IFERROR(H4094/I4094,"")</f>
        <v>2.3846505254494397</v>
      </c>
    </row>
    <row r="4095" spans="1:11" hidden="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H4095" s="5">
        <v>3925</v>
      </c>
      <c r="I4095" s="6">
        <v>2272.0310343918732</v>
      </c>
      <c r="J4095" s="5">
        <v>17200</v>
      </c>
      <c r="K4095" s="6">
        <f t="shared" si="167"/>
        <v>1.7275292197100454</v>
      </c>
    </row>
    <row r="4096" spans="1:11" hidden="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H4096" s="5">
        <v>1770</v>
      </c>
      <c r="I4096" s="6">
        <v>1162.4344827121224</v>
      </c>
      <c r="J4096" s="5">
        <v>8800</v>
      </c>
      <c r="K4096" s="6">
        <f t="shared" si="167"/>
        <v>1.5226664610553724</v>
      </c>
    </row>
    <row r="4097" spans="1:11" hidden="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H4097" s="5">
        <v>525</v>
      </c>
      <c r="I4097" s="6">
        <v>1162.4344827121181</v>
      </c>
      <c r="J4097" s="5">
        <v>8800</v>
      </c>
      <c r="K4097" s="6">
        <f t="shared" si="167"/>
        <v>0.4516383570926969</v>
      </c>
    </row>
    <row r="4098" spans="1:11" hidden="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H4098" s="5">
        <v>990</v>
      </c>
      <c r="I4098" s="6">
        <v>1056.7586206473827</v>
      </c>
      <c r="J4098" s="5">
        <v>8000</v>
      </c>
      <c r="K4098" s="6">
        <f t="shared" si="167"/>
        <v>0.93682699214084897</v>
      </c>
    </row>
    <row r="4099" spans="1:11" hidden="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H4099" s="5">
        <v>990</v>
      </c>
      <c r="I4099" s="6">
        <v>1109.596551679753</v>
      </c>
      <c r="J4099" s="5">
        <v>8400</v>
      </c>
      <c r="K4099" s="6">
        <f t="shared" si="167"/>
        <v>0.8922161829912838</v>
      </c>
    </row>
    <row r="4100" spans="1:11" hidden="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H4100" s="5">
        <v>3375</v>
      </c>
      <c r="I4100" s="6">
        <v>1902.1655171652881</v>
      </c>
      <c r="J4100" s="5">
        <v>14400</v>
      </c>
      <c r="K4100" s="6">
        <f t="shared" si="167"/>
        <v>1.7742935457213056</v>
      </c>
    </row>
    <row r="4101" spans="1:11" hidden="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H4101" s="5">
        <v>2050</v>
      </c>
      <c r="I4101" s="6">
        <v>951.10714281909407</v>
      </c>
      <c r="J4101" s="5">
        <v>7200</v>
      </c>
      <c r="K4101" s="6">
        <f t="shared" si="166"/>
        <v>2.1553828246140316</v>
      </c>
    </row>
    <row r="4102" spans="1:11" hidden="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H4102" s="5">
        <v>8730</v>
      </c>
      <c r="I4102" s="6">
        <v>3804.4285712763772</v>
      </c>
      <c r="J4102" s="5">
        <v>28800</v>
      </c>
      <c r="K4102" s="6">
        <f t="shared" si="166"/>
        <v>2.2946941535220109</v>
      </c>
    </row>
    <row r="4103" spans="1:11" hidden="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H4103" s="5">
        <v>5190</v>
      </c>
      <c r="I4103" s="6">
        <v>2641.8965516184649</v>
      </c>
      <c r="J4103" s="5">
        <v>20000</v>
      </c>
      <c r="K4103" s="6">
        <f t="shared" si="166"/>
        <v>1.9644978138226228</v>
      </c>
    </row>
    <row r="4104" spans="1:11" hidden="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H4104" s="5">
        <v>9780</v>
      </c>
      <c r="I4104" s="6">
        <v>3592.9793102010913</v>
      </c>
      <c r="J4104" s="5">
        <v>26044</v>
      </c>
      <c r="K4104" s="6">
        <f t="shared" si="166"/>
        <v>2.7219750395536328</v>
      </c>
    </row>
    <row r="4105" spans="1:11" hidden="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H4105" s="5">
        <v>2200</v>
      </c>
      <c r="I4105" s="6">
        <v>1268.1103447768633</v>
      </c>
      <c r="J4105" s="5">
        <v>9600</v>
      </c>
      <c r="K4105" s="6">
        <f t="shared" si="166"/>
        <v>1.734864800260826</v>
      </c>
    </row>
    <row r="4106" spans="1:11" hidden="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H4106" s="5">
        <v>750</v>
      </c>
      <c r="I4106" s="6">
        <v>528.37931032368999</v>
      </c>
      <c r="J4106" s="5">
        <v>4000</v>
      </c>
      <c r="K4106" s="6">
        <f t="shared" si="166"/>
        <v>1.4194348365770475</v>
      </c>
    </row>
    <row r="4107" spans="1:11" hidden="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H4107" s="5">
        <v>1380</v>
      </c>
      <c r="I4107" s="6">
        <v>1162.4344827121247</v>
      </c>
      <c r="J4107" s="5">
        <v>8800</v>
      </c>
      <c r="K4107" s="6">
        <f t="shared" si="166"/>
        <v>1.1871636815007967</v>
      </c>
    </row>
    <row r="4108" spans="1:11" hidden="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H4108" s="5">
        <v>960</v>
      </c>
      <c r="I4108" s="6">
        <v>528.3915024419166</v>
      </c>
      <c r="J4108" s="5">
        <v>4000</v>
      </c>
      <c r="K4108" s="6">
        <f t="shared" si="166"/>
        <v>1.8168346681644978</v>
      </c>
    </row>
    <row r="4109" spans="1:11" hidden="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H4109" s="5">
        <v>9270</v>
      </c>
      <c r="I4109" s="6">
        <v>3910.1071427007282</v>
      </c>
      <c r="J4109" s="5">
        <v>29260</v>
      </c>
      <c r="K4109" s="6">
        <f t="shared" si="166"/>
        <v>2.3707790251489556</v>
      </c>
    </row>
    <row r="4110" spans="1:11" hidden="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H4110" s="5">
        <v>3375</v>
      </c>
      <c r="I4110" s="6">
        <v>1902.2142856381945</v>
      </c>
      <c r="J4110" s="5">
        <v>14400</v>
      </c>
      <c r="K4110" s="6">
        <f t="shared" si="166"/>
        <v>1.7742480568469101</v>
      </c>
    </row>
    <row r="4111" spans="1:11" hidden="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H4111" s="5">
        <v>2880</v>
      </c>
      <c r="I4111" s="6">
        <v>1162.4642856677858</v>
      </c>
      <c r="J4111" s="5">
        <v>8800</v>
      </c>
      <c r="K4111" s="6">
        <f t="shared" si="166"/>
        <v>2.4774954684698667</v>
      </c>
    </row>
    <row r="4112" spans="1:11" hidden="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H4112" s="5">
        <v>300</v>
      </c>
      <c r="I4112" s="6">
        <v>317.03571427303262</v>
      </c>
      <c r="J4112" s="5">
        <v>2400</v>
      </c>
      <c r="K4112" s="6">
        <f t="shared" si="166"/>
        <v>0.94626563031835154</v>
      </c>
    </row>
    <row r="4113" spans="1:11" hidden="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H4113" s="5">
        <v>1275</v>
      </c>
      <c r="I4113" s="6">
        <v>951.10714281875391</v>
      </c>
      <c r="J4113" s="5">
        <v>7200</v>
      </c>
      <c r="K4113" s="6">
        <f t="shared" si="166"/>
        <v>1.340542976284816</v>
      </c>
    </row>
    <row r="4114" spans="1:11" hidden="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H4114" s="5">
        <v>900</v>
      </c>
      <c r="I4114" s="6">
        <v>898.26785710660101</v>
      </c>
      <c r="J4114" s="5">
        <v>6800</v>
      </c>
      <c r="K4114" s="6">
        <f t="shared" si="166"/>
        <v>1.0019283144550872</v>
      </c>
    </row>
    <row r="4115" spans="1:11" hidden="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H4115" s="5">
        <v>2025</v>
      </c>
      <c r="I4115" s="6">
        <v>1162.4642856673661</v>
      </c>
      <c r="J4115" s="5">
        <v>8800</v>
      </c>
      <c r="K4115" s="6">
        <f t="shared" si="166"/>
        <v>1.741989001268504</v>
      </c>
    </row>
    <row r="4116" spans="1:11" hidden="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H4116" s="5">
        <v>1680</v>
      </c>
      <c r="I4116" s="6">
        <v>686.91071425798896</v>
      </c>
      <c r="J4116" s="5">
        <v>5200</v>
      </c>
      <c r="K4116" s="6">
        <f t="shared" si="166"/>
        <v>2.4457327060544696</v>
      </c>
    </row>
    <row r="4117" spans="1:11" hidden="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H4117" s="5">
        <v>700</v>
      </c>
      <c r="I4117" s="6">
        <v>845.428571394752</v>
      </c>
      <c r="J4117" s="5">
        <v>6400</v>
      </c>
      <c r="K4117" s="6">
        <f t="shared" si="166"/>
        <v>0.82798242652855913</v>
      </c>
    </row>
    <row r="4118" spans="1:11" hidden="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H4118" s="5">
        <v>5000</v>
      </c>
      <c r="I4118" s="6">
        <v>3910.1071427007355</v>
      </c>
      <c r="J4118" s="5">
        <v>29600</v>
      </c>
      <c r="K4118" s="6">
        <f t="shared" si="166"/>
        <v>1.2787373382680427</v>
      </c>
    </row>
    <row r="4119" spans="1:11" hidden="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H4119" s="5">
        <v>5675</v>
      </c>
      <c r="I4119" s="6">
        <v>4015.7857141250793</v>
      </c>
      <c r="J4119" s="5">
        <v>30400</v>
      </c>
      <c r="K4119" s="6">
        <f t="shared" si="166"/>
        <v>1.4131730136991172</v>
      </c>
    </row>
    <row r="4120" spans="1:11" hidden="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H4120" s="5">
        <v>5160</v>
      </c>
      <c r="I4120" s="6">
        <v>2747.5751230427709</v>
      </c>
      <c r="J4120" s="5">
        <v>20800</v>
      </c>
      <c r="K4120" s="6">
        <f t="shared" si="166"/>
        <v>1.8780196241861502</v>
      </c>
    </row>
    <row r="4121" spans="1:11" hidden="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H4121" s="5">
        <v>1380</v>
      </c>
      <c r="I4121" s="6">
        <v>1056.75862064738</v>
      </c>
      <c r="J4121" s="5">
        <v>9600</v>
      </c>
      <c r="K4121" s="6">
        <f t="shared" si="166"/>
        <v>1.3058800496508838</v>
      </c>
    </row>
    <row r="4122" spans="1:11" hidden="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H4122" s="5">
        <v>175</v>
      </c>
      <c r="I4122" s="6">
        <v>369.86551722658481</v>
      </c>
      <c r="J4122" s="5">
        <v>3080</v>
      </c>
      <c r="K4122" s="6">
        <f t="shared" si="166"/>
        <v>0.47314494552568021</v>
      </c>
    </row>
    <row r="4123" spans="1:11" hidden="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H4123" s="5">
        <v>8100</v>
      </c>
      <c r="I4123" s="6">
        <v>3592.9793102011122</v>
      </c>
      <c r="J4123" s="5">
        <v>27820</v>
      </c>
      <c r="K4123" s="6">
        <f t="shared" si="166"/>
        <v>2.2543965051517687</v>
      </c>
    </row>
    <row r="4124" spans="1:11" hidden="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H4124" s="5">
        <v>3540</v>
      </c>
      <c r="I4124" s="6">
        <v>1585.2222221588099</v>
      </c>
      <c r="J4124" s="5">
        <v>11490</v>
      </c>
      <c r="K4124" s="6">
        <f t="shared" si="166"/>
        <v>2.2331253943558189</v>
      </c>
    </row>
    <row r="4125" spans="1:11" hidden="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H4125" s="5">
        <v>2460</v>
      </c>
      <c r="I4125" s="6">
        <v>2219.311111022334</v>
      </c>
      <c r="J4125" s="5">
        <v>16800</v>
      </c>
      <c r="K4125" s="6">
        <f t="shared" si="166"/>
        <v>1.1084520722589415</v>
      </c>
    </row>
    <row r="4126" spans="1:11" hidden="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H4126" s="5">
        <v>3250</v>
      </c>
      <c r="I4126" s="6">
        <v>2959.0814813631118</v>
      </c>
      <c r="J4126" s="5">
        <v>22400</v>
      </c>
      <c r="K4126" s="6">
        <f t="shared" si="166"/>
        <v>1.0983137911102319</v>
      </c>
    </row>
    <row r="4127" spans="1:11" hidden="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H4127" s="5">
        <v>0</v>
      </c>
      <c r="I4127" s="6">
        <v>1796.5851851133182</v>
      </c>
      <c r="J4127" s="5">
        <v>13600</v>
      </c>
      <c r="K4127" s="6">
        <f t="shared" si="166"/>
        <v>0</v>
      </c>
    </row>
    <row r="4128" spans="1:11" hidden="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H4128" s="5">
        <v>2400</v>
      </c>
      <c r="I4128" s="6">
        <v>1912.3542857142861</v>
      </c>
      <c r="J4128" s="5">
        <v>16320</v>
      </c>
      <c r="K4128" s="6">
        <f t="shared" ref="K4128:K4191" si="169">+H4128/I4128</f>
        <v>1.2549975796475248</v>
      </c>
    </row>
    <row r="4129" spans="1:11" hidden="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H4129" s="5">
        <v>5120</v>
      </c>
      <c r="I4129" s="6">
        <v>2812.2857142428579</v>
      </c>
      <c r="J4129" s="5">
        <v>20000</v>
      </c>
      <c r="K4129" s="6">
        <f t="shared" si="169"/>
        <v>1.8205831555697534</v>
      </c>
    </row>
    <row r="4130" spans="1:11" hidden="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H4130" s="5">
        <v>2225</v>
      </c>
      <c r="I4130" s="6">
        <v>1768.8376470588223</v>
      </c>
      <c r="J4130" s="5">
        <v>12800</v>
      </c>
      <c r="K4130" s="6">
        <f t="shared" si="169"/>
        <v>1.2578881977662975</v>
      </c>
    </row>
    <row r="4131" spans="1:11" hidden="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H4131" s="5">
        <v>4300</v>
      </c>
      <c r="I4131" s="6">
        <v>2263.7999998868127</v>
      </c>
      <c r="J4131" s="5">
        <v>17920</v>
      </c>
      <c r="K4131" s="6">
        <f t="shared" si="169"/>
        <v>1.8994610832295233</v>
      </c>
    </row>
    <row r="4132" spans="1:11" hidden="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H4132" s="5">
        <v>930</v>
      </c>
      <c r="I4132" s="6">
        <v>994.97117647058747</v>
      </c>
      <c r="J4132" s="5">
        <v>7200</v>
      </c>
      <c r="K4132" s="6">
        <f t="shared" si="169"/>
        <v>0.93470044358364579</v>
      </c>
    </row>
    <row r="4133" spans="1:11" hidden="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H4133" s="5">
        <v>1080</v>
      </c>
      <c r="I4133" s="6">
        <v>994.97117647058747</v>
      </c>
      <c r="J4133" s="5">
        <v>7920</v>
      </c>
      <c r="K4133" s="6">
        <f t="shared" si="169"/>
        <v>1.0854585796455241</v>
      </c>
    </row>
    <row r="4134" spans="1:11" hidden="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H4134" s="5">
        <v>3375</v>
      </c>
      <c r="I4134" s="6">
        <v>2263.7999998868127</v>
      </c>
      <c r="J4134" s="5">
        <v>17920</v>
      </c>
      <c r="K4134" s="6">
        <f t="shared" si="169"/>
        <v>1.4908560827673585</v>
      </c>
    </row>
    <row r="4135" spans="1:11" hidden="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H4135" s="5">
        <v>10140</v>
      </c>
      <c r="I4135" s="6">
        <v>6727.0499997982479</v>
      </c>
      <c r="J4135" s="5">
        <v>49210</v>
      </c>
      <c r="K4135" s="6">
        <f t="shared" si="169"/>
        <v>1.5073472027566481</v>
      </c>
    </row>
    <row r="4136" spans="1:11" hidden="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H4136" s="5">
        <v>990</v>
      </c>
      <c r="I4136" s="6">
        <v>994.95</v>
      </c>
      <c r="J4136" s="5">
        <v>7200</v>
      </c>
      <c r="K4136" s="6">
        <f t="shared" si="169"/>
        <v>0.99502487562189046</v>
      </c>
    </row>
    <row r="4137" spans="1:11" hidden="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H4137" s="5">
        <v>900</v>
      </c>
      <c r="I4137" s="6">
        <v>831.6</v>
      </c>
      <c r="J4137" s="5">
        <v>6300</v>
      </c>
      <c r="K4137" s="6">
        <f t="shared" si="169"/>
        <v>1.0822510822510822</v>
      </c>
    </row>
    <row r="4138" spans="1:11" hidden="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H4138" s="5">
        <v>2475</v>
      </c>
      <c r="I4138" s="6">
        <v>1267.2</v>
      </c>
      <c r="J4138" s="5">
        <v>9600</v>
      </c>
      <c r="K4138" s="6">
        <f t="shared" si="169"/>
        <v>1.953125</v>
      </c>
    </row>
    <row r="4139" spans="1:11" hidden="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H4139" s="5">
        <v>270</v>
      </c>
      <c r="I4139" s="6">
        <v>316.8</v>
      </c>
      <c r="J4139" s="5">
        <v>2400</v>
      </c>
      <c r="K4139" s="6">
        <f t="shared" si="169"/>
        <v>0.85227272727272729</v>
      </c>
    </row>
    <row r="4140" spans="1:11" hidden="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H4140" s="5">
        <v>6000</v>
      </c>
      <c r="I4140" s="6">
        <v>3603.6</v>
      </c>
      <c r="J4140" s="5">
        <v>27296</v>
      </c>
      <c r="K4140" s="6">
        <f t="shared" si="169"/>
        <v>1.665001665001665</v>
      </c>
    </row>
    <row r="4141" spans="1:11" hidden="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H4141" s="5">
        <v>4600</v>
      </c>
      <c r="I4141" s="6">
        <v>3682.8</v>
      </c>
      <c r="J4141" s="5">
        <v>27900</v>
      </c>
      <c r="K4141" s="6">
        <f t="shared" si="169"/>
        <v>1.2490496361464103</v>
      </c>
    </row>
    <row r="4142" spans="1:11" hidden="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H4142" s="5">
        <v>2700</v>
      </c>
      <c r="I4142" s="6">
        <v>2376</v>
      </c>
      <c r="J4142" s="5">
        <v>18000</v>
      </c>
      <c r="K4142" s="6">
        <f t="shared" si="169"/>
        <v>1.1363636363636365</v>
      </c>
    </row>
    <row r="4143" spans="1:11" hidden="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H4143" s="5">
        <v>1110</v>
      </c>
      <c r="I4143" s="6">
        <v>950.4</v>
      </c>
      <c r="J4143" s="5">
        <v>7200</v>
      </c>
      <c r="K4143" s="6">
        <f t="shared" si="169"/>
        <v>1.167929292929293</v>
      </c>
    </row>
    <row r="4144" spans="1:11" hidden="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H4144" s="5">
        <v>1850</v>
      </c>
      <c r="I4144" s="6">
        <v>1346.4</v>
      </c>
      <c r="J4144" s="5">
        <v>10200</v>
      </c>
      <c r="K4144" s="6">
        <f t="shared" si="169"/>
        <v>1.3740344622697562</v>
      </c>
    </row>
    <row r="4145" spans="1:11" hidden="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H4145" s="5">
        <v>4170</v>
      </c>
      <c r="I4145" s="6">
        <v>2851.2</v>
      </c>
      <c r="J4145" s="5">
        <v>21600</v>
      </c>
      <c r="K4145" s="6">
        <f t="shared" si="169"/>
        <v>1.4625420875420876</v>
      </c>
    </row>
    <row r="4146" spans="1:11" hidden="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H4146" s="5">
        <v>2500</v>
      </c>
      <c r="I4146" s="6">
        <v>2138.4</v>
      </c>
      <c r="J4146" s="5">
        <v>16200</v>
      </c>
      <c r="K4146" s="6">
        <f t="shared" si="169"/>
        <v>1.1690983913206134</v>
      </c>
    </row>
    <row r="4147" spans="1:11" hidden="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H4147" s="5">
        <v>2000</v>
      </c>
      <c r="I4147" s="6">
        <v>963.6</v>
      </c>
      <c r="J4147" s="5">
        <v>7570</v>
      </c>
      <c r="K4147" s="6">
        <f t="shared" si="169"/>
        <v>2.0755500207555002</v>
      </c>
    </row>
    <row r="4148" spans="1:11" hidden="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H4148" s="5">
        <v>6825</v>
      </c>
      <c r="I4148" s="6">
        <v>3168</v>
      </c>
      <c r="J4148" s="5">
        <v>24000</v>
      </c>
      <c r="K4148" s="6">
        <f t="shared" si="169"/>
        <v>2.1543560606060606</v>
      </c>
    </row>
    <row r="4149" spans="1:11" hidden="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H4149" s="5">
        <v>2130</v>
      </c>
      <c r="I4149" s="6">
        <v>1188</v>
      </c>
      <c r="J4149" s="5">
        <v>9000</v>
      </c>
      <c r="K4149" s="6">
        <f t="shared" si="169"/>
        <v>1.792929292929293</v>
      </c>
    </row>
    <row r="4150" spans="1:11" hidden="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H4150" s="5">
        <v>4925</v>
      </c>
      <c r="I4150" s="6">
        <v>2732.4</v>
      </c>
      <c r="J4150" s="5">
        <v>20700</v>
      </c>
      <c r="K4150" s="6">
        <f t="shared" si="169"/>
        <v>1.8024447372273458</v>
      </c>
    </row>
    <row r="4151" spans="1:11" hidden="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H4151" s="5">
        <v>1140</v>
      </c>
      <c r="I4151" s="6">
        <v>673.2</v>
      </c>
      <c r="J4151" s="5">
        <v>5100</v>
      </c>
      <c r="K4151" s="6">
        <f t="shared" si="169"/>
        <v>1.6934046345811051</v>
      </c>
    </row>
    <row r="4152" spans="1:11" hidden="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H4152" s="5">
        <v>2500</v>
      </c>
      <c r="I4152" s="6">
        <v>1100.4749999999999</v>
      </c>
      <c r="J4152" s="5">
        <v>8000</v>
      </c>
      <c r="K4152" s="6">
        <f t="shared" si="169"/>
        <v>2.2717462913741797</v>
      </c>
    </row>
    <row r="4153" spans="1:11" hidden="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H4153" s="5">
        <v>1925</v>
      </c>
      <c r="I4153" s="6">
        <v>1287</v>
      </c>
      <c r="J4153" s="5">
        <v>9400</v>
      </c>
      <c r="K4153" s="6">
        <f t="shared" si="169"/>
        <v>1.4957264957264957</v>
      </c>
    </row>
    <row r="4154" spans="1:11" hidden="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H4154" s="5">
        <v>7590</v>
      </c>
      <c r="I4154" s="6">
        <v>2641.14</v>
      </c>
      <c r="J4154" s="5">
        <v>19200</v>
      </c>
      <c r="K4154" s="6">
        <f t="shared" si="169"/>
        <v>2.873759058588337</v>
      </c>
    </row>
    <row r="4155" spans="1:11" hidden="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H4155" s="5">
        <v>3390</v>
      </c>
      <c r="I4155" s="6">
        <v>2641.14</v>
      </c>
      <c r="J4155" s="5">
        <v>19200</v>
      </c>
      <c r="K4155" s="6">
        <f t="shared" si="169"/>
        <v>1.2835366546264113</v>
      </c>
    </row>
    <row r="4156" spans="1:11" hidden="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H4156" s="5">
        <v>4710</v>
      </c>
      <c r="I4156" s="6">
        <v>1430.6174906250001</v>
      </c>
      <c r="J4156" s="5">
        <v>10400</v>
      </c>
      <c r="K4156" s="6">
        <f t="shared" si="169"/>
        <v>3.2922846469200664</v>
      </c>
    </row>
    <row r="4157" spans="1:11" hidden="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H4157" s="5">
        <v>4140</v>
      </c>
      <c r="I4157" s="6">
        <v>1430.6175000000001</v>
      </c>
      <c r="J4157" s="5">
        <v>10400</v>
      </c>
      <c r="K4157" s="6">
        <f t="shared" si="169"/>
        <v>2.8938552757812621</v>
      </c>
    </row>
    <row r="4158" spans="1:11" hidden="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H4158" s="5">
        <v>6360</v>
      </c>
      <c r="I4158" s="6">
        <v>2861.2350000000001</v>
      </c>
      <c r="J4158" s="5">
        <v>20800</v>
      </c>
      <c r="K4158" s="6">
        <f t="shared" si="169"/>
        <v>2.2228163712522737</v>
      </c>
    </row>
    <row r="4159" spans="1:11" hidden="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H4159" s="5">
        <v>6575</v>
      </c>
      <c r="I4159" s="6">
        <v>3071.9505625000002</v>
      </c>
      <c r="J4159" s="5">
        <v>22400</v>
      </c>
      <c r="K4159" s="6">
        <f t="shared" si="169"/>
        <v>2.1403339234239382</v>
      </c>
    </row>
    <row r="4160" spans="1:11" hidden="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H4160" s="5">
        <v>5050</v>
      </c>
      <c r="I4160" s="6">
        <v>1097.125</v>
      </c>
      <c r="J4160" s="5">
        <v>8000</v>
      </c>
      <c r="K4160" s="6">
        <f t="shared" si="169"/>
        <v>4.6029395009684402</v>
      </c>
    </row>
    <row r="4161" spans="1:11" hidden="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H4161" s="5">
        <v>5975</v>
      </c>
      <c r="I4161" s="6">
        <v>2852.5250000000001</v>
      </c>
      <c r="J4161" s="5">
        <v>20800</v>
      </c>
      <c r="K4161" s="6">
        <f t="shared" si="169"/>
        <v>2.0946354545534218</v>
      </c>
    </row>
    <row r="4162" spans="1:11" hidden="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H4162" s="5">
        <v>4200</v>
      </c>
      <c r="I4162" s="6">
        <v>2633.1</v>
      </c>
      <c r="J4162" s="5">
        <v>19200</v>
      </c>
      <c r="K4162" s="6">
        <f t="shared" si="169"/>
        <v>1.5950780448900537</v>
      </c>
    </row>
    <row r="4163" spans="1:11" hidden="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H4163" s="5">
        <v>4920</v>
      </c>
      <c r="I4163" s="6">
        <v>2633.1</v>
      </c>
      <c r="J4163" s="5">
        <v>19200</v>
      </c>
      <c r="K4163" s="6">
        <f t="shared" si="169"/>
        <v>1.8685199954426341</v>
      </c>
    </row>
    <row r="4164" spans="1:11" hidden="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H4164" s="5">
        <v>7620</v>
      </c>
      <c r="I4164" s="6">
        <v>2852.5250000000001</v>
      </c>
      <c r="J4164" s="5">
        <v>20800</v>
      </c>
      <c r="K4164" s="6">
        <f t="shared" si="169"/>
        <v>2.6713175169367491</v>
      </c>
    </row>
    <row r="4165" spans="1:11" hidden="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H4165" s="5">
        <v>6210</v>
      </c>
      <c r="I4165" s="6">
        <v>2852.5250000000001</v>
      </c>
      <c r="J4165" s="5">
        <v>20800</v>
      </c>
      <c r="K4165" s="6">
        <f t="shared" si="169"/>
        <v>2.1770186063224686</v>
      </c>
    </row>
    <row r="4166" spans="1:11" hidden="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H4166" s="5">
        <v>2300</v>
      </c>
      <c r="I4166" s="6">
        <v>3071.95</v>
      </c>
      <c r="J4166" s="5">
        <v>22400</v>
      </c>
      <c r="K4166" s="6">
        <f t="shared" si="169"/>
        <v>0.74871010270349458</v>
      </c>
    </row>
    <row r="4167" spans="1:11" hidden="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H4167" s="5">
        <v>1825</v>
      </c>
      <c r="I4167" s="6">
        <v>1645.6875</v>
      </c>
      <c r="J4167" s="5">
        <v>12000</v>
      </c>
      <c r="K4167" s="6">
        <f t="shared" si="169"/>
        <v>1.1089590216854659</v>
      </c>
    </row>
    <row r="4168" spans="1:11" hidden="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H4168" s="5">
        <v>8760</v>
      </c>
      <c r="I4168" s="6">
        <v>4121.4642855494085</v>
      </c>
      <c r="J4168" s="5">
        <v>31200</v>
      </c>
      <c r="K4168" s="6">
        <f t="shared" si="169"/>
        <v>2.125458185022767</v>
      </c>
    </row>
    <row r="4169" spans="1:11" hidden="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H4169" s="5">
        <v>1620</v>
      </c>
      <c r="I4169" s="6">
        <v>1056.7857142434418</v>
      </c>
      <c r="J4169" s="5">
        <v>8000</v>
      </c>
      <c r="K4169" s="6">
        <f t="shared" si="169"/>
        <v>1.5329503211157298</v>
      </c>
    </row>
    <row r="4170" spans="1:11" hidden="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H4170" s="5">
        <v>6090</v>
      </c>
      <c r="I4170" s="6">
        <v>2641.9642856076484</v>
      </c>
      <c r="J4170" s="5">
        <v>19996</v>
      </c>
      <c r="K4170" s="6">
        <f t="shared" si="169"/>
        <v>2.3051030754563389</v>
      </c>
    </row>
    <row r="4171" spans="1:11" hidden="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H4171" s="5">
        <v>1300</v>
      </c>
      <c r="I4171" s="6">
        <v>528.39285712153003</v>
      </c>
      <c r="J4171" s="5">
        <v>4000</v>
      </c>
      <c r="K4171" s="6">
        <f t="shared" si="169"/>
        <v>2.4602906388286034</v>
      </c>
    </row>
    <row r="4172" spans="1:11" hidden="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H4172" s="5">
        <v>3390</v>
      </c>
      <c r="I4172" s="6">
        <v>1902.2142856375078</v>
      </c>
      <c r="J4172" s="5">
        <v>14400</v>
      </c>
      <c r="K4172" s="6">
        <f t="shared" si="169"/>
        <v>1.7821336037668731</v>
      </c>
    </row>
    <row r="4173" spans="1:11" hidden="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H4173" s="5">
        <v>1160</v>
      </c>
      <c r="I4173" s="6">
        <v>634.05652706821195</v>
      </c>
      <c r="J4173" s="5">
        <v>4800</v>
      </c>
      <c r="K4173" s="6">
        <f t="shared" si="169"/>
        <v>1.8294898806005147</v>
      </c>
    </row>
    <row r="4174" spans="1:11" hidden="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H4174" s="5">
        <v>10780</v>
      </c>
      <c r="I4174" s="6">
        <v>4487.9999999102474</v>
      </c>
      <c r="J4174" s="5">
        <v>31740</v>
      </c>
      <c r="K4174" s="6">
        <f t="shared" si="169"/>
        <v>2.4019607843617607</v>
      </c>
    </row>
    <row r="4175" spans="1:11" hidden="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H4175" s="5">
        <v>2350</v>
      </c>
      <c r="I4175" s="6">
        <v>1702.8</v>
      </c>
      <c r="J4175" s="5">
        <v>12900</v>
      </c>
      <c r="K4175" s="6">
        <f t="shared" si="169"/>
        <v>1.3800798684519615</v>
      </c>
    </row>
    <row r="4176" spans="1:11" hidden="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H4176" s="5">
        <v>4400</v>
      </c>
      <c r="I4176" s="6">
        <v>3009.6</v>
      </c>
      <c r="J4176" s="5">
        <v>22800</v>
      </c>
      <c r="K4176" s="6">
        <f t="shared" si="169"/>
        <v>1.4619883040935673</v>
      </c>
    </row>
    <row r="4177" spans="1:11" hidden="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H4177" s="5">
        <v>3300</v>
      </c>
      <c r="I4177" s="6">
        <v>1386</v>
      </c>
      <c r="J4177" s="5">
        <v>10500</v>
      </c>
      <c r="K4177" s="6">
        <f t="shared" si="169"/>
        <v>2.3809523809523809</v>
      </c>
    </row>
    <row r="4178" spans="1:11" hidden="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H4178" s="5">
        <v>3300</v>
      </c>
      <c r="I4178" s="6">
        <v>1386</v>
      </c>
      <c r="J4178" s="5">
        <v>10500</v>
      </c>
      <c r="K4178" s="6">
        <f t="shared" si="169"/>
        <v>2.3809523809523809</v>
      </c>
    </row>
    <row r="4179" spans="1:11" hidden="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H4179" s="5">
        <v>1700</v>
      </c>
      <c r="I4179" s="6">
        <v>1029.5999999999999</v>
      </c>
      <c r="J4179" s="5">
        <v>7800</v>
      </c>
      <c r="K4179" s="6">
        <f t="shared" si="169"/>
        <v>1.6511266511266514</v>
      </c>
    </row>
    <row r="4180" spans="1:11" hidden="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H4180" s="5">
        <v>3650</v>
      </c>
      <c r="I4180" s="6">
        <v>2653.2</v>
      </c>
      <c r="J4180" s="5">
        <v>20100</v>
      </c>
      <c r="K4180" s="6">
        <f t="shared" si="169"/>
        <v>1.3756972712196593</v>
      </c>
    </row>
    <row r="4181" spans="1:11" hidden="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H4181" s="5">
        <v>4410</v>
      </c>
      <c r="I4181" s="6">
        <v>1768.8</v>
      </c>
      <c r="J4181" s="5">
        <v>13400</v>
      </c>
      <c r="K4181" s="6">
        <f t="shared" si="169"/>
        <v>2.4932157394843961</v>
      </c>
    </row>
    <row r="4182" spans="1:11" hidden="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H4182" s="5">
        <v>825</v>
      </c>
      <c r="I4182" s="6">
        <v>1029.5999999999999</v>
      </c>
      <c r="J4182" s="5">
        <v>7800</v>
      </c>
      <c r="K4182" s="6">
        <f t="shared" si="169"/>
        <v>0.80128205128205132</v>
      </c>
    </row>
    <row r="4183" spans="1:11" hidden="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H4183" s="5">
        <v>2500</v>
      </c>
      <c r="I4183" s="6">
        <v>1346.4</v>
      </c>
      <c r="J4183" s="5">
        <v>10200</v>
      </c>
      <c r="K4183" s="6">
        <f t="shared" si="169"/>
        <v>1.8568033273915625</v>
      </c>
    </row>
    <row r="4184" spans="1:11" hidden="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H4184" s="5">
        <v>420</v>
      </c>
      <c r="I4184" s="6">
        <v>440.18999062500001</v>
      </c>
      <c r="J4184" s="5">
        <v>3200</v>
      </c>
      <c r="K4184" s="6">
        <f t="shared" si="169"/>
        <v>0.95413346269792865</v>
      </c>
    </row>
    <row r="4185" spans="1:11" hidden="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H4185" s="5">
        <v>1650</v>
      </c>
      <c r="I4185" s="6">
        <v>880.38</v>
      </c>
      <c r="J4185" s="5">
        <v>6400</v>
      </c>
      <c r="K4185" s="6">
        <f t="shared" si="169"/>
        <v>1.874190690383698</v>
      </c>
    </row>
    <row r="4186" spans="1:11" hidden="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H4186" s="5">
        <v>675</v>
      </c>
      <c r="I4186" s="6">
        <v>330.14249999999998</v>
      </c>
      <c r="J4186" s="5">
        <v>2400</v>
      </c>
      <c r="K4186" s="6">
        <f t="shared" si="169"/>
        <v>2.0445716622367613</v>
      </c>
    </row>
    <row r="4187" spans="1:11" hidden="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H4187" s="5">
        <v>2800</v>
      </c>
      <c r="I4187" s="6">
        <v>1430.6175000000001</v>
      </c>
      <c r="J4187" s="5">
        <v>10400</v>
      </c>
      <c r="K4187" s="6">
        <f t="shared" si="169"/>
        <v>1.9571968048762161</v>
      </c>
    </row>
    <row r="4188" spans="1:11" hidden="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H4188" s="5">
        <v>0</v>
      </c>
      <c r="I4188" s="6">
        <v>220.095</v>
      </c>
      <c r="J4188" s="5">
        <v>1600</v>
      </c>
      <c r="K4188" s="6">
        <f t="shared" si="169"/>
        <v>0</v>
      </c>
    </row>
    <row r="4189" spans="1:11" hidden="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H4189" s="5">
        <v>2280</v>
      </c>
      <c r="I4189" s="6">
        <v>1287.0000000000018</v>
      </c>
      <c r="J4189" s="5">
        <v>9400</v>
      </c>
      <c r="K4189" s="6">
        <f t="shared" si="169"/>
        <v>1.7715617715617691</v>
      </c>
    </row>
    <row r="4190" spans="1:11" hidden="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H4190" s="5">
        <v>4350</v>
      </c>
      <c r="I4190" s="6">
        <v>2641.14</v>
      </c>
      <c r="J4190" s="5">
        <v>19200</v>
      </c>
      <c r="K4190" s="6">
        <f t="shared" si="169"/>
        <v>1.6470160612462801</v>
      </c>
    </row>
    <row r="4191" spans="1:11" hidden="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H4191" s="5">
        <v>2670</v>
      </c>
      <c r="I4191" s="6">
        <v>880.38</v>
      </c>
      <c r="J4191" s="5">
        <v>6400</v>
      </c>
      <c r="K4191" s="6">
        <f t="shared" si="169"/>
        <v>3.0327812989845295</v>
      </c>
    </row>
    <row r="4192" spans="1:11" hidden="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H4192" s="5">
        <v>2200</v>
      </c>
      <c r="I4192" s="6">
        <v>880.38</v>
      </c>
      <c r="J4192" s="5">
        <v>6400</v>
      </c>
      <c r="K4192" s="6">
        <f t="shared" ref="K4192:K4254" si="171">+H4192/I4192</f>
        <v>2.4989209205115972</v>
      </c>
    </row>
    <row r="4193" spans="1:11" hidden="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H4193" s="5">
        <v>620</v>
      </c>
      <c r="I4193" s="6">
        <v>1755.4</v>
      </c>
      <c r="J4193" s="5">
        <v>12800</v>
      </c>
      <c r="K4193" s="6">
        <f t="shared" si="171"/>
        <v>0.35319585279708327</v>
      </c>
    </row>
    <row r="4194" spans="1:11" hidden="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H4194" s="5">
        <v>4560</v>
      </c>
      <c r="I4194" s="6">
        <v>2413.6749943750001</v>
      </c>
      <c r="J4194" s="5">
        <v>17600</v>
      </c>
      <c r="K4194" s="6">
        <f t="shared" si="171"/>
        <v>1.889235299129729</v>
      </c>
    </row>
    <row r="4195" spans="1:11" hidden="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H4195" s="5">
        <v>1200</v>
      </c>
      <c r="I4195" s="6">
        <v>1645.6875</v>
      </c>
      <c r="J4195" s="5">
        <v>12000</v>
      </c>
      <c r="K4195" s="6">
        <f t="shared" si="171"/>
        <v>0.72917853480688166</v>
      </c>
    </row>
    <row r="4196" spans="1:11" hidden="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H4196" s="5">
        <v>2140</v>
      </c>
      <c r="I4196" s="6">
        <v>726.32013058333712</v>
      </c>
      <c r="J4196" s="5">
        <v>5712</v>
      </c>
      <c r="K4196" s="6">
        <f t="shared" si="171"/>
        <v>2.9463592015290549</v>
      </c>
    </row>
    <row r="4197" spans="1:11" hidden="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H4197" s="5">
        <v>1860</v>
      </c>
      <c r="I4197" s="6">
        <v>924.39958333667107</v>
      </c>
      <c r="J4197" s="5">
        <v>6720</v>
      </c>
      <c r="K4197" s="6">
        <f t="shared" si="171"/>
        <v>2.0121168740537807</v>
      </c>
    </row>
    <row r="4198" spans="1:11" hidden="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H4198" s="5">
        <v>2800</v>
      </c>
      <c r="I4198" s="6">
        <v>1122.485208333339</v>
      </c>
      <c r="J4198" s="5">
        <v>8160</v>
      </c>
      <c r="K4198" s="6">
        <f t="shared" si="171"/>
        <v>2.4944649419099494</v>
      </c>
    </row>
    <row r="4199" spans="1:11" hidden="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H4199" s="5">
        <v>420</v>
      </c>
      <c r="I4199" s="6">
        <v>396.17125000000198</v>
      </c>
      <c r="J4199" s="5">
        <v>2880</v>
      </c>
      <c r="K4199" s="6">
        <f t="shared" si="171"/>
        <v>1.0601476003117285</v>
      </c>
    </row>
    <row r="4200" spans="1:11" hidden="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H4200" s="5">
        <v>2880</v>
      </c>
      <c r="I4200" s="6">
        <v>1535.9749999999999</v>
      </c>
      <c r="J4200" s="5">
        <v>11200</v>
      </c>
      <c r="K4200" s="6">
        <f t="shared" si="171"/>
        <v>1.8750305180748386</v>
      </c>
    </row>
    <row r="4201" spans="1:11" hidden="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H4201" s="5">
        <v>2500</v>
      </c>
      <c r="I4201" s="6">
        <v>1535.9749999999999</v>
      </c>
      <c r="J4201" s="5">
        <v>11200</v>
      </c>
      <c r="K4201" s="6">
        <f t="shared" si="171"/>
        <v>1.6276306580510751</v>
      </c>
    </row>
    <row r="4202" spans="1:11" hidden="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H4202" s="5">
        <v>1590</v>
      </c>
      <c r="I4202" s="6">
        <v>594.25687500000299</v>
      </c>
      <c r="J4202" s="5">
        <v>4320</v>
      </c>
      <c r="K4202" s="6">
        <f t="shared" si="171"/>
        <v>2.675610610310553</v>
      </c>
    </row>
    <row r="4203" spans="1:11" hidden="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H4203" s="5">
        <v>4040</v>
      </c>
      <c r="I4203" s="6">
        <v>2575.1131250013459</v>
      </c>
      <c r="J4203" s="5">
        <v>18720</v>
      </c>
      <c r="K4203" s="6">
        <f t="shared" si="171"/>
        <v>1.5688631154788155</v>
      </c>
    </row>
    <row r="4204" spans="1:11" hidden="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H4204" s="5">
        <v>1050</v>
      </c>
      <c r="I4204" s="6">
        <v>528.37931032368999</v>
      </c>
      <c r="J4204" s="5">
        <v>4000</v>
      </c>
      <c r="K4204" s="6">
        <f t="shared" ref="K4204:K4210" si="172">IFERROR(H4204/I4204,"")</f>
        <v>1.9872087712078665</v>
      </c>
    </row>
    <row r="4205" spans="1:11" hidden="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H4205" s="5">
        <v>3150</v>
      </c>
      <c r="I4205" s="6">
        <v>2272.0310343918732</v>
      </c>
      <c r="J4205" s="5">
        <v>17200</v>
      </c>
      <c r="K4205" s="6">
        <f t="shared" si="172"/>
        <v>1.3864247240985077</v>
      </c>
    </row>
    <row r="4206" spans="1:11" hidden="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H4206" s="5">
        <v>1410</v>
      </c>
      <c r="I4206" s="6">
        <v>1162.4344827121224</v>
      </c>
      <c r="J4206" s="5">
        <v>8800</v>
      </c>
      <c r="K4206" s="6">
        <f t="shared" si="172"/>
        <v>1.2129715876203815</v>
      </c>
    </row>
    <row r="4207" spans="1:11" hidden="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H4207" s="5">
        <v>700</v>
      </c>
      <c r="I4207" s="6">
        <v>1162.4344827121181</v>
      </c>
      <c r="J4207" s="5">
        <v>8800</v>
      </c>
      <c r="K4207" s="6">
        <f t="shared" si="172"/>
        <v>0.60218447612359582</v>
      </c>
    </row>
    <row r="4208" spans="1:11" hidden="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H4208" s="5">
        <v>1260</v>
      </c>
      <c r="I4208" s="6">
        <v>1056.7586206473827</v>
      </c>
      <c r="J4208" s="5">
        <v>8000</v>
      </c>
      <c r="K4208" s="6">
        <f t="shared" si="172"/>
        <v>1.1923252627247169</v>
      </c>
    </row>
    <row r="4209" spans="1:11" hidden="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H4209" s="5">
        <v>1320</v>
      </c>
      <c r="I4209" s="6">
        <v>1109.596551679753</v>
      </c>
      <c r="J4209" s="5">
        <v>8400</v>
      </c>
      <c r="K4209" s="6">
        <f t="shared" si="172"/>
        <v>1.1896215773217118</v>
      </c>
    </row>
    <row r="4210" spans="1:11" hidden="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H4210" s="5">
        <v>3300</v>
      </c>
      <c r="I4210" s="6">
        <v>1902.1655171652881</v>
      </c>
      <c r="J4210" s="5">
        <v>14400</v>
      </c>
      <c r="K4210" s="6">
        <f t="shared" si="172"/>
        <v>1.7348648002608322</v>
      </c>
    </row>
    <row r="4211" spans="1:11" hidden="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H4211" s="5">
        <v>2175</v>
      </c>
      <c r="I4211" s="6">
        <v>951.10714281909407</v>
      </c>
      <c r="J4211" s="5">
        <v>7200</v>
      </c>
      <c r="K4211" s="6">
        <f t="shared" si="171"/>
        <v>2.2868086066026918</v>
      </c>
    </row>
    <row r="4212" spans="1:11" hidden="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H4212" s="5">
        <v>8580</v>
      </c>
      <c r="I4212" s="6">
        <v>3804.4285712763772</v>
      </c>
      <c r="J4212" s="5">
        <v>28800</v>
      </c>
      <c r="K4212" s="6">
        <f t="shared" si="171"/>
        <v>2.2552664189254128</v>
      </c>
    </row>
    <row r="4213" spans="1:11" hidden="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H4213" s="5">
        <v>5910</v>
      </c>
      <c r="I4213" s="6">
        <v>2641.8965516184649</v>
      </c>
      <c r="J4213" s="5">
        <v>20000</v>
      </c>
      <c r="K4213" s="6">
        <f t="shared" si="171"/>
        <v>2.2370293024454142</v>
      </c>
    </row>
    <row r="4214" spans="1:11" hidden="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H4214" s="5">
        <v>11580</v>
      </c>
      <c r="I4214" s="6">
        <v>3592.9793102010913</v>
      </c>
      <c r="J4214" s="5">
        <v>26044</v>
      </c>
      <c r="K4214" s="6">
        <f t="shared" si="171"/>
        <v>3.2229520406984733</v>
      </c>
    </row>
    <row r="4215" spans="1:11" hidden="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H4215" s="5">
        <v>2175</v>
      </c>
      <c r="I4215" s="6">
        <v>1268.1103447768633</v>
      </c>
      <c r="J4215" s="5">
        <v>9600</v>
      </c>
      <c r="K4215" s="6">
        <f t="shared" si="171"/>
        <v>1.7151504275305893</v>
      </c>
    </row>
    <row r="4216" spans="1:11" hidden="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H4216" s="5">
        <v>700</v>
      </c>
      <c r="I4216" s="6">
        <v>528.37931032368999</v>
      </c>
      <c r="J4216" s="5">
        <v>4000</v>
      </c>
      <c r="K4216" s="6">
        <f t="shared" si="171"/>
        <v>1.3248058474719111</v>
      </c>
    </row>
    <row r="4217" spans="1:11" hidden="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H4217" s="5">
        <v>1350</v>
      </c>
      <c r="I4217" s="6">
        <v>1162.4344827121247</v>
      </c>
      <c r="J4217" s="5">
        <v>8800</v>
      </c>
      <c r="K4217" s="6">
        <f t="shared" si="171"/>
        <v>1.161355775381214</v>
      </c>
    </row>
    <row r="4218" spans="1:11" hidden="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H4218" s="5">
        <v>900</v>
      </c>
      <c r="I4218" s="6">
        <v>528.3915024419166</v>
      </c>
      <c r="J4218" s="5">
        <v>4000</v>
      </c>
      <c r="K4218" s="6">
        <f t="shared" si="171"/>
        <v>1.7032825014042168</v>
      </c>
    </row>
    <row r="4219" spans="1:11" hidden="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H4219" s="5">
        <v>11790</v>
      </c>
      <c r="I4219" s="6">
        <v>3910.1071427007282</v>
      </c>
      <c r="J4219" s="5">
        <v>29260</v>
      </c>
      <c r="K4219" s="6">
        <f t="shared" si="171"/>
        <v>3.0152626436360501</v>
      </c>
    </row>
    <row r="4220" spans="1:11" hidden="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H4220" s="5">
        <v>3475</v>
      </c>
      <c r="I4220" s="6">
        <v>1902.2142856381945</v>
      </c>
      <c r="J4220" s="5">
        <v>14400</v>
      </c>
      <c r="K4220" s="6">
        <f t="shared" si="171"/>
        <v>1.8268183696423743</v>
      </c>
    </row>
    <row r="4221" spans="1:11" hidden="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H4221" s="5">
        <v>2730</v>
      </c>
      <c r="I4221" s="6">
        <v>1162.4642856677858</v>
      </c>
      <c r="J4221" s="5">
        <v>8800</v>
      </c>
      <c r="K4221" s="6">
        <f t="shared" si="171"/>
        <v>2.3484592461537277</v>
      </c>
    </row>
    <row r="4222" spans="1:11" hidden="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H4222" s="5">
        <v>270</v>
      </c>
      <c r="I4222" s="6">
        <v>317.03571427303262</v>
      </c>
      <c r="J4222" s="5">
        <v>2400</v>
      </c>
      <c r="K4222" s="6">
        <f t="shared" si="171"/>
        <v>0.85163906728651639</v>
      </c>
    </row>
    <row r="4223" spans="1:11" hidden="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H4223" s="5">
        <v>1675</v>
      </c>
      <c r="I4223" s="6">
        <v>951.10714281875391</v>
      </c>
      <c r="J4223" s="5">
        <v>7200</v>
      </c>
      <c r="K4223" s="6">
        <f t="shared" si="171"/>
        <v>1.7611054786486799</v>
      </c>
    </row>
    <row r="4224" spans="1:11" hidden="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H4224" s="5">
        <v>1150</v>
      </c>
      <c r="I4224" s="6">
        <v>898.26785710660101</v>
      </c>
      <c r="J4224" s="5">
        <v>6800</v>
      </c>
      <c r="K4224" s="6">
        <f t="shared" si="171"/>
        <v>1.2802417351370561</v>
      </c>
    </row>
    <row r="4225" spans="1:11" hidden="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H4225" s="5">
        <v>2050</v>
      </c>
      <c r="I4225" s="6">
        <v>1162.4642856673661</v>
      </c>
      <c r="J4225" s="5">
        <v>8800</v>
      </c>
      <c r="K4225" s="6">
        <f t="shared" si="171"/>
        <v>1.7634950383212016</v>
      </c>
    </row>
    <row r="4226" spans="1:11" hidden="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H4226" s="5">
        <v>1560</v>
      </c>
      <c r="I4226" s="6">
        <v>686.91071425798896</v>
      </c>
      <c r="J4226" s="5">
        <v>5200</v>
      </c>
      <c r="K4226" s="6">
        <f t="shared" si="171"/>
        <v>2.271037512764865</v>
      </c>
    </row>
    <row r="4227" spans="1:11" hidden="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H4227" s="5">
        <v>1200</v>
      </c>
      <c r="I4227" s="6">
        <v>845.428571394752</v>
      </c>
      <c r="J4227" s="5">
        <v>6400</v>
      </c>
      <c r="K4227" s="6">
        <f t="shared" si="171"/>
        <v>1.4193984454775301</v>
      </c>
    </row>
    <row r="4228" spans="1:11" hidden="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H4228" s="5">
        <v>5025</v>
      </c>
      <c r="I4228" s="6">
        <v>3910.1071427007355</v>
      </c>
      <c r="J4228" s="5">
        <v>29600</v>
      </c>
      <c r="K4228" s="6">
        <f t="shared" si="171"/>
        <v>1.2851310249593828</v>
      </c>
    </row>
    <row r="4229" spans="1:11" hidden="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H4229" s="5">
        <v>5625</v>
      </c>
      <c r="I4229" s="6">
        <v>4015.7857141250793</v>
      </c>
      <c r="J4229" s="5">
        <v>30400</v>
      </c>
      <c r="K4229" s="6">
        <f t="shared" si="171"/>
        <v>1.4007221501422968</v>
      </c>
    </row>
    <row r="4230" spans="1:11" hidden="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H4230" s="5">
        <v>5790</v>
      </c>
      <c r="I4230" s="6">
        <v>2747.5751230427709</v>
      </c>
      <c r="J4230" s="5">
        <v>20800</v>
      </c>
      <c r="K4230" s="6">
        <f t="shared" si="171"/>
        <v>2.107312717836785</v>
      </c>
    </row>
    <row r="4231" spans="1:11" hidden="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H4231" s="5">
        <v>1290</v>
      </c>
      <c r="I4231" s="6">
        <v>1056.75862064738</v>
      </c>
      <c r="J4231" s="5">
        <v>9600</v>
      </c>
      <c r="K4231" s="6">
        <f t="shared" si="171"/>
        <v>1.2207139594562608</v>
      </c>
    </row>
    <row r="4232" spans="1:11" hidden="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H4232" s="5">
        <v>275</v>
      </c>
      <c r="I4232" s="6">
        <v>369.86551722658481</v>
      </c>
      <c r="J4232" s="5">
        <v>3080</v>
      </c>
      <c r="K4232" s="6">
        <f t="shared" si="171"/>
        <v>0.74351348582606891</v>
      </c>
    </row>
    <row r="4233" spans="1:11" hidden="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H4233" s="5">
        <v>8100</v>
      </c>
      <c r="I4233" s="6">
        <v>3592.9793102011122</v>
      </c>
      <c r="J4233" s="5">
        <v>27820</v>
      </c>
      <c r="K4233" s="6">
        <f t="shared" si="171"/>
        <v>2.2543965051517687</v>
      </c>
    </row>
    <row r="4234" spans="1:11" hidden="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H4234" s="5">
        <v>3840</v>
      </c>
      <c r="I4234" s="6">
        <v>1585.2222221588099</v>
      </c>
      <c r="J4234" s="5">
        <v>11490</v>
      </c>
      <c r="K4234" s="6">
        <f t="shared" si="171"/>
        <v>2.4223733091317357</v>
      </c>
    </row>
    <row r="4235" spans="1:11" hidden="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H4235" s="5">
        <v>2370</v>
      </c>
      <c r="I4235" s="6">
        <v>2219.311111022334</v>
      </c>
      <c r="J4235" s="5">
        <v>16800</v>
      </c>
      <c r="K4235" s="6">
        <f t="shared" si="171"/>
        <v>1.0678989476641023</v>
      </c>
    </row>
    <row r="4236" spans="1:11" hidden="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H4236" s="5">
        <v>3400</v>
      </c>
      <c r="I4236" s="6">
        <v>2959.0814813631118</v>
      </c>
      <c r="J4236" s="5">
        <v>22400</v>
      </c>
      <c r="K4236" s="6">
        <f t="shared" si="171"/>
        <v>1.1490051968537809</v>
      </c>
    </row>
    <row r="4237" spans="1:11" hidden="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H4237" s="5">
        <v>0</v>
      </c>
      <c r="I4237" s="6">
        <v>1796.5851851133182</v>
      </c>
      <c r="J4237" s="5">
        <v>13600</v>
      </c>
      <c r="K4237" s="6">
        <f t="shared" si="171"/>
        <v>0</v>
      </c>
    </row>
    <row r="4238" spans="1:11" hidden="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H4238" s="5">
        <v>2975</v>
      </c>
      <c r="I4238" s="6">
        <v>1912.3542857142861</v>
      </c>
      <c r="J4238" s="5">
        <v>16320</v>
      </c>
      <c r="K4238" s="6">
        <f t="shared" si="171"/>
        <v>1.5556740831047442</v>
      </c>
    </row>
    <row r="4239" spans="1:11" hidden="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H4239" s="5">
        <v>4280</v>
      </c>
      <c r="I4239" s="6">
        <v>2812.2857142428579</v>
      </c>
      <c r="J4239" s="5">
        <v>20000</v>
      </c>
      <c r="K4239" s="6">
        <f t="shared" si="171"/>
        <v>1.5218937316090908</v>
      </c>
    </row>
    <row r="4240" spans="1:11" hidden="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H4240" s="5">
        <v>1900</v>
      </c>
      <c r="I4240" s="6">
        <v>1768.8376470588223</v>
      </c>
      <c r="J4240" s="5">
        <v>12800</v>
      </c>
      <c r="K4240" s="6">
        <f t="shared" si="171"/>
        <v>1.0741517194408832</v>
      </c>
    </row>
    <row r="4241" spans="1:11" hidden="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H4241" s="5">
        <v>3780</v>
      </c>
      <c r="I4241" s="6">
        <v>2263.7999998868127</v>
      </c>
      <c r="J4241" s="5">
        <v>17920</v>
      </c>
      <c r="K4241" s="6">
        <f t="shared" si="171"/>
        <v>1.6697588126994414</v>
      </c>
    </row>
    <row r="4242" spans="1:11" hidden="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H4242" s="5">
        <v>990</v>
      </c>
      <c r="I4242" s="6">
        <v>994.97117647058747</v>
      </c>
      <c r="J4242" s="5">
        <v>7200</v>
      </c>
      <c r="K4242" s="6">
        <f t="shared" si="171"/>
        <v>0.99500369800839716</v>
      </c>
    </row>
    <row r="4243" spans="1:11" hidden="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H4243" s="5">
        <v>1350</v>
      </c>
      <c r="I4243" s="6">
        <v>994.97117647058747</v>
      </c>
      <c r="J4243" s="5">
        <v>7920</v>
      </c>
      <c r="K4243" s="6">
        <f t="shared" si="171"/>
        <v>1.3568232245569052</v>
      </c>
    </row>
    <row r="4244" spans="1:11" hidden="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H4244" s="5">
        <v>3275</v>
      </c>
      <c r="I4244" s="6">
        <v>2263.7999998868127</v>
      </c>
      <c r="J4244" s="5">
        <v>17920</v>
      </c>
      <c r="K4244" s="6">
        <f t="shared" si="171"/>
        <v>1.4466825692038812</v>
      </c>
    </row>
    <row r="4245" spans="1:11" hidden="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H4245" s="5">
        <v>13350</v>
      </c>
      <c r="I4245" s="6">
        <v>6727.0499997982479</v>
      </c>
      <c r="J4245" s="5">
        <v>49210</v>
      </c>
      <c r="K4245" s="6">
        <f t="shared" si="171"/>
        <v>1.9845251633926286</v>
      </c>
    </row>
    <row r="4246" spans="1:11" hidden="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H4246" s="5">
        <v>1260</v>
      </c>
      <c r="I4246" s="6">
        <v>994.95</v>
      </c>
      <c r="J4246" s="5">
        <v>7200</v>
      </c>
      <c r="K4246" s="6">
        <f t="shared" si="171"/>
        <v>1.2663952962460425</v>
      </c>
    </row>
    <row r="4247" spans="1:11" hidden="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H4247" s="5">
        <v>925</v>
      </c>
      <c r="I4247" s="6">
        <v>831.6</v>
      </c>
      <c r="J4247" s="5">
        <v>6300</v>
      </c>
      <c r="K4247" s="6">
        <f t="shared" si="171"/>
        <v>1.1123136123136124</v>
      </c>
    </row>
    <row r="4248" spans="1:11" hidden="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H4248" s="5">
        <v>3925</v>
      </c>
      <c r="I4248" s="6">
        <v>1267.2</v>
      </c>
      <c r="J4248" s="5">
        <v>9600</v>
      </c>
      <c r="K4248" s="6">
        <f t="shared" si="171"/>
        <v>3.0973800505050506</v>
      </c>
    </row>
    <row r="4249" spans="1:11" hidden="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H4249" s="5">
        <v>360</v>
      </c>
      <c r="I4249" s="6">
        <v>316.8</v>
      </c>
      <c r="J4249" s="5">
        <v>2400</v>
      </c>
      <c r="K4249" s="6">
        <f t="shared" si="171"/>
        <v>1.1363636363636362</v>
      </c>
    </row>
    <row r="4250" spans="1:11" hidden="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H4250" s="5">
        <v>8730</v>
      </c>
      <c r="I4250" s="6">
        <v>3603.6</v>
      </c>
      <c r="J4250" s="5">
        <v>27296</v>
      </c>
      <c r="K4250" s="6">
        <f t="shared" si="171"/>
        <v>2.4225774225774228</v>
      </c>
    </row>
    <row r="4251" spans="1:11" hidden="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H4251" s="5">
        <v>4450</v>
      </c>
      <c r="I4251" s="6">
        <v>3682.8</v>
      </c>
      <c r="J4251" s="5">
        <v>27900</v>
      </c>
      <c r="K4251" s="6">
        <f t="shared" si="171"/>
        <v>1.2083197567068533</v>
      </c>
    </row>
    <row r="4252" spans="1:11" hidden="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H4252" s="5">
        <v>3300</v>
      </c>
      <c r="I4252" s="6">
        <v>2376</v>
      </c>
      <c r="J4252" s="5">
        <v>18000</v>
      </c>
      <c r="K4252" s="6">
        <f t="shared" si="171"/>
        <v>1.3888888888888888</v>
      </c>
    </row>
    <row r="4253" spans="1:11" hidden="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H4253" s="5">
        <v>1350</v>
      </c>
      <c r="I4253" s="6">
        <v>950.4</v>
      </c>
      <c r="J4253" s="5">
        <v>7200</v>
      </c>
      <c r="K4253" s="6">
        <f t="shared" si="171"/>
        <v>1.4204545454545454</v>
      </c>
    </row>
    <row r="4254" spans="1:11" hidden="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H4254" s="5">
        <v>1375</v>
      </c>
      <c r="I4254" s="6">
        <v>1346.4</v>
      </c>
      <c r="J4254" s="5">
        <v>10200</v>
      </c>
      <c r="K4254" s="6">
        <f t="shared" si="171"/>
        <v>1.0212418300653594</v>
      </c>
    </row>
    <row r="4255" spans="1:11" hidden="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H4255" s="5">
        <v>4800</v>
      </c>
      <c r="I4255" s="6">
        <v>2851.2</v>
      </c>
      <c r="J4255" s="5">
        <v>21600</v>
      </c>
      <c r="K4255" s="6">
        <f t="shared" ref="K4255:K4313" si="174">+H4255/I4255</f>
        <v>1.6835016835016836</v>
      </c>
    </row>
    <row r="4256" spans="1:11" hidden="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H4256" s="5">
        <v>2700</v>
      </c>
      <c r="I4256" s="6">
        <v>2138.4</v>
      </c>
      <c r="J4256" s="5">
        <v>16200</v>
      </c>
      <c r="K4256" s="6">
        <f t="shared" si="174"/>
        <v>1.2626262626262625</v>
      </c>
    </row>
    <row r="4257" spans="1:11" hidden="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H4257" s="5">
        <v>2000</v>
      </c>
      <c r="I4257" s="6">
        <v>963.6</v>
      </c>
      <c r="J4257" s="5">
        <v>7570</v>
      </c>
      <c r="K4257" s="6">
        <f t="shared" si="174"/>
        <v>2.0755500207555002</v>
      </c>
    </row>
    <row r="4258" spans="1:11" hidden="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H4258" s="5">
        <v>6050</v>
      </c>
      <c r="I4258" s="6">
        <v>3168</v>
      </c>
      <c r="J4258" s="5">
        <v>24000</v>
      </c>
      <c r="K4258" s="6">
        <f t="shared" si="174"/>
        <v>1.9097222222222223</v>
      </c>
    </row>
    <row r="4259" spans="1:11" hidden="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H4259" s="5">
        <v>2490</v>
      </c>
      <c r="I4259" s="6">
        <v>1188</v>
      </c>
      <c r="J4259" s="5">
        <v>9000</v>
      </c>
      <c r="K4259" s="6">
        <f t="shared" si="174"/>
        <v>2.095959595959596</v>
      </c>
    </row>
    <row r="4260" spans="1:11" hidden="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H4260" s="5">
        <v>4400</v>
      </c>
      <c r="I4260" s="6">
        <v>2732.4</v>
      </c>
      <c r="J4260" s="5">
        <v>20700</v>
      </c>
      <c r="K4260" s="6">
        <f t="shared" si="174"/>
        <v>1.6103059581320451</v>
      </c>
    </row>
    <row r="4261" spans="1:11" hidden="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H4261" s="5">
        <v>1260</v>
      </c>
      <c r="I4261" s="6">
        <v>673.2</v>
      </c>
      <c r="J4261" s="5">
        <v>5100</v>
      </c>
      <c r="K4261" s="6">
        <f t="shared" si="174"/>
        <v>1.8716577540106951</v>
      </c>
    </row>
    <row r="4262" spans="1:11" hidden="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H4262" s="5">
        <v>2000</v>
      </c>
      <c r="I4262" s="6">
        <v>1100.4749999999999</v>
      </c>
      <c r="J4262" s="5">
        <v>8000</v>
      </c>
      <c r="K4262" s="6">
        <f t="shared" si="174"/>
        <v>1.8173970330993436</v>
      </c>
    </row>
    <row r="4263" spans="1:11" hidden="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H4263" s="5">
        <v>2750</v>
      </c>
      <c r="I4263" s="6">
        <v>1287</v>
      </c>
      <c r="J4263" s="5">
        <v>9400</v>
      </c>
      <c r="K4263" s="6">
        <f t="shared" si="174"/>
        <v>2.1367521367521367</v>
      </c>
    </row>
    <row r="4264" spans="1:11" hidden="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H4264" s="5">
        <v>6540</v>
      </c>
      <c r="I4264" s="6">
        <v>2641.14</v>
      </c>
      <c r="J4264" s="5">
        <v>19200</v>
      </c>
      <c r="K4264" s="6">
        <f t="shared" si="174"/>
        <v>2.4762034575978555</v>
      </c>
    </row>
    <row r="4265" spans="1:11" hidden="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H4265" s="5">
        <v>4590</v>
      </c>
      <c r="I4265" s="6">
        <v>2641.14</v>
      </c>
      <c r="J4265" s="5">
        <v>19200</v>
      </c>
      <c r="K4265" s="6">
        <f t="shared" si="174"/>
        <v>1.7378859129012472</v>
      </c>
    </row>
    <row r="4266" spans="1:11" hidden="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H4266" s="5">
        <v>4380</v>
      </c>
      <c r="I4266" s="6">
        <v>1430.6174906250001</v>
      </c>
      <c r="J4266" s="5">
        <v>10400</v>
      </c>
      <c r="K4266" s="6">
        <f t="shared" si="174"/>
        <v>3.0616150219766225</v>
      </c>
    </row>
    <row r="4267" spans="1:11" hidden="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H4267" s="5">
        <v>3180</v>
      </c>
      <c r="I4267" s="6">
        <v>1430.6175000000001</v>
      </c>
      <c r="J4267" s="5">
        <v>10400</v>
      </c>
      <c r="K4267" s="6">
        <f t="shared" si="174"/>
        <v>2.2228163712522737</v>
      </c>
    </row>
    <row r="4268" spans="1:11" hidden="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H4268" s="5">
        <v>6090</v>
      </c>
      <c r="I4268" s="6">
        <v>2861.2350000000001</v>
      </c>
      <c r="J4268" s="5">
        <v>20800</v>
      </c>
      <c r="K4268" s="6">
        <f t="shared" si="174"/>
        <v>2.1284515253028848</v>
      </c>
    </row>
    <row r="4269" spans="1:11" hidden="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H4269" s="5">
        <v>5975</v>
      </c>
      <c r="I4269" s="6">
        <v>3071.9505625000002</v>
      </c>
      <c r="J4269" s="5">
        <v>22400</v>
      </c>
      <c r="K4269" s="6">
        <f t="shared" si="174"/>
        <v>1.9450182802217539</v>
      </c>
    </row>
    <row r="4270" spans="1:11" hidden="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H4270" s="5">
        <v>4125</v>
      </c>
      <c r="I4270" s="6">
        <v>1097.125</v>
      </c>
      <c r="J4270" s="5">
        <v>8000</v>
      </c>
      <c r="K4270" s="6">
        <f t="shared" si="174"/>
        <v>3.7598268200979832</v>
      </c>
    </row>
    <row r="4271" spans="1:11" hidden="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H4271" s="5">
        <v>5150</v>
      </c>
      <c r="I4271" s="6">
        <v>2852.5250000000001</v>
      </c>
      <c r="J4271" s="5">
        <v>20800</v>
      </c>
      <c r="K4271" s="6">
        <f t="shared" si="174"/>
        <v>1.805418006853577</v>
      </c>
    </row>
    <row r="4272" spans="1:11" hidden="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H4272" s="5">
        <v>5970</v>
      </c>
      <c r="I4272" s="6">
        <v>2633.1</v>
      </c>
      <c r="J4272" s="5">
        <v>19200</v>
      </c>
      <c r="K4272" s="6">
        <f t="shared" si="174"/>
        <v>2.2672895066651475</v>
      </c>
    </row>
    <row r="4273" spans="1:11" hidden="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H4273" s="5">
        <v>6210</v>
      </c>
      <c r="I4273" s="6">
        <v>2633.1</v>
      </c>
      <c r="J4273" s="5">
        <v>19200</v>
      </c>
      <c r="K4273" s="6">
        <f t="shared" si="174"/>
        <v>2.358436823516008</v>
      </c>
    </row>
    <row r="4274" spans="1:11" hidden="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H4274" s="5">
        <v>7050</v>
      </c>
      <c r="I4274" s="6">
        <v>2852.5250000000001</v>
      </c>
      <c r="J4274" s="5">
        <v>20800</v>
      </c>
      <c r="K4274" s="6">
        <f t="shared" si="174"/>
        <v>2.4714945530714014</v>
      </c>
    </row>
    <row r="4275" spans="1:11" hidden="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H4275" s="5">
        <v>6330</v>
      </c>
      <c r="I4275" s="6">
        <v>2852.5250000000001</v>
      </c>
      <c r="J4275" s="5">
        <v>20800</v>
      </c>
      <c r="K4275" s="6">
        <f t="shared" si="174"/>
        <v>2.2190865987151733</v>
      </c>
    </row>
    <row r="4276" spans="1:11" hidden="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H4276" s="5">
        <v>3275</v>
      </c>
      <c r="I4276" s="6">
        <v>3071.95</v>
      </c>
      <c r="J4276" s="5">
        <v>22400</v>
      </c>
      <c r="K4276" s="6">
        <f t="shared" si="174"/>
        <v>1.0660980810234542</v>
      </c>
    </row>
    <row r="4277" spans="1:11" hidden="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H4277" s="5">
        <v>1850</v>
      </c>
      <c r="I4277" s="6">
        <v>1645.6875</v>
      </c>
      <c r="J4277" s="5">
        <v>12000</v>
      </c>
      <c r="K4277" s="6">
        <f t="shared" si="174"/>
        <v>1.1241502411606092</v>
      </c>
    </row>
    <row r="4278" spans="1:11" hidden="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H4278" s="5">
        <v>9700</v>
      </c>
      <c r="I4278" s="6">
        <v>4121.4642855494085</v>
      </c>
      <c r="J4278" s="5">
        <v>31200</v>
      </c>
      <c r="K4278" s="6">
        <f t="shared" si="174"/>
        <v>2.3535324651507805</v>
      </c>
    </row>
    <row r="4279" spans="1:11" hidden="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H4279" s="5">
        <v>2040</v>
      </c>
      <c r="I4279" s="6">
        <v>1056.7857142434418</v>
      </c>
      <c r="J4279" s="5">
        <v>8000</v>
      </c>
      <c r="K4279" s="6">
        <f t="shared" si="174"/>
        <v>1.9303818858494375</v>
      </c>
    </row>
    <row r="4280" spans="1:11" hidden="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H4280" s="5">
        <v>7140</v>
      </c>
      <c r="I4280" s="6">
        <v>2641.9642856076484</v>
      </c>
      <c r="J4280" s="5">
        <v>19996</v>
      </c>
      <c r="K4280" s="6">
        <f t="shared" si="174"/>
        <v>2.7025346401901906</v>
      </c>
    </row>
    <row r="4281" spans="1:11" hidden="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H4281" s="5">
        <v>1100</v>
      </c>
      <c r="I4281" s="6">
        <v>528.39285712153003</v>
      </c>
      <c r="J4281" s="5">
        <v>4000</v>
      </c>
      <c r="K4281" s="6">
        <f t="shared" si="174"/>
        <v>2.0817843867011256</v>
      </c>
    </row>
    <row r="4282" spans="1:11" hidden="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H4282" s="5">
        <v>4080</v>
      </c>
      <c r="I4282" s="6">
        <v>1902.2142856375078</v>
      </c>
      <c r="J4282" s="5">
        <v>14400</v>
      </c>
      <c r="K4282" s="6">
        <f t="shared" si="174"/>
        <v>2.1448687620557059</v>
      </c>
    </row>
    <row r="4283" spans="1:11" hidden="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H4283" s="5">
        <v>1160</v>
      </c>
      <c r="I4283" s="6">
        <v>634.05652706821195</v>
      </c>
      <c r="J4283" s="5">
        <v>4800</v>
      </c>
      <c r="K4283" s="6">
        <f t="shared" si="174"/>
        <v>1.8294898806005147</v>
      </c>
    </row>
    <row r="4284" spans="1:11" hidden="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H4284" s="5">
        <v>9600</v>
      </c>
      <c r="I4284" s="6">
        <v>4487.9999999102474</v>
      </c>
      <c r="J4284" s="5">
        <v>31740</v>
      </c>
      <c r="K4284" s="6">
        <f t="shared" si="174"/>
        <v>2.1390374331978572</v>
      </c>
    </row>
    <row r="4285" spans="1:11" hidden="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H4285" s="5">
        <v>3375</v>
      </c>
      <c r="I4285" s="6">
        <v>1702.8</v>
      </c>
      <c r="J4285" s="5">
        <v>12900</v>
      </c>
      <c r="K4285" s="6">
        <f t="shared" si="174"/>
        <v>1.9820295983086682</v>
      </c>
    </row>
    <row r="4286" spans="1:11" hidden="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H4286" s="5">
        <v>5420</v>
      </c>
      <c r="I4286" s="6">
        <v>3009.6</v>
      </c>
      <c r="J4286" s="5">
        <v>22800</v>
      </c>
      <c r="K4286" s="6">
        <f t="shared" si="174"/>
        <v>1.8009037745879852</v>
      </c>
    </row>
    <row r="4287" spans="1:11" hidden="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H4287" s="5">
        <v>3990</v>
      </c>
      <c r="I4287" s="6">
        <v>1386</v>
      </c>
      <c r="J4287" s="5">
        <v>10500</v>
      </c>
      <c r="K4287" s="6">
        <f t="shared" si="174"/>
        <v>2.8787878787878789</v>
      </c>
    </row>
    <row r="4288" spans="1:11" hidden="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H4288" s="5">
        <v>3210</v>
      </c>
      <c r="I4288" s="6">
        <v>1386</v>
      </c>
      <c r="J4288" s="5">
        <v>10500</v>
      </c>
      <c r="K4288" s="6">
        <f t="shared" si="174"/>
        <v>2.3160173160173159</v>
      </c>
    </row>
    <row r="4289" spans="1:11" hidden="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H4289" s="5">
        <v>1800</v>
      </c>
      <c r="I4289" s="6">
        <v>1029.5999999999999</v>
      </c>
      <c r="J4289" s="5">
        <v>7800</v>
      </c>
      <c r="K4289" s="6">
        <f t="shared" si="174"/>
        <v>1.7482517482517483</v>
      </c>
    </row>
    <row r="4290" spans="1:11" hidden="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H4290" s="5">
        <v>3825</v>
      </c>
      <c r="I4290" s="6">
        <v>2653.2</v>
      </c>
      <c r="J4290" s="5">
        <v>20100</v>
      </c>
      <c r="K4290" s="6">
        <f t="shared" si="174"/>
        <v>1.4416553595658075</v>
      </c>
    </row>
    <row r="4291" spans="1:11" hidden="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H4291" s="5">
        <v>3840</v>
      </c>
      <c r="I4291" s="6">
        <v>1768.8</v>
      </c>
      <c r="J4291" s="5">
        <v>13400</v>
      </c>
      <c r="K4291" s="6">
        <f t="shared" si="174"/>
        <v>2.1709633649932156</v>
      </c>
    </row>
    <row r="4292" spans="1:11" hidden="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H4292" s="5">
        <v>1095</v>
      </c>
      <c r="I4292" s="6">
        <v>1029.5999999999999</v>
      </c>
      <c r="J4292" s="5">
        <v>7800</v>
      </c>
      <c r="K4292" s="6">
        <f t="shared" si="174"/>
        <v>1.0635198135198136</v>
      </c>
    </row>
    <row r="4293" spans="1:11" hidden="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H4293" s="5">
        <v>2700</v>
      </c>
      <c r="I4293" s="6">
        <v>1346.4</v>
      </c>
      <c r="J4293" s="5">
        <v>10200</v>
      </c>
      <c r="K4293" s="6">
        <f t="shared" si="174"/>
        <v>2.0053475935828877</v>
      </c>
    </row>
    <row r="4294" spans="1:11" hidden="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H4294" s="5">
        <v>930</v>
      </c>
      <c r="I4294" s="6">
        <v>440.18999062500001</v>
      </c>
      <c r="J4294" s="5">
        <v>3200</v>
      </c>
      <c r="K4294" s="6">
        <f t="shared" si="174"/>
        <v>2.1127240959739848</v>
      </c>
    </row>
    <row r="4295" spans="1:11" hidden="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H4295" s="5">
        <v>1650</v>
      </c>
      <c r="I4295" s="6">
        <v>880.38</v>
      </c>
      <c r="J4295" s="5">
        <v>6400</v>
      </c>
      <c r="K4295" s="6">
        <f t="shared" si="174"/>
        <v>1.874190690383698</v>
      </c>
    </row>
    <row r="4296" spans="1:11" hidden="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H4296" s="5">
        <v>700</v>
      </c>
      <c r="I4296" s="6">
        <v>330.14249999999998</v>
      </c>
      <c r="J4296" s="5">
        <v>2400</v>
      </c>
      <c r="K4296" s="6">
        <f t="shared" si="174"/>
        <v>2.1202965386159009</v>
      </c>
    </row>
    <row r="4297" spans="1:11" hidden="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H4297" s="5">
        <v>2875</v>
      </c>
      <c r="I4297" s="6">
        <v>1430.6175000000001</v>
      </c>
      <c r="J4297" s="5">
        <v>10400</v>
      </c>
      <c r="K4297" s="6">
        <f t="shared" si="174"/>
        <v>2.009621719292543</v>
      </c>
    </row>
    <row r="4298" spans="1:11" hidden="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H4298" s="5">
        <v>0</v>
      </c>
      <c r="I4298" s="6">
        <v>220.095</v>
      </c>
      <c r="J4298" s="5">
        <v>1600</v>
      </c>
      <c r="K4298" s="6">
        <f t="shared" si="174"/>
        <v>0</v>
      </c>
    </row>
    <row r="4299" spans="1:11" hidden="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H4299" s="5">
        <v>2660</v>
      </c>
      <c r="I4299" s="6">
        <v>1287.0000000000018</v>
      </c>
      <c r="J4299" s="5">
        <v>9400</v>
      </c>
      <c r="K4299" s="6">
        <f t="shared" si="174"/>
        <v>2.066822066822064</v>
      </c>
    </row>
    <row r="4300" spans="1:11" hidden="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H4300" s="5">
        <v>5050</v>
      </c>
      <c r="I4300" s="6">
        <v>2641.14</v>
      </c>
      <c r="J4300" s="5">
        <v>19200</v>
      </c>
      <c r="K4300" s="6">
        <f t="shared" si="174"/>
        <v>1.9120531285732676</v>
      </c>
    </row>
    <row r="4301" spans="1:11" hidden="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H4301" s="5">
        <v>3330</v>
      </c>
      <c r="I4301" s="6">
        <v>880.38</v>
      </c>
      <c r="J4301" s="5">
        <v>6400</v>
      </c>
      <c r="K4301" s="6">
        <f t="shared" si="174"/>
        <v>3.7824575751380087</v>
      </c>
    </row>
    <row r="4302" spans="1:11" hidden="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H4302" s="5">
        <v>3020</v>
      </c>
      <c r="I4302" s="6">
        <v>880.38</v>
      </c>
      <c r="J4302" s="5">
        <v>6400</v>
      </c>
      <c r="K4302" s="6">
        <f t="shared" si="174"/>
        <v>3.430336899975011</v>
      </c>
    </row>
    <row r="4303" spans="1:11" hidden="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H4303" s="5">
        <v>520</v>
      </c>
      <c r="I4303" s="6">
        <v>1755.4</v>
      </c>
      <c r="J4303" s="5">
        <v>12800</v>
      </c>
      <c r="K4303" s="6">
        <f t="shared" si="174"/>
        <v>0.29622877976529566</v>
      </c>
    </row>
    <row r="4304" spans="1:11" hidden="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H4304" s="5">
        <v>6520</v>
      </c>
      <c r="I4304" s="6">
        <v>2413.6749943750001</v>
      </c>
      <c r="J4304" s="5">
        <v>17600</v>
      </c>
      <c r="K4304" s="6">
        <f t="shared" si="174"/>
        <v>2.7012750329661914</v>
      </c>
    </row>
    <row r="4305" spans="1:11" hidden="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H4305" s="5">
        <v>1400</v>
      </c>
      <c r="I4305" s="6">
        <v>1645.6875</v>
      </c>
      <c r="J4305" s="5">
        <v>12000</v>
      </c>
      <c r="K4305" s="6">
        <f t="shared" si="174"/>
        <v>0.85070829060802855</v>
      </c>
    </row>
    <row r="4306" spans="1:11" hidden="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H4306" s="5">
        <v>1680</v>
      </c>
      <c r="I4306" s="6">
        <v>726.32013058333712</v>
      </c>
      <c r="J4306" s="5">
        <v>5712</v>
      </c>
      <c r="K4306" s="6">
        <f t="shared" si="174"/>
        <v>2.313029653536828</v>
      </c>
    </row>
    <row r="4307" spans="1:11" hidden="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H4307" s="5">
        <v>2670</v>
      </c>
      <c r="I4307" s="6">
        <v>924.39958333667107</v>
      </c>
      <c r="J4307" s="5">
        <v>6720</v>
      </c>
      <c r="K4307" s="6">
        <f t="shared" si="174"/>
        <v>2.8883613192062336</v>
      </c>
    </row>
    <row r="4308" spans="1:11" hidden="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H4308" s="5">
        <v>1580</v>
      </c>
      <c r="I4308" s="6">
        <v>1122.485208333339</v>
      </c>
      <c r="J4308" s="5">
        <v>8160</v>
      </c>
      <c r="K4308" s="6">
        <f t="shared" si="174"/>
        <v>1.4075909315063286</v>
      </c>
    </row>
    <row r="4309" spans="1:11" hidden="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H4309" s="5">
        <v>460</v>
      </c>
      <c r="I4309" s="6">
        <v>396.17125000000198</v>
      </c>
      <c r="J4309" s="5">
        <v>2880</v>
      </c>
      <c r="K4309" s="6">
        <f t="shared" si="174"/>
        <v>1.1611140384366552</v>
      </c>
    </row>
    <row r="4310" spans="1:11" hidden="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H4310" s="5">
        <v>3690</v>
      </c>
      <c r="I4310" s="6">
        <v>1535.9749999999999</v>
      </c>
      <c r="J4310" s="5">
        <v>11200</v>
      </c>
      <c r="K4310" s="6">
        <f t="shared" si="174"/>
        <v>2.4023828512833871</v>
      </c>
    </row>
    <row r="4311" spans="1:11" hidden="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H4311" s="5">
        <v>3240</v>
      </c>
      <c r="I4311" s="6">
        <v>1535.9749999999999</v>
      </c>
      <c r="J4311" s="5">
        <v>11200</v>
      </c>
      <c r="K4311" s="6">
        <f t="shared" si="174"/>
        <v>2.1094093328341934</v>
      </c>
    </row>
    <row r="4312" spans="1:11" hidden="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H4312" s="5">
        <v>1350</v>
      </c>
      <c r="I4312" s="6">
        <v>594.25687500000299</v>
      </c>
      <c r="J4312" s="5">
        <v>4320</v>
      </c>
      <c r="K4312" s="6">
        <f t="shared" si="174"/>
        <v>2.2717448578108468</v>
      </c>
    </row>
    <row r="4313" spans="1:11" hidden="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H4313" s="5">
        <v>4580</v>
      </c>
      <c r="I4313" s="6">
        <v>2575.1131250013459</v>
      </c>
      <c r="J4313" s="5">
        <v>18720</v>
      </c>
      <c r="K4313" s="6">
        <f t="shared" si="174"/>
        <v>1.7785626408150927</v>
      </c>
    </row>
    <row r="4314" spans="1:11" hidden="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H4314" s="5">
        <v>1680</v>
      </c>
      <c r="I4314" s="6">
        <v>528.37931032368999</v>
      </c>
      <c r="J4314" s="5">
        <v>4000</v>
      </c>
      <c r="K4314" s="6">
        <f t="shared" ref="K4314:K4320" si="175">IFERROR(H4314/I4314,"")</f>
        <v>3.1795340339325864</v>
      </c>
    </row>
    <row r="4315" spans="1:11" hidden="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H4315" s="5">
        <v>4500</v>
      </c>
      <c r="I4315" s="6">
        <v>2272.0310343918732</v>
      </c>
      <c r="J4315" s="5">
        <v>17200</v>
      </c>
      <c r="K4315" s="6">
        <f t="shared" si="175"/>
        <v>1.9806067487121539</v>
      </c>
    </row>
    <row r="4316" spans="1:11" hidden="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H4316" s="5">
        <v>1470</v>
      </c>
      <c r="I4316" s="6">
        <v>1162.4344827121224</v>
      </c>
      <c r="J4316" s="5">
        <v>8800</v>
      </c>
      <c r="K4316" s="6">
        <f t="shared" si="175"/>
        <v>1.2645873998595467</v>
      </c>
    </row>
    <row r="4317" spans="1:11" hidden="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H4317" s="5">
        <v>700</v>
      </c>
      <c r="I4317" s="6">
        <v>1162.4344827121181</v>
      </c>
      <c r="J4317" s="5">
        <v>8800</v>
      </c>
      <c r="K4317" s="6">
        <f t="shared" si="175"/>
        <v>0.60218447612359582</v>
      </c>
    </row>
    <row r="4318" spans="1:11" hidden="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H4318" s="5">
        <v>2130</v>
      </c>
      <c r="I4318" s="6">
        <v>1056.7586206473827</v>
      </c>
      <c r="J4318" s="5">
        <v>8000</v>
      </c>
      <c r="K4318" s="6">
        <f t="shared" si="175"/>
        <v>2.0155974679394024</v>
      </c>
    </row>
    <row r="4319" spans="1:11" hidden="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H4319" s="5">
        <v>1920</v>
      </c>
      <c r="I4319" s="6">
        <v>1109.596551679753</v>
      </c>
      <c r="J4319" s="5">
        <v>8400</v>
      </c>
      <c r="K4319" s="6">
        <f t="shared" si="175"/>
        <v>1.7303586579224897</v>
      </c>
    </row>
    <row r="4320" spans="1:11" hidden="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H4320" s="5">
        <v>3925</v>
      </c>
      <c r="I4320" s="6">
        <v>1902.1655171652881</v>
      </c>
      <c r="J4320" s="5">
        <v>14400</v>
      </c>
      <c r="K4320" s="6">
        <f t="shared" si="175"/>
        <v>2.063437679098111</v>
      </c>
    </row>
    <row r="4321" spans="1:11" hidden="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H4321" s="5">
        <v>1725</v>
      </c>
      <c r="I4321" s="6">
        <v>951.10714281909407</v>
      </c>
      <c r="J4321" s="5">
        <v>7200</v>
      </c>
      <c r="K4321" s="6">
        <f t="shared" ref="K4321:K4383" si="177">+H4321/I4321</f>
        <v>1.8136757914435142</v>
      </c>
    </row>
    <row r="4322" spans="1:11" hidden="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H4322" s="5">
        <v>9450</v>
      </c>
      <c r="I4322" s="6">
        <v>3804.4285712763772</v>
      </c>
      <c r="J4322" s="5">
        <v>28800</v>
      </c>
      <c r="K4322" s="6">
        <f t="shared" si="177"/>
        <v>2.4839472795856818</v>
      </c>
    </row>
    <row r="4323" spans="1:11" hidden="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H4323" s="5">
        <v>7320</v>
      </c>
      <c r="I4323" s="6">
        <v>2641.8965516184649</v>
      </c>
      <c r="J4323" s="5">
        <v>20000</v>
      </c>
      <c r="K4323" s="6">
        <f t="shared" si="177"/>
        <v>2.7707368009983813</v>
      </c>
    </row>
    <row r="4324" spans="1:11" hidden="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H4324" s="5">
        <v>14130</v>
      </c>
      <c r="I4324" s="6">
        <v>3592.9793102010913</v>
      </c>
      <c r="J4324" s="5">
        <v>26044</v>
      </c>
      <c r="K4324" s="6">
        <f t="shared" si="177"/>
        <v>3.932669458986997</v>
      </c>
    </row>
    <row r="4325" spans="1:11" hidden="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H4325" s="5">
        <v>3075</v>
      </c>
      <c r="I4325" s="6">
        <v>1268.1103447768633</v>
      </c>
      <c r="J4325" s="5">
        <v>9600</v>
      </c>
      <c r="K4325" s="6">
        <f t="shared" si="177"/>
        <v>2.4248678458191089</v>
      </c>
    </row>
    <row r="4326" spans="1:11" hidden="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H4326" s="5">
        <v>800</v>
      </c>
      <c r="I4326" s="6">
        <v>528.37931032368999</v>
      </c>
      <c r="J4326" s="5">
        <v>4000</v>
      </c>
      <c r="K4326" s="6">
        <f t="shared" si="177"/>
        <v>1.5140638256821841</v>
      </c>
    </row>
    <row r="4327" spans="1:11" hidden="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H4327" s="5">
        <v>1740</v>
      </c>
      <c r="I4327" s="6">
        <v>1162.4344827121247</v>
      </c>
      <c r="J4327" s="5">
        <v>8800</v>
      </c>
      <c r="K4327" s="6">
        <f t="shared" si="177"/>
        <v>1.4968585549357869</v>
      </c>
    </row>
    <row r="4328" spans="1:11" hidden="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H4328" s="5">
        <v>1440</v>
      </c>
      <c r="I4328" s="6">
        <v>528.3915024419166</v>
      </c>
      <c r="J4328" s="5">
        <v>4000</v>
      </c>
      <c r="K4328" s="6">
        <f t="shared" si="177"/>
        <v>2.7252520022467466</v>
      </c>
    </row>
    <row r="4329" spans="1:11" hidden="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H4329" s="5">
        <v>15360</v>
      </c>
      <c r="I4329" s="6">
        <v>3910.1071427007282</v>
      </c>
      <c r="J4329" s="5">
        <v>29260</v>
      </c>
      <c r="K4329" s="6">
        <f t="shared" si="177"/>
        <v>3.928281103159434</v>
      </c>
    </row>
    <row r="4330" spans="1:11" hidden="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H4330" s="5">
        <v>4225</v>
      </c>
      <c r="I4330" s="6">
        <v>1902.2142856381945</v>
      </c>
      <c r="J4330" s="5">
        <v>14400</v>
      </c>
      <c r="K4330" s="6">
        <f t="shared" si="177"/>
        <v>2.2210957156083544</v>
      </c>
    </row>
    <row r="4331" spans="1:11" hidden="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H4331" s="5">
        <v>2790</v>
      </c>
      <c r="I4331" s="6">
        <v>1162.4642856677858</v>
      </c>
      <c r="J4331" s="5">
        <v>8800</v>
      </c>
      <c r="K4331" s="6">
        <f t="shared" si="177"/>
        <v>2.4000737350801833</v>
      </c>
    </row>
    <row r="4332" spans="1:11" hidden="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H4332" s="5">
        <v>510</v>
      </c>
      <c r="I4332" s="6">
        <v>317.03571427303262</v>
      </c>
      <c r="J4332" s="5">
        <v>2400</v>
      </c>
      <c r="K4332" s="6">
        <f t="shared" si="177"/>
        <v>1.6086515715411975</v>
      </c>
    </row>
    <row r="4333" spans="1:11" hidden="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H4333" s="5">
        <v>2950</v>
      </c>
      <c r="I4333" s="6">
        <v>951.10714281875391</v>
      </c>
      <c r="J4333" s="5">
        <v>7200</v>
      </c>
      <c r="K4333" s="6">
        <f t="shared" si="177"/>
        <v>3.1016484549334962</v>
      </c>
    </row>
    <row r="4334" spans="1:11" hidden="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H4334" s="5">
        <v>1100</v>
      </c>
      <c r="I4334" s="6">
        <v>898.26785710660101</v>
      </c>
      <c r="J4334" s="5">
        <v>6800</v>
      </c>
      <c r="K4334" s="6">
        <f t="shared" si="177"/>
        <v>1.2245790510006622</v>
      </c>
    </row>
    <row r="4335" spans="1:11" hidden="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H4335" s="5">
        <v>2200</v>
      </c>
      <c r="I4335" s="6">
        <v>1162.4642856673661</v>
      </c>
      <c r="J4335" s="5">
        <v>8800</v>
      </c>
      <c r="K4335" s="6">
        <f t="shared" si="177"/>
        <v>1.8925312606373872</v>
      </c>
    </row>
    <row r="4336" spans="1:11" hidden="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H4336" s="5">
        <v>1710</v>
      </c>
      <c r="I4336" s="6">
        <v>686.91071425798896</v>
      </c>
      <c r="J4336" s="5">
        <v>5200</v>
      </c>
      <c r="K4336" s="6">
        <f t="shared" si="177"/>
        <v>2.4894065043768712</v>
      </c>
    </row>
    <row r="4337" spans="1:11" hidden="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H4337" s="5">
        <v>1675</v>
      </c>
      <c r="I4337" s="6">
        <v>845.428571394752</v>
      </c>
      <c r="J4337" s="5">
        <v>6400</v>
      </c>
      <c r="K4337" s="6">
        <f t="shared" si="177"/>
        <v>1.9812436634790522</v>
      </c>
    </row>
    <row r="4338" spans="1:11" hidden="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H4338" s="5">
        <v>6700</v>
      </c>
      <c r="I4338" s="6">
        <v>3910.1071427007355</v>
      </c>
      <c r="J4338" s="5">
        <v>29600</v>
      </c>
      <c r="K4338" s="6">
        <f t="shared" si="177"/>
        <v>1.713508033279177</v>
      </c>
    </row>
    <row r="4339" spans="1:11" hidden="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H4339" s="5">
        <v>6350</v>
      </c>
      <c r="I4339" s="6">
        <v>4015.7857141250793</v>
      </c>
      <c r="J4339" s="5">
        <v>30400</v>
      </c>
      <c r="K4339" s="6">
        <f t="shared" si="177"/>
        <v>1.5812596717161929</v>
      </c>
    </row>
    <row r="4340" spans="1:11" hidden="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H4340" s="5">
        <v>7020</v>
      </c>
      <c r="I4340" s="6">
        <v>2747.5751230427709</v>
      </c>
      <c r="J4340" s="5">
        <v>20800</v>
      </c>
      <c r="K4340" s="6">
        <f t="shared" si="177"/>
        <v>2.5549801863927857</v>
      </c>
    </row>
    <row r="4341" spans="1:11" hidden="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H4341" s="5">
        <v>1380</v>
      </c>
      <c r="I4341" s="6">
        <v>1056.75862064738</v>
      </c>
      <c r="J4341" s="5">
        <v>9600</v>
      </c>
      <c r="K4341" s="6">
        <f t="shared" si="177"/>
        <v>1.3058800496508838</v>
      </c>
    </row>
    <row r="4342" spans="1:11" hidden="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H4342" s="5">
        <v>75</v>
      </c>
      <c r="I4342" s="6">
        <v>369.86551722658481</v>
      </c>
      <c r="J4342" s="5">
        <v>3080</v>
      </c>
      <c r="K4342" s="6">
        <f t="shared" si="177"/>
        <v>0.2027764052252915</v>
      </c>
    </row>
    <row r="4343" spans="1:11" hidden="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H4343" s="5">
        <v>10110</v>
      </c>
      <c r="I4343" s="6">
        <v>3592.9793102011122</v>
      </c>
      <c r="J4343" s="5">
        <v>27820</v>
      </c>
      <c r="K4343" s="6">
        <f t="shared" si="177"/>
        <v>2.8138208230968371</v>
      </c>
    </row>
    <row r="4344" spans="1:11" hidden="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H4344" s="5">
        <v>5010</v>
      </c>
      <c r="I4344" s="6">
        <v>1585.2222221588099</v>
      </c>
      <c r="J4344" s="5">
        <v>11490</v>
      </c>
      <c r="K4344" s="6">
        <f t="shared" si="177"/>
        <v>3.1604401767578114</v>
      </c>
    </row>
    <row r="4345" spans="1:11" hidden="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H4345" s="5">
        <v>3090</v>
      </c>
      <c r="I4345" s="6">
        <v>2219.311111022334</v>
      </c>
      <c r="J4345" s="5">
        <v>16800</v>
      </c>
      <c r="K4345" s="6">
        <f t="shared" si="177"/>
        <v>1.3923239444228168</v>
      </c>
    </row>
    <row r="4346" spans="1:11" hidden="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H4346" s="5">
        <v>4900</v>
      </c>
      <c r="I4346" s="6">
        <v>2959.0814813631118</v>
      </c>
      <c r="J4346" s="5">
        <v>22400</v>
      </c>
      <c r="K4346" s="6">
        <f t="shared" si="177"/>
        <v>1.6559192542892724</v>
      </c>
    </row>
    <row r="4347" spans="1:11" hidden="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H4347" s="5">
        <v>0</v>
      </c>
      <c r="I4347" s="6">
        <v>1796.5851851133182</v>
      </c>
      <c r="J4347" s="5">
        <v>13600</v>
      </c>
      <c r="K4347" s="6">
        <f t="shared" si="177"/>
        <v>0</v>
      </c>
    </row>
    <row r="4348" spans="1:11" hidden="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H4348" s="5">
        <v>2350</v>
      </c>
      <c r="I4348" s="6">
        <v>1912.3542857142861</v>
      </c>
      <c r="J4348" s="5">
        <v>16320</v>
      </c>
      <c r="K4348" s="6">
        <f t="shared" si="177"/>
        <v>1.2288517967382013</v>
      </c>
    </row>
    <row r="4349" spans="1:11" hidden="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H4349" s="5">
        <v>4290</v>
      </c>
      <c r="I4349" s="6">
        <v>2812.2857142428579</v>
      </c>
      <c r="J4349" s="5">
        <v>20000</v>
      </c>
      <c r="K4349" s="6">
        <f t="shared" si="177"/>
        <v>1.5254495580848129</v>
      </c>
    </row>
    <row r="4350" spans="1:11" hidden="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H4350" s="5">
        <v>2300</v>
      </c>
      <c r="I4350" s="6">
        <v>1768.8376470588223</v>
      </c>
      <c r="J4350" s="5">
        <v>12800</v>
      </c>
      <c r="K4350" s="6">
        <f t="shared" si="177"/>
        <v>1.3002889235337007</v>
      </c>
    </row>
    <row r="4351" spans="1:11" hidden="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H4351" s="5">
        <v>4420</v>
      </c>
      <c r="I4351" s="6">
        <v>2263.7999998868127</v>
      </c>
      <c r="J4351" s="5">
        <v>17920</v>
      </c>
      <c r="K4351" s="6">
        <f t="shared" si="177"/>
        <v>1.952469299505696</v>
      </c>
    </row>
    <row r="4352" spans="1:11" hidden="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H4352" s="5">
        <v>1200</v>
      </c>
      <c r="I4352" s="6">
        <v>994.97117647058747</v>
      </c>
      <c r="J4352" s="5">
        <v>7200</v>
      </c>
      <c r="K4352" s="6">
        <f t="shared" si="177"/>
        <v>1.2060650884950268</v>
      </c>
    </row>
    <row r="4353" spans="1:11" hidden="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H4353" s="5">
        <v>1860</v>
      </c>
      <c r="I4353" s="6">
        <v>994.97117647058747</v>
      </c>
      <c r="J4353" s="5">
        <v>7920</v>
      </c>
      <c r="K4353" s="6">
        <f t="shared" si="177"/>
        <v>1.8694008871672916</v>
      </c>
    </row>
    <row r="4354" spans="1:11" hidden="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H4354" s="5">
        <v>3600</v>
      </c>
      <c r="I4354" s="6">
        <v>2263.7999998868127</v>
      </c>
      <c r="J4354" s="5">
        <v>17920</v>
      </c>
      <c r="K4354" s="6">
        <f t="shared" si="177"/>
        <v>1.5902464882851823</v>
      </c>
    </row>
    <row r="4355" spans="1:11" hidden="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H4355" s="5">
        <v>13590</v>
      </c>
      <c r="I4355" s="6">
        <v>6727.0499997982479</v>
      </c>
      <c r="J4355" s="5">
        <v>49210</v>
      </c>
      <c r="K4355" s="6">
        <f t="shared" si="177"/>
        <v>2.0202020202626083</v>
      </c>
    </row>
    <row r="4356" spans="1:11" hidden="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H4356" s="5">
        <v>1770</v>
      </c>
      <c r="I4356" s="6">
        <v>994.95</v>
      </c>
      <c r="J4356" s="5">
        <v>7200</v>
      </c>
      <c r="K4356" s="6">
        <f t="shared" si="177"/>
        <v>1.7789838685361072</v>
      </c>
    </row>
    <row r="4357" spans="1:11" hidden="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H4357" s="5">
        <v>1525</v>
      </c>
      <c r="I4357" s="6">
        <v>831.6</v>
      </c>
      <c r="J4357" s="5">
        <v>6300</v>
      </c>
      <c r="K4357" s="6">
        <f t="shared" si="177"/>
        <v>1.8338143338143338</v>
      </c>
    </row>
    <row r="4358" spans="1:11" hidden="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H4358" s="5">
        <v>5950</v>
      </c>
      <c r="I4358" s="6">
        <v>1267.2</v>
      </c>
      <c r="J4358" s="5">
        <v>9600</v>
      </c>
      <c r="K4358" s="6">
        <f t="shared" si="177"/>
        <v>4.6953914141414144</v>
      </c>
    </row>
    <row r="4359" spans="1:11" hidden="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H4359" s="5">
        <v>1080</v>
      </c>
      <c r="I4359" s="6">
        <v>316.8</v>
      </c>
      <c r="J4359" s="5">
        <v>2400</v>
      </c>
      <c r="K4359" s="6">
        <f t="shared" si="177"/>
        <v>3.4090909090909092</v>
      </c>
    </row>
    <row r="4360" spans="1:11" hidden="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H4360" s="5">
        <v>10860</v>
      </c>
      <c r="I4360" s="6">
        <v>3603.6</v>
      </c>
      <c r="J4360" s="5">
        <v>27296</v>
      </c>
      <c r="K4360" s="6">
        <f t="shared" si="177"/>
        <v>3.0136530136530135</v>
      </c>
    </row>
    <row r="4361" spans="1:11" hidden="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H4361" s="5">
        <v>6750</v>
      </c>
      <c r="I4361" s="6">
        <v>3682.8</v>
      </c>
      <c r="J4361" s="5">
        <v>27900</v>
      </c>
      <c r="K4361" s="6">
        <f t="shared" si="177"/>
        <v>1.8328445747800586</v>
      </c>
    </row>
    <row r="4362" spans="1:11" hidden="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H4362" s="5">
        <v>3950</v>
      </c>
      <c r="I4362" s="6">
        <v>2376</v>
      </c>
      <c r="J4362" s="5">
        <v>18000</v>
      </c>
      <c r="K4362" s="6">
        <f t="shared" si="177"/>
        <v>1.6624579124579124</v>
      </c>
    </row>
    <row r="4363" spans="1:11" hidden="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H4363" s="5">
        <v>1920</v>
      </c>
      <c r="I4363" s="6">
        <v>950.4</v>
      </c>
      <c r="J4363" s="5">
        <v>7200</v>
      </c>
      <c r="K4363" s="6">
        <f t="shared" si="177"/>
        <v>2.0202020202020203</v>
      </c>
    </row>
    <row r="4364" spans="1:11" hidden="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H4364" s="5">
        <v>2200</v>
      </c>
      <c r="I4364" s="6">
        <v>1346.4</v>
      </c>
      <c r="J4364" s="5">
        <v>10200</v>
      </c>
      <c r="K4364" s="6">
        <f t="shared" si="177"/>
        <v>1.6339869281045751</v>
      </c>
    </row>
    <row r="4365" spans="1:11" hidden="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H4365" s="5">
        <v>5550</v>
      </c>
      <c r="I4365" s="6">
        <v>2851.2</v>
      </c>
      <c r="J4365" s="5">
        <v>21600</v>
      </c>
      <c r="K4365" s="6">
        <f t="shared" si="177"/>
        <v>1.9465488215488216</v>
      </c>
    </row>
    <row r="4366" spans="1:11" hidden="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H4366" s="5">
        <v>2700</v>
      </c>
      <c r="I4366" s="6">
        <v>2138.4</v>
      </c>
      <c r="J4366" s="5">
        <v>16200</v>
      </c>
      <c r="K4366" s="6">
        <f t="shared" si="177"/>
        <v>1.2626262626262625</v>
      </c>
    </row>
    <row r="4367" spans="1:11" hidden="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H4367" s="5">
        <v>1600</v>
      </c>
      <c r="I4367" s="6">
        <v>963.6</v>
      </c>
      <c r="J4367" s="5">
        <v>7570</v>
      </c>
      <c r="K4367" s="6">
        <f t="shared" si="177"/>
        <v>1.6604400166044002</v>
      </c>
    </row>
    <row r="4368" spans="1:11" hidden="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H4368" s="5">
        <v>6250</v>
      </c>
      <c r="I4368" s="6">
        <v>3168</v>
      </c>
      <c r="J4368" s="5">
        <v>24000</v>
      </c>
      <c r="K4368" s="6">
        <f t="shared" si="177"/>
        <v>1.9728535353535352</v>
      </c>
    </row>
    <row r="4369" spans="1:11" hidden="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H4369" s="5">
        <v>3000</v>
      </c>
      <c r="I4369" s="6">
        <v>1188</v>
      </c>
      <c r="J4369" s="5">
        <v>9000</v>
      </c>
      <c r="K4369" s="6">
        <f t="shared" si="177"/>
        <v>2.5252525252525251</v>
      </c>
    </row>
    <row r="4370" spans="1:11" hidden="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H4370" s="5">
        <v>4400</v>
      </c>
      <c r="I4370" s="6">
        <v>2732.4</v>
      </c>
      <c r="J4370" s="5">
        <v>20700</v>
      </c>
      <c r="K4370" s="6">
        <f t="shared" si="177"/>
        <v>1.6103059581320451</v>
      </c>
    </row>
    <row r="4371" spans="1:11" hidden="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H4371" s="5">
        <v>1800</v>
      </c>
      <c r="I4371" s="6">
        <v>673.2</v>
      </c>
      <c r="J4371" s="5">
        <v>5100</v>
      </c>
      <c r="K4371" s="6">
        <f t="shared" si="177"/>
        <v>2.6737967914438503</v>
      </c>
    </row>
    <row r="4372" spans="1:11" hidden="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H4372" s="5">
        <v>1925</v>
      </c>
      <c r="I4372" s="6">
        <v>1100.4749999999999</v>
      </c>
      <c r="J4372" s="5">
        <v>8000</v>
      </c>
      <c r="K4372" s="6">
        <f t="shared" si="177"/>
        <v>1.7492446443581182</v>
      </c>
    </row>
    <row r="4373" spans="1:11" hidden="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H4373" s="5">
        <v>3350</v>
      </c>
      <c r="I4373" s="6">
        <v>1287</v>
      </c>
      <c r="J4373" s="5">
        <v>9400</v>
      </c>
      <c r="K4373" s="6">
        <f t="shared" si="177"/>
        <v>2.6029526029526031</v>
      </c>
    </row>
    <row r="4374" spans="1:11" hidden="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H4374" s="5">
        <v>8010</v>
      </c>
      <c r="I4374" s="6">
        <v>2641.14</v>
      </c>
      <c r="J4374" s="5">
        <v>19200</v>
      </c>
      <c r="K4374" s="6">
        <f t="shared" si="177"/>
        <v>3.0327812989845295</v>
      </c>
    </row>
    <row r="4375" spans="1:11" hidden="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H4375" s="5">
        <v>8490</v>
      </c>
      <c r="I4375" s="6">
        <v>2641.14</v>
      </c>
      <c r="J4375" s="5">
        <v>19200</v>
      </c>
      <c r="K4375" s="6">
        <f t="shared" si="177"/>
        <v>3.2145210022944637</v>
      </c>
    </row>
    <row r="4376" spans="1:11" hidden="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H4376" s="5">
        <v>4680</v>
      </c>
      <c r="I4376" s="6">
        <v>1430.6174906250001</v>
      </c>
      <c r="J4376" s="5">
        <v>10400</v>
      </c>
      <c r="K4376" s="6">
        <f t="shared" si="177"/>
        <v>3.2713146810161171</v>
      </c>
    </row>
    <row r="4377" spans="1:11" hidden="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H4377" s="5">
        <v>3060</v>
      </c>
      <c r="I4377" s="6">
        <v>1430.6175000000001</v>
      </c>
      <c r="J4377" s="5">
        <v>10400</v>
      </c>
      <c r="K4377" s="6">
        <f t="shared" si="177"/>
        <v>2.1389365081861502</v>
      </c>
    </row>
    <row r="4378" spans="1:11" hidden="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H4378" s="5">
        <v>5100</v>
      </c>
      <c r="I4378" s="6">
        <v>2861.2350000000001</v>
      </c>
      <c r="J4378" s="5">
        <v>20800</v>
      </c>
      <c r="K4378" s="6">
        <f t="shared" si="177"/>
        <v>1.7824470901551253</v>
      </c>
    </row>
    <row r="4379" spans="1:11" hidden="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H4379" s="5">
        <v>6675</v>
      </c>
      <c r="I4379" s="6">
        <v>3071.9505625000002</v>
      </c>
      <c r="J4379" s="5">
        <v>22400</v>
      </c>
      <c r="K4379" s="6">
        <f t="shared" si="177"/>
        <v>2.1728865306243024</v>
      </c>
    </row>
    <row r="4380" spans="1:11" hidden="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H4380" s="5">
        <v>4925</v>
      </c>
      <c r="I4380" s="6">
        <v>1097.125</v>
      </c>
      <c r="J4380" s="5">
        <v>8000</v>
      </c>
      <c r="K4380" s="6">
        <f t="shared" si="177"/>
        <v>4.4890053549048652</v>
      </c>
    </row>
    <row r="4381" spans="1:11" hidden="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H4381" s="5">
        <v>6200</v>
      </c>
      <c r="I4381" s="6">
        <v>2852.5250000000001</v>
      </c>
      <c r="J4381" s="5">
        <v>20800</v>
      </c>
      <c r="K4381" s="6">
        <f t="shared" si="177"/>
        <v>2.1735129402897431</v>
      </c>
    </row>
    <row r="4382" spans="1:11" hidden="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H4382" s="5">
        <v>5280</v>
      </c>
      <c r="I4382" s="6">
        <v>2633.1</v>
      </c>
      <c r="J4382" s="5">
        <v>19200</v>
      </c>
      <c r="K4382" s="6">
        <f t="shared" si="177"/>
        <v>2.0052409707189245</v>
      </c>
    </row>
    <row r="4383" spans="1:11" hidden="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H4383" s="5">
        <v>5220</v>
      </c>
      <c r="I4383" s="6">
        <v>2633.1</v>
      </c>
      <c r="J4383" s="5">
        <v>19200</v>
      </c>
      <c r="K4383" s="6">
        <f t="shared" si="177"/>
        <v>1.9824541415062096</v>
      </c>
    </row>
    <row r="4384" spans="1:11" hidden="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H4384" s="5">
        <v>5580</v>
      </c>
      <c r="I4384" s="6">
        <v>2852.5250000000001</v>
      </c>
      <c r="J4384" s="5">
        <v>20800</v>
      </c>
      <c r="K4384" s="6">
        <f t="shared" ref="K4384:K4447" si="179">+H4384/I4384</f>
        <v>1.9561616462607689</v>
      </c>
    </row>
    <row r="4385" spans="1:11" hidden="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H4385" s="5">
        <v>7050</v>
      </c>
      <c r="I4385" s="6">
        <v>2852.5250000000001</v>
      </c>
      <c r="J4385" s="5">
        <v>20800</v>
      </c>
      <c r="K4385" s="6">
        <f t="shared" si="179"/>
        <v>2.4714945530714014</v>
      </c>
    </row>
    <row r="4386" spans="1:11" hidden="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H4386" s="5">
        <v>3900</v>
      </c>
      <c r="I4386" s="6">
        <v>3071.95</v>
      </c>
      <c r="J4386" s="5">
        <v>22400</v>
      </c>
      <c r="K4386" s="6">
        <f t="shared" si="179"/>
        <v>1.2695519132798385</v>
      </c>
    </row>
    <row r="4387" spans="1:11" hidden="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H4387" s="5">
        <v>2550</v>
      </c>
      <c r="I4387" s="6">
        <v>1645.6875</v>
      </c>
      <c r="J4387" s="5">
        <v>12000</v>
      </c>
      <c r="K4387" s="6">
        <f t="shared" si="179"/>
        <v>1.5495043864646234</v>
      </c>
    </row>
    <row r="4388" spans="1:11" hidden="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H4388" s="5">
        <v>7260</v>
      </c>
      <c r="I4388" s="6">
        <v>4121.4642855494085</v>
      </c>
      <c r="J4388" s="5">
        <v>31200</v>
      </c>
      <c r="K4388" s="6">
        <f t="shared" si="179"/>
        <v>1.7615098656695534</v>
      </c>
    </row>
    <row r="4389" spans="1:11" hidden="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H4389" s="5">
        <v>1965</v>
      </c>
      <c r="I4389" s="6">
        <v>1056.7857142434418</v>
      </c>
      <c r="J4389" s="5">
        <v>8000</v>
      </c>
      <c r="K4389" s="6">
        <f t="shared" si="179"/>
        <v>1.859411963575561</v>
      </c>
    </row>
    <row r="4390" spans="1:11" hidden="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H4390" s="5">
        <v>5400</v>
      </c>
      <c r="I4390" s="6">
        <v>2641.9642856076484</v>
      </c>
      <c r="J4390" s="5">
        <v>19996</v>
      </c>
      <c r="K4390" s="6">
        <f t="shared" si="179"/>
        <v>2.0439337614883795</v>
      </c>
    </row>
    <row r="4391" spans="1:11" hidden="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H4391" s="5">
        <v>1380</v>
      </c>
      <c r="I4391" s="6">
        <v>528.39285712153003</v>
      </c>
      <c r="J4391" s="5">
        <v>4000</v>
      </c>
      <c r="K4391" s="6">
        <f t="shared" si="179"/>
        <v>2.6116931396795944</v>
      </c>
    </row>
    <row r="4392" spans="1:11" hidden="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H4392" s="5">
        <v>3540</v>
      </c>
      <c r="I4392" s="6">
        <v>1902.2142856375078</v>
      </c>
      <c r="J4392" s="5">
        <v>14400</v>
      </c>
      <c r="K4392" s="6">
        <f t="shared" si="179"/>
        <v>1.8609890729600975</v>
      </c>
    </row>
    <row r="4393" spans="1:11" hidden="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H4393" s="5">
        <v>960</v>
      </c>
      <c r="I4393" s="6">
        <v>634.05652706821195</v>
      </c>
      <c r="J4393" s="5">
        <v>4800</v>
      </c>
      <c r="K4393" s="6">
        <f t="shared" si="179"/>
        <v>1.5140605908418052</v>
      </c>
    </row>
    <row r="4394" spans="1:11" hidden="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H4394" s="5">
        <v>9600</v>
      </c>
      <c r="I4394" s="6">
        <v>4487.9999999102474</v>
      </c>
      <c r="J4394" s="5">
        <v>31740</v>
      </c>
      <c r="K4394" s="6">
        <f t="shared" si="179"/>
        <v>2.1390374331978572</v>
      </c>
    </row>
    <row r="4395" spans="1:11" hidden="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H4395" s="5">
        <v>4300</v>
      </c>
      <c r="I4395" s="6">
        <v>1702.8</v>
      </c>
      <c r="J4395" s="5">
        <v>12900</v>
      </c>
      <c r="K4395" s="6">
        <f t="shared" si="179"/>
        <v>2.5252525252525255</v>
      </c>
    </row>
    <row r="4396" spans="1:11" hidden="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H4396" s="5">
        <v>5280</v>
      </c>
      <c r="I4396" s="6">
        <v>3009.6</v>
      </c>
      <c r="J4396" s="5">
        <v>22800</v>
      </c>
      <c r="K4396" s="6">
        <f t="shared" si="179"/>
        <v>1.7543859649122808</v>
      </c>
    </row>
    <row r="4397" spans="1:11" hidden="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H4397" s="5">
        <v>4380</v>
      </c>
      <c r="I4397" s="6">
        <v>1386</v>
      </c>
      <c r="J4397" s="5">
        <v>10500</v>
      </c>
      <c r="K4397" s="6">
        <f t="shared" si="179"/>
        <v>3.16017316017316</v>
      </c>
    </row>
    <row r="4398" spans="1:11" hidden="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H4398" s="5">
        <v>2850</v>
      </c>
      <c r="I4398" s="6">
        <v>1386</v>
      </c>
      <c r="J4398" s="5">
        <v>10500</v>
      </c>
      <c r="K4398" s="6">
        <f t="shared" si="179"/>
        <v>2.0562770562770565</v>
      </c>
    </row>
    <row r="4399" spans="1:11" hidden="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H4399" s="5">
        <v>1725</v>
      </c>
      <c r="I4399" s="6">
        <v>1029.5999999999999</v>
      </c>
      <c r="J4399" s="5">
        <v>7800</v>
      </c>
      <c r="K4399" s="6">
        <f t="shared" si="179"/>
        <v>1.6754079254079255</v>
      </c>
    </row>
    <row r="4400" spans="1:11" hidden="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H4400" s="5">
        <v>3175</v>
      </c>
      <c r="I4400" s="6">
        <v>2653.2</v>
      </c>
      <c r="J4400" s="5">
        <v>20100</v>
      </c>
      <c r="K4400" s="6">
        <f t="shared" si="179"/>
        <v>1.1966681742801146</v>
      </c>
    </row>
    <row r="4401" spans="1:11" hidden="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H4401" s="5">
        <v>3750</v>
      </c>
      <c r="I4401" s="6">
        <v>1768.8</v>
      </c>
      <c r="J4401" s="5">
        <v>13400</v>
      </c>
      <c r="K4401" s="6">
        <f t="shared" si="179"/>
        <v>2.1200814111261872</v>
      </c>
    </row>
    <row r="4402" spans="1:11" hidden="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H4402" s="5">
        <v>1500</v>
      </c>
      <c r="I4402" s="6">
        <v>1029.5999999999999</v>
      </c>
      <c r="J4402" s="5">
        <v>7800</v>
      </c>
      <c r="K4402" s="6">
        <f t="shared" si="179"/>
        <v>1.4568764568764569</v>
      </c>
    </row>
    <row r="4403" spans="1:11" hidden="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H4403" s="5">
        <v>3150</v>
      </c>
      <c r="I4403" s="6">
        <v>1346.4</v>
      </c>
      <c r="J4403" s="5">
        <v>10200</v>
      </c>
      <c r="K4403" s="6">
        <f t="shared" si="179"/>
        <v>2.3395721925133688</v>
      </c>
    </row>
    <row r="4404" spans="1:11" hidden="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H4404" s="5">
        <v>1260</v>
      </c>
      <c r="I4404" s="6">
        <v>440.18999062500001</v>
      </c>
      <c r="J4404" s="5">
        <v>3200</v>
      </c>
      <c r="K4404" s="6">
        <f t="shared" si="179"/>
        <v>2.8624003880937861</v>
      </c>
    </row>
    <row r="4405" spans="1:11" hidden="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H4405" s="5">
        <v>1600</v>
      </c>
      <c r="I4405" s="6">
        <v>880.38</v>
      </c>
      <c r="J4405" s="5">
        <v>6400</v>
      </c>
      <c r="K4405" s="6">
        <f t="shared" si="179"/>
        <v>1.8173970330993434</v>
      </c>
    </row>
    <row r="4406" spans="1:11" hidden="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H4406" s="5">
        <v>775</v>
      </c>
      <c r="I4406" s="6">
        <v>330.14249999999998</v>
      </c>
      <c r="J4406" s="5">
        <v>2400</v>
      </c>
      <c r="K4406" s="6">
        <f t="shared" si="179"/>
        <v>2.3474711677533189</v>
      </c>
    </row>
    <row r="4407" spans="1:11" hidden="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H4407" s="5">
        <v>3175</v>
      </c>
      <c r="I4407" s="6">
        <v>1430.6175000000001</v>
      </c>
      <c r="J4407" s="5">
        <v>10400</v>
      </c>
      <c r="K4407" s="6">
        <f t="shared" si="179"/>
        <v>2.2193213769578519</v>
      </c>
    </row>
    <row r="4408" spans="1:11" hidden="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H4408" s="5">
        <v>0</v>
      </c>
      <c r="I4408" s="6">
        <v>220.095</v>
      </c>
      <c r="J4408" s="5">
        <v>1600</v>
      </c>
      <c r="K4408" s="6">
        <f t="shared" si="179"/>
        <v>0</v>
      </c>
    </row>
    <row r="4409" spans="1:11" hidden="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H4409" s="5">
        <v>3220</v>
      </c>
      <c r="I4409" s="6">
        <v>1287.0000000000018</v>
      </c>
      <c r="J4409" s="5">
        <v>9400</v>
      </c>
      <c r="K4409" s="6">
        <f t="shared" si="179"/>
        <v>2.5019425019424983</v>
      </c>
    </row>
    <row r="4410" spans="1:11" hidden="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H4410" s="5">
        <v>7550</v>
      </c>
      <c r="I4410" s="6">
        <v>2641.14</v>
      </c>
      <c r="J4410" s="5">
        <v>19200</v>
      </c>
      <c r="K4410" s="6">
        <f t="shared" si="179"/>
        <v>2.8586140833125091</v>
      </c>
    </row>
    <row r="4411" spans="1:11" hidden="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H4411" s="5">
        <v>3120</v>
      </c>
      <c r="I4411" s="6">
        <v>880.38</v>
      </c>
      <c r="J4411" s="5">
        <v>6400</v>
      </c>
      <c r="K4411" s="6">
        <f t="shared" si="179"/>
        <v>3.5439242145437198</v>
      </c>
    </row>
    <row r="4412" spans="1:11" hidden="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H4412" s="5">
        <v>3080</v>
      </c>
      <c r="I4412" s="6">
        <v>880.38</v>
      </c>
      <c r="J4412" s="5">
        <v>6400</v>
      </c>
      <c r="K4412" s="6">
        <f t="shared" si="179"/>
        <v>3.498489288716236</v>
      </c>
    </row>
    <row r="4413" spans="1:11" hidden="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H4413" s="5">
        <v>380</v>
      </c>
      <c r="I4413" s="6">
        <v>1755.4</v>
      </c>
      <c r="J4413" s="5">
        <v>12800</v>
      </c>
      <c r="K4413" s="6">
        <f t="shared" si="179"/>
        <v>0.21647487752079297</v>
      </c>
    </row>
    <row r="4414" spans="1:11" hidden="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H4414" s="5">
        <v>4200</v>
      </c>
      <c r="I4414" s="6">
        <v>2413.6749943750001</v>
      </c>
      <c r="J4414" s="5">
        <v>17600</v>
      </c>
      <c r="K4414" s="6">
        <f t="shared" si="179"/>
        <v>1.7400851439352767</v>
      </c>
    </row>
    <row r="4415" spans="1:11" hidden="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H4415" s="5">
        <v>2060</v>
      </c>
      <c r="I4415" s="6">
        <v>1645.6875</v>
      </c>
      <c r="J4415" s="5">
        <v>12000</v>
      </c>
      <c r="K4415" s="6">
        <f t="shared" si="179"/>
        <v>1.2517564847518134</v>
      </c>
    </row>
    <row r="4416" spans="1:11" hidden="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H4416" s="5">
        <v>1180</v>
      </c>
      <c r="I4416" s="6">
        <v>726.32013058333712</v>
      </c>
      <c r="J4416" s="5">
        <v>5712</v>
      </c>
      <c r="K4416" s="6">
        <f t="shared" si="179"/>
        <v>1.6246279709365816</v>
      </c>
    </row>
    <row r="4417" spans="1:11" hidden="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H4417" s="5">
        <v>2160</v>
      </c>
      <c r="I4417" s="6">
        <v>924.39958333667107</v>
      </c>
      <c r="J4417" s="5">
        <v>6720</v>
      </c>
      <c r="K4417" s="6">
        <f t="shared" si="179"/>
        <v>2.3366518537398746</v>
      </c>
    </row>
    <row r="4418" spans="1:11" hidden="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H4418" s="5">
        <v>1040</v>
      </c>
      <c r="I4418" s="6">
        <v>1122.485208333339</v>
      </c>
      <c r="J4418" s="5">
        <v>8160</v>
      </c>
      <c r="K4418" s="6">
        <f t="shared" si="179"/>
        <v>0.92651554985226703</v>
      </c>
    </row>
    <row r="4419" spans="1:11" hidden="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H4419" s="5">
        <v>320</v>
      </c>
      <c r="I4419" s="6">
        <v>396.17125000000198</v>
      </c>
      <c r="J4419" s="5">
        <v>2880</v>
      </c>
      <c r="K4419" s="6">
        <f t="shared" si="179"/>
        <v>0.80773150499941226</v>
      </c>
    </row>
    <row r="4420" spans="1:11" hidden="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H4420" s="5">
        <v>2730</v>
      </c>
      <c r="I4420" s="6">
        <v>1535.9749999999999</v>
      </c>
      <c r="J4420" s="5">
        <v>11200</v>
      </c>
      <c r="K4420" s="6">
        <f t="shared" si="179"/>
        <v>1.7773726785917741</v>
      </c>
    </row>
    <row r="4421" spans="1:11" hidden="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H4421" s="5">
        <v>2800</v>
      </c>
      <c r="I4421" s="6">
        <v>1535.9749999999999</v>
      </c>
      <c r="J4421" s="5">
        <v>11200</v>
      </c>
      <c r="K4421" s="6">
        <f t="shared" si="179"/>
        <v>1.8229463370172041</v>
      </c>
    </row>
    <row r="4422" spans="1:11" hidden="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H4422" s="5">
        <v>960</v>
      </c>
      <c r="I4422" s="6">
        <v>594.25687500000299</v>
      </c>
      <c r="J4422" s="5">
        <v>4320</v>
      </c>
      <c r="K4422" s="6">
        <f t="shared" si="179"/>
        <v>1.6154630099988245</v>
      </c>
    </row>
    <row r="4423" spans="1:11" hidden="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H4423" s="5">
        <v>3760</v>
      </c>
      <c r="I4423" s="6">
        <v>2575.1131250013459</v>
      </c>
      <c r="J4423" s="5">
        <v>18720</v>
      </c>
      <c r="K4423" s="6">
        <f t="shared" si="179"/>
        <v>1.4601300282674123</v>
      </c>
    </row>
    <row r="4424" spans="1:11" hidden="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H4424" s="5">
        <v>1500</v>
      </c>
      <c r="I4424" s="6">
        <v>528.37931032368999</v>
      </c>
      <c r="J4424" s="5">
        <v>4000</v>
      </c>
      <c r="K4424" s="6">
        <f t="shared" ref="K4424:K4430" si="180">IFERROR(H4424/I4424,"")</f>
        <v>2.838869673154095</v>
      </c>
    </row>
    <row r="4425" spans="1:11" hidden="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H4425" s="5">
        <v>4900</v>
      </c>
      <c r="I4425" s="6">
        <v>2272.0310343918732</v>
      </c>
      <c r="J4425" s="5">
        <v>17200</v>
      </c>
      <c r="K4425" s="6">
        <f t="shared" si="180"/>
        <v>2.1566606819310121</v>
      </c>
    </row>
    <row r="4426" spans="1:11" hidden="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H4426" s="5">
        <v>1710</v>
      </c>
      <c r="I4426" s="6">
        <v>1162.4344827121224</v>
      </c>
      <c r="J4426" s="5">
        <v>8800</v>
      </c>
      <c r="K4426" s="6">
        <f t="shared" si="180"/>
        <v>1.4710506488162074</v>
      </c>
    </row>
    <row r="4427" spans="1:11" hidden="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H4427" s="5">
        <v>490</v>
      </c>
      <c r="I4427" s="6">
        <v>1162.4344827121181</v>
      </c>
      <c r="J4427" s="5">
        <v>8800</v>
      </c>
      <c r="K4427" s="6">
        <f t="shared" si="180"/>
        <v>0.42152913328651709</v>
      </c>
    </row>
    <row r="4428" spans="1:11" hidden="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H4428" s="5">
        <v>1920</v>
      </c>
      <c r="I4428" s="6">
        <v>1056.7586206473827</v>
      </c>
      <c r="J4428" s="5">
        <v>8000</v>
      </c>
      <c r="K4428" s="6">
        <f t="shared" si="180"/>
        <v>1.8168765908186162</v>
      </c>
    </row>
    <row r="4429" spans="1:11" hidden="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H4429" s="5">
        <v>1800</v>
      </c>
      <c r="I4429" s="6">
        <v>1109.596551679753</v>
      </c>
      <c r="J4429" s="5">
        <v>8400</v>
      </c>
      <c r="K4429" s="6">
        <f t="shared" si="180"/>
        <v>1.6222112418023342</v>
      </c>
    </row>
    <row r="4430" spans="1:11" hidden="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H4430" s="5">
        <v>3775</v>
      </c>
      <c r="I4430" s="6">
        <v>1902.1655171652881</v>
      </c>
      <c r="J4430" s="5">
        <v>14400</v>
      </c>
      <c r="K4430" s="6">
        <f t="shared" si="180"/>
        <v>1.9845801881771641</v>
      </c>
    </row>
    <row r="4431" spans="1:11" hidden="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H4431" s="5">
        <v>900</v>
      </c>
      <c r="I4431" s="6">
        <v>951.10714281909407</v>
      </c>
      <c r="J4431" s="5">
        <v>7200</v>
      </c>
      <c r="K4431" s="6">
        <f t="shared" si="179"/>
        <v>0.94626563031835531</v>
      </c>
    </row>
    <row r="4432" spans="1:11" hidden="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H4432" s="5">
        <v>10050</v>
      </c>
      <c r="I4432" s="6">
        <v>3804.4285712763772</v>
      </c>
      <c r="J4432" s="5">
        <v>28800</v>
      </c>
      <c r="K4432" s="6">
        <f t="shared" si="179"/>
        <v>2.6416582179720747</v>
      </c>
    </row>
    <row r="4433" spans="1:11" hidden="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H4433" s="5">
        <v>7110</v>
      </c>
      <c r="I4433" s="6">
        <v>2641.8965516184649</v>
      </c>
      <c r="J4433" s="5">
        <v>20000</v>
      </c>
      <c r="K4433" s="6">
        <f t="shared" si="179"/>
        <v>2.6912484501500669</v>
      </c>
    </row>
    <row r="4434" spans="1:11" hidden="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H4434" s="5">
        <v>13740</v>
      </c>
      <c r="I4434" s="6">
        <v>3592.9793102010913</v>
      </c>
      <c r="J4434" s="5">
        <v>26044</v>
      </c>
      <c r="K4434" s="6">
        <f t="shared" si="179"/>
        <v>3.8241244420722817</v>
      </c>
    </row>
    <row r="4435" spans="1:11" hidden="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H4435" s="5">
        <v>2825</v>
      </c>
      <c r="I4435" s="6">
        <v>1268.1103447768633</v>
      </c>
      <c r="J4435" s="5">
        <v>9600</v>
      </c>
      <c r="K4435" s="6">
        <f t="shared" si="179"/>
        <v>2.2277241185167425</v>
      </c>
    </row>
    <row r="4436" spans="1:11" hidden="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H4436" s="5">
        <v>900</v>
      </c>
      <c r="I4436" s="6">
        <v>528.37931032368999</v>
      </c>
      <c r="J4436" s="5">
        <v>4000</v>
      </c>
      <c r="K4436" s="6">
        <f t="shared" si="179"/>
        <v>1.7033218038924571</v>
      </c>
    </row>
    <row r="4437" spans="1:11" hidden="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H4437" s="5">
        <v>1470</v>
      </c>
      <c r="I4437" s="6">
        <v>1162.4344827121247</v>
      </c>
      <c r="J4437" s="5">
        <v>8800</v>
      </c>
      <c r="K4437" s="6">
        <f t="shared" si="179"/>
        <v>1.2645873998595443</v>
      </c>
    </row>
    <row r="4438" spans="1:11" hidden="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H4438" s="5">
        <v>960</v>
      </c>
      <c r="I4438" s="6">
        <v>528.3915024419166</v>
      </c>
      <c r="J4438" s="5">
        <v>4000</v>
      </c>
      <c r="K4438" s="6">
        <f t="shared" si="179"/>
        <v>1.8168346681644978</v>
      </c>
    </row>
    <row r="4439" spans="1:11" hidden="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H4439" s="5">
        <v>17790</v>
      </c>
      <c r="I4439" s="6">
        <v>3910.1071427007282</v>
      </c>
      <c r="J4439" s="5">
        <v>29260</v>
      </c>
      <c r="K4439" s="6">
        <f t="shared" si="179"/>
        <v>4.5497474495577039</v>
      </c>
    </row>
    <row r="4440" spans="1:11" hidden="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H4440" s="5">
        <v>4075</v>
      </c>
      <c r="I4440" s="6">
        <v>1902.2142856381945</v>
      </c>
      <c r="J4440" s="5">
        <v>14400</v>
      </c>
      <c r="K4440" s="6">
        <f t="shared" si="179"/>
        <v>2.1422402464151582</v>
      </c>
    </row>
    <row r="4441" spans="1:11" hidden="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H4441" s="5">
        <v>3000</v>
      </c>
      <c r="I4441" s="6">
        <v>1162.4642856677858</v>
      </c>
      <c r="J4441" s="5">
        <v>8800</v>
      </c>
      <c r="K4441" s="6">
        <f t="shared" si="179"/>
        <v>2.5807244463227779</v>
      </c>
    </row>
    <row r="4442" spans="1:11" hidden="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H4442" s="5">
        <v>570</v>
      </c>
      <c r="I4442" s="6">
        <v>317.03571427303262</v>
      </c>
      <c r="J4442" s="5">
        <v>2400</v>
      </c>
      <c r="K4442" s="6">
        <f t="shared" si="179"/>
        <v>1.7979046976048678</v>
      </c>
    </row>
    <row r="4443" spans="1:11" hidden="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H4443" s="5">
        <v>3150</v>
      </c>
      <c r="I4443" s="6">
        <v>951.10714281875391</v>
      </c>
      <c r="J4443" s="5">
        <v>7200</v>
      </c>
      <c r="K4443" s="6">
        <f t="shared" si="179"/>
        <v>3.311929706115428</v>
      </c>
    </row>
    <row r="4444" spans="1:11" hidden="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H4444" s="5">
        <v>1125</v>
      </c>
      <c r="I4444" s="6">
        <v>898.26785710660101</v>
      </c>
      <c r="J4444" s="5">
        <v>6800</v>
      </c>
      <c r="K4444" s="6">
        <f t="shared" si="179"/>
        <v>1.2524103930688593</v>
      </c>
    </row>
    <row r="4445" spans="1:11" hidden="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H4445" s="5">
        <v>2050</v>
      </c>
      <c r="I4445" s="6">
        <v>1162.4642856673661</v>
      </c>
      <c r="J4445" s="5">
        <v>8800</v>
      </c>
      <c r="K4445" s="6">
        <f t="shared" si="179"/>
        <v>1.7634950383212016</v>
      </c>
    </row>
    <row r="4446" spans="1:11" hidden="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H4446" s="5">
        <v>1170</v>
      </c>
      <c r="I4446" s="6">
        <v>686.91071425798896</v>
      </c>
      <c r="J4446" s="5">
        <v>5200</v>
      </c>
      <c r="K4446" s="6">
        <f t="shared" si="179"/>
        <v>1.7032781345736485</v>
      </c>
    </row>
    <row r="4447" spans="1:11" hidden="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H4447" s="5">
        <v>2125</v>
      </c>
      <c r="I4447" s="6">
        <v>845.428571394752</v>
      </c>
      <c r="J4447" s="5">
        <v>6400</v>
      </c>
      <c r="K4447" s="6">
        <f t="shared" si="179"/>
        <v>2.5135180805331263</v>
      </c>
    </row>
    <row r="4448" spans="1:11" hidden="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H4448" s="5">
        <v>7550</v>
      </c>
      <c r="I4448" s="6">
        <v>3910.1071427007355</v>
      </c>
      <c r="J4448" s="5">
        <v>29600</v>
      </c>
      <c r="K4448" s="6">
        <f t="shared" ref="K4448:K4510" si="182">+H4448/I4448</f>
        <v>1.9308933807847444</v>
      </c>
    </row>
    <row r="4449" spans="1:11" hidden="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H4449" s="5">
        <v>5650</v>
      </c>
      <c r="I4449" s="6">
        <v>4015.7857141250793</v>
      </c>
      <c r="J4449" s="5">
        <v>30400</v>
      </c>
      <c r="K4449" s="6">
        <f t="shared" si="182"/>
        <v>1.4069475819207071</v>
      </c>
    </row>
    <row r="4450" spans="1:11" hidden="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H4450" s="5">
        <v>6480</v>
      </c>
      <c r="I4450" s="6">
        <v>2747.5751230427709</v>
      </c>
      <c r="J4450" s="5">
        <v>20800</v>
      </c>
      <c r="K4450" s="6">
        <f t="shared" si="182"/>
        <v>2.3584432489779559</v>
      </c>
    </row>
    <row r="4451" spans="1:11" hidden="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H4451" s="5">
        <v>1560</v>
      </c>
      <c r="I4451" s="6">
        <v>1056.75862064738</v>
      </c>
      <c r="J4451" s="5">
        <v>9600</v>
      </c>
      <c r="K4451" s="6">
        <f t="shared" si="182"/>
        <v>1.4762122300401295</v>
      </c>
    </row>
    <row r="4452" spans="1:11" hidden="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H4452" s="5">
        <v>50</v>
      </c>
      <c r="I4452" s="6">
        <v>369.86551722658481</v>
      </c>
      <c r="J4452" s="5">
        <v>3080</v>
      </c>
      <c r="K4452" s="6">
        <f t="shared" si="182"/>
        <v>0.13518427015019435</v>
      </c>
    </row>
    <row r="4453" spans="1:11" hidden="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H4453" s="5">
        <v>8730</v>
      </c>
      <c r="I4453" s="6">
        <v>3592.9793102011122</v>
      </c>
      <c r="J4453" s="5">
        <v>27820</v>
      </c>
      <c r="K4453" s="6">
        <f t="shared" si="182"/>
        <v>2.4297384555524619</v>
      </c>
    </row>
    <row r="4454" spans="1:11" hidden="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H4454" s="5">
        <v>6000</v>
      </c>
      <c r="I4454" s="6">
        <v>1585.2222221588099</v>
      </c>
      <c r="J4454" s="5">
        <v>11490</v>
      </c>
      <c r="K4454" s="6">
        <f t="shared" si="182"/>
        <v>3.784958295518337</v>
      </c>
    </row>
    <row r="4455" spans="1:11" hidden="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H4455" s="5">
        <v>3210</v>
      </c>
      <c r="I4455" s="6">
        <v>2219.311111022334</v>
      </c>
      <c r="J4455" s="5">
        <v>16800</v>
      </c>
      <c r="K4455" s="6">
        <f t="shared" si="182"/>
        <v>1.446394777215936</v>
      </c>
    </row>
    <row r="4456" spans="1:11" hidden="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H4456" s="5">
        <v>4575</v>
      </c>
      <c r="I4456" s="6">
        <v>2959.0814813631118</v>
      </c>
      <c r="J4456" s="5">
        <v>22400</v>
      </c>
      <c r="K4456" s="6">
        <f t="shared" si="182"/>
        <v>1.5460878751782494</v>
      </c>
    </row>
    <row r="4457" spans="1:11" hidden="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H4457" s="5">
        <v>0</v>
      </c>
      <c r="I4457" s="6">
        <v>1796.5851851133182</v>
      </c>
      <c r="J4457" s="5">
        <v>13600</v>
      </c>
      <c r="K4457" s="6">
        <f t="shared" si="182"/>
        <v>0</v>
      </c>
    </row>
    <row r="4458" spans="1:11" hidden="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H4458" s="5">
        <v>2250</v>
      </c>
      <c r="I4458" s="6">
        <v>1912.3542857142861</v>
      </c>
      <c r="J4458" s="5">
        <v>16320</v>
      </c>
      <c r="K4458" s="6">
        <f t="shared" si="182"/>
        <v>1.1765602309195544</v>
      </c>
    </row>
    <row r="4459" spans="1:11" hidden="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H4459" s="5">
        <v>4350</v>
      </c>
      <c r="I4459" s="6">
        <v>2812.2857142428579</v>
      </c>
      <c r="J4459" s="5">
        <v>20000</v>
      </c>
      <c r="K4459" s="6">
        <f t="shared" si="182"/>
        <v>1.5467845169391459</v>
      </c>
    </row>
    <row r="4460" spans="1:11" hidden="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H4460" s="5">
        <v>2475</v>
      </c>
      <c r="I4460" s="6">
        <v>1768.8376470588223</v>
      </c>
      <c r="J4460" s="5">
        <v>12800</v>
      </c>
      <c r="K4460" s="6">
        <f t="shared" si="182"/>
        <v>1.3992239503243082</v>
      </c>
    </row>
    <row r="4461" spans="1:11" hidden="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H4461" s="5">
        <v>3440</v>
      </c>
      <c r="I4461" s="6">
        <v>2263.7999998868127</v>
      </c>
      <c r="J4461" s="5">
        <v>17920</v>
      </c>
      <c r="K4461" s="6">
        <f t="shared" si="182"/>
        <v>1.5195688665836187</v>
      </c>
    </row>
    <row r="4462" spans="1:11" hidden="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H4462" s="5">
        <v>1710</v>
      </c>
      <c r="I4462" s="6">
        <v>994.97117647058747</v>
      </c>
      <c r="J4462" s="5">
        <v>7200</v>
      </c>
      <c r="K4462" s="6">
        <f t="shared" si="182"/>
        <v>1.7186427511054132</v>
      </c>
    </row>
    <row r="4463" spans="1:11" hidden="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H4463" s="5">
        <v>1680</v>
      </c>
      <c r="I4463" s="6">
        <v>994.97117647058747</v>
      </c>
      <c r="J4463" s="5">
        <v>7920</v>
      </c>
      <c r="K4463" s="6">
        <f t="shared" si="182"/>
        <v>1.6884911238930376</v>
      </c>
    </row>
    <row r="4464" spans="1:11" hidden="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H4464" s="5">
        <v>3075</v>
      </c>
      <c r="I4464" s="6">
        <v>2263.7999998868127</v>
      </c>
      <c r="J4464" s="5">
        <v>17920</v>
      </c>
      <c r="K4464" s="6">
        <f t="shared" si="182"/>
        <v>1.3583355420769265</v>
      </c>
    </row>
    <row r="4465" spans="1:11" hidden="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H4465" s="5">
        <v>15630</v>
      </c>
      <c r="I4465" s="6">
        <v>6727.0499997982479</v>
      </c>
      <c r="J4465" s="5">
        <v>49210</v>
      </c>
      <c r="K4465" s="6">
        <f t="shared" si="182"/>
        <v>2.323455303657437</v>
      </c>
    </row>
    <row r="4466" spans="1:11" hidden="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H4466" s="5">
        <v>1620</v>
      </c>
      <c r="I4466" s="6">
        <v>994.95</v>
      </c>
      <c r="J4466" s="5">
        <v>7200</v>
      </c>
      <c r="K4466" s="6">
        <f t="shared" si="182"/>
        <v>1.6282225237449117</v>
      </c>
    </row>
    <row r="4467" spans="1:11" hidden="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H4467" s="5">
        <v>1450</v>
      </c>
      <c r="I4467" s="6">
        <v>831.6</v>
      </c>
      <c r="J4467" s="5">
        <v>6300</v>
      </c>
      <c r="K4467" s="6">
        <f t="shared" si="182"/>
        <v>1.7436267436267436</v>
      </c>
    </row>
    <row r="4468" spans="1:11" hidden="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H4468" s="5">
        <v>3950</v>
      </c>
      <c r="I4468" s="6">
        <v>1267.2</v>
      </c>
      <c r="J4468" s="5">
        <v>9600</v>
      </c>
      <c r="K4468" s="6">
        <f t="shared" si="182"/>
        <v>3.1171085858585856</v>
      </c>
    </row>
    <row r="4469" spans="1:11" hidden="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H4469" s="5">
        <v>1290</v>
      </c>
      <c r="I4469" s="6">
        <v>316.8</v>
      </c>
      <c r="J4469" s="5">
        <v>2400</v>
      </c>
      <c r="K4469" s="6">
        <f t="shared" si="182"/>
        <v>4.0719696969696972</v>
      </c>
    </row>
    <row r="4470" spans="1:11" hidden="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H4470" s="5">
        <v>10050</v>
      </c>
      <c r="I4470" s="6">
        <v>3603.6</v>
      </c>
      <c r="J4470" s="5">
        <v>27296</v>
      </c>
      <c r="K4470" s="6">
        <f t="shared" si="182"/>
        <v>2.7888777888777891</v>
      </c>
    </row>
    <row r="4471" spans="1:11" hidden="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H4471" s="5">
        <v>6275</v>
      </c>
      <c r="I4471" s="6">
        <v>3682.8</v>
      </c>
      <c r="J4471" s="5">
        <v>27900</v>
      </c>
      <c r="K4471" s="6">
        <f t="shared" si="182"/>
        <v>1.7038666232214619</v>
      </c>
    </row>
    <row r="4472" spans="1:11" hidden="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H4472" s="5">
        <v>4600</v>
      </c>
      <c r="I4472" s="6">
        <v>2376</v>
      </c>
      <c r="J4472" s="5">
        <v>18000</v>
      </c>
      <c r="K4472" s="6">
        <f t="shared" si="182"/>
        <v>1.936026936026936</v>
      </c>
    </row>
    <row r="4473" spans="1:11" hidden="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H4473" s="5">
        <v>1680</v>
      </c>
      <c r="I4473" s="6">
        <v>950.4</v>
      </c>
      <c r="J4473" s="5">
        <v>7200</v>
      </c>
      <c r="K4473" s="6">
        <f t="shared" si="182"/>
        <v>1.7676767676767677</v>
      </c>
    </row>
    <row r="4474" spans="1:11" hidden="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H4474" s="5">
        <v>2600</v>
      </c>
      <c r="I4474" s="6">
        <v>1346.4</v>
      </c>
      <c r="J4474" s="5">
        <v>10200</v>
      </c>
      <c r="K4474" s="6">
        <f t="shared" si="182"/>
        <v>1.9310754604872251</v>
      </c>
    </row>
    <row r="4475" spans="1:11" hidden="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H4475" s="5">
        <v>6360</v>
      </c>
      <c r="I4475" s="6">
        <v>2851.2</v>
      </c>
      <c r="J4475" s="5">
        <v>21600</v>
      </c>
      <c r="K4475" s="6">
        <f t="shared" si="182"/>
        <v>2.230639730639731</v>
      </c>
    </row>
    <row r="4476" spans="1:11" hidden="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H4476" s="5">
        <v>2225</v>
      </c>
      <c r="I4476" s="6">
        <v>2138.4</v>
      </c>
      <c r="J4476" s="5">
        <v>16200</v>
      </c>
      <c r="K4476" s="6">
        <f t="shared" si="182"/>
        <v>1.0404975682753461</v>
      </c>
    </row>
    <row r="4477" spans="1:11" hidden="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H4477" s="5">
        <v>1875</v>
      </c>
      <c r="I4477" s="6">
        <v>963.6</v>
      </c>
      <c r="J4477" s="5">
        <v>7570</v>
      </c>
      <c r="K4477" s="6">
        <f t="shared" si="182"/>
        <v>1.9458281444582815</v>
      </c>
    </row>
    <row r="4478" spans="1:11" hidden="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H4478" s="5">
        <v>6125</v>
      </c>
      <c r="I4478" s="6">
        <v>3168</v>
      </c>
      <c r="J4478" s="5">
        <v>24000</v>
      </c>
      <c r="K4478" s="6">
        <f t="shared" si="182"/>
        <v>1.9333964646464648</v>
      </c>
    </row>
    <row r="4479" spans="1:11" hidden="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H4479" s="5">
        <v>2610</v>
      </c>
      <c r="I4479" s="6">
        <v>1188</v>
      </c>
      <c r="J4479" s="5">
        <v>9000</v>
      </c>
      <c r="K4479" s="6">
        <f t="shared" si="182"/>
        <v>2.1969696969696968</v>
      </c>
    </row>
    <row r="4480" spans="1:11" hidden="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H4480" s="5">
        <v>4225</v>
      </c>
      <c r="I4480" s="6">
        <v>2732.4</v>
      </c>
      <c r="J4480" s="5">
        <v>20700</v>
      </c>
      <c r="K4480" s="6">
        <f t="shared" si="182"/>
        <v>1.5462596984336114</v>
      </c>
    </row>
    <row r="4481" spans="1:11" hidden="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H4481" s="5">
        <v>1710</v>
      </c>
      <c r="I4481" s="6">
        <v>673.2</v>
      </c>
      <c r="J4481" s="5">
        <v>5100</v>
      </c>
      <c r="K4481" s="6">
        <f t="shared" si="182"/>
        <v>2.5401069518716577</v>
      </c>
    </row>
    <row r="4482" spans="1:11" hidden="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H4482" s="5">
        <v>1950</v>
      </c>
      <c r="I4482" s="6">
        <v>1100.4749999999999</v>
      </c>
      <c r="J4482" s="5">
        <v>8000</v>
      </c>
      <c r="K4482" s="6">
        <f t="shared" si="182"/>
        <v>1.7719621072718601</v>
      </c>
    </row>
    <row r="4483" spans="1:11" hidden="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H4483" s="5">
        <v>2800</v>
      </c>
      <c r="I4483" s="6">
        <v>1287</v>
      </c>
      <c r="J4483" s="5">
        <v>9400</v>
      </c>
      <c r="K4483" s="6">
        <f t="shared" si="182"/>
        <v>2.1756021756021755</v>
      </c>
    </row>
    <row r="4484" spans="1:11" hidden="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H4484" s="5">
        <v>6630</v>
      </c>
      <c r="I4484" s="6">
        <v>2641.14</v>
      </c>
      <c r="J4484" s="5">
        <v>19200</v>
      </c>
      <c r="K4484" s="6">
        <f t="shared" si="182"/>
        <v>2.5102796519684683</v>
      </c>
    </row>
    <row r="4485" spans="1:11" hidden="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H4485" s="5">
        <v>11130</v>
      </c>
      <c r="I4485" s="6">
        <v>2641.14</v>
      </c>
      <c r="J4485" s="5">
        <v>19200</v>
      </c>
      <c r="K4485" s="6">
        <f t="shared" si="182"/>
        <v>4.2140893704991029</v>
      </c>
    </row>
    <row r="4486" spans="1:11" hidden="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H4486" s="5">
        <v>3720</v>
      </c>
      <c r="I4486" s="6">
        <v>1430.6174906250001</v>
      </c>
      <c r="J4486" s="5">
        <v>10400</v>
      </c>
      <c r="K4486" s="6">
        <f t="shared" si="182"/>
        <v>2.6002757720897343</v>
      </c>
    </row>
    <row r="4487" spans="1:11" hidden="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H4487" s="5">
        <v>3420</v>
      </c>
      <c r="I4487" s="6">
        <v>1430.6175000000001</v>
      </c>
      <c r="J4487" s="5">
        <v>10400</v>
      </c>
      <c r="K4487" s="6">
        <f t="shared" si="182"/>
        <v>2.3905760973845207</v>
      </c>
    </row>
    <row r="4488" spans="1:11" hidden="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H4488" s="5">
        <v>3780</v>
      </c>
      <c r="I4488" s="6">
        <v>2861.2350000000001</v>
      </c>
      <c r="J4488" s="5">
        <v>20800</v>
      </c>
      <c r="K4488" s="6">
        <f t="shared" si="182"/>
        <v>1.3211078432914458</v>
      </c>
    </row>
    <row r="4489" spans="1:11" hidden="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H4489" s="5">
        <v>5375</v>
      </c>
      <c r="I4489" s="6">
        <v>3071.9505625000002</v>
      </c>
      <c r="J4489" s="5">
        <v>22400</v>
      </c>
      <c r="K4489" s="6">
        <f t="shared" si="182"/>
        <v>1.7497026370195694</v>
      </c>
    </row>
    <row r="4490" spans="1:11" hidden="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H4490" s="5">
        <v>3350</v>
      </c>
      <c r="I4490" s="6">
        <v>1097.125</v>
      </c>
      <c r="J4490" s="5">
        <v>8000</v>
      </c>
      <c r="K4490" s="6">
        <f t="shared" si="182"/>
        <v>3.053435114503817</v>
      </c>
    </row>
    <row r="4491" spans="1:11" hidden="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H4491" s="5">
        <v>4250</v>
      </c>
      <c r="I4491" s="6">
        <v>2852.5250000000001</v>
      </c>
      <c r="J4491" s="5">
        <v>20800</v>
      </c>
      <c r="K4491" s="6">
        <f t="shared" si="182"/>
        <v>1.4899080639082918</v>
      </c>
    </row>
    <row r="4492" spans="1:11" hidden="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H4492" s="5">
        <v>3540</v>
      </c>
      <c r="I4492" s="6">
        <v>2633.1</v>
      </c>
      <c r="J4492" s="5">
        <v>19200</v>
      </c>
      <c r="K4492" s="6">
        <f t="shared" si="182"/>
        <v>1.3444229235501881</v>
      </c>
    </row>
    <row r="4493" spans="1:11" hidden="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H4493" s="5">
        <v>3810</v>
      </c>
      <c r="I4493" s="6">
        <v>2633.1</v>
      </c>
      <c r="J4493" s="5">
        <v>19200</v>
      </c>
      <c r="K4493" s="6">
        <f t="shared" si="182"/>
        <v>1.4469636550074059</v>
      </c>
    </row>
    <row r="4494" spans="1:11" hidden="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H4494" s="5">
        <v>6060</v>
      </c>
      <c r="I4494" s="6">
        <v>2852.5250000000001</v>
      </c>
      <c r="J4494" s="5">
        <v>20800</v>
      </c>
      <c r="K4494" s="6">
        <f t="shared" si="182"/>
        <v>2.1244336158315877</v>
      </c>
    </row>
    <row r="4495" spans="1:11" hidden="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H4495" s="5">
        <v>6570</v>
      </c>
      <c r="I4495" s="6">
        <v>2852.5250000000001</v>
      </c>
      <c r="J4495" s="5">
        <v>20800</v>
      </c>
      <c r="K4495" s="6">
        <f t="shared" si="182"/>
        <v>2.3032225835005828</v>
      </c>
    </row>
    <row r="4496" spans="1:11" hidden="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H4496" s="5">
        <v>4375</v>
      </c>
      <c r="I4496" s="6">
        <v>3071.95</v>
      </c>
      <c r="J4496" s="5">
        <v>22400</v>
      </c>
      <c r="K4496" s="6">
        <f t="shared" si="182"/>
        <v>1.4241768257946907</v>
      </c>
    </row>
    <row r="4497" spans="1:11" hidden="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H4497" s="5">
        <v>1825</v>
      </c>
      <c r="I4497" s="6">
        <v>1645.6875</v>
      </c>
      <c r="J4497" s="5">
        <v>12000</v>
      </c>
      <c r="K4497" s="6">
        <f t="shared" si="182"/>
        <v>1.1089590216854659</v>
      </c>
    </row>
    <row r="4498" spans="1:11" hidden="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H4498" s="5">
        <v>6240</v>
      </c>
      <c r="I4498" s="6">
        <v>4121.4642855494085</v>
      </c>
      <c r="J4498" s="5">
        <v>31200</v>
      </c>
      <c r="K4498" s="6">
        <f t="shared" si="182"/>
        <v>1.5140250085093681</v>
      </c>
    </row>
    <row r="4499" spans="1:11" hidden="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H4499" s="5">
        <v>1875</v>
      </c>
      <c r="I4499" s="6">
        <v>1056.7857142434418</v>
      </c>
      <c r="J4499" s="5">
        <v>8000</v>
      </c>
      <c r="K4499" s="6">
        <f t="shared" si="182"/>
        <v>1.7742480568469094</v>
      </c>
    </row>
    <row r="4500" spans="1:11" hidden="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H4500" s="5">
        <v>5190</v>
      </c>
      <c r="I4500" s="6">
        <v>2641.9642856076484</v>
      </c>
      <c r="J4500" s="5">
        <v>19996</v>
      </c>
      <c r="K4500" s="6">
        <f t="shared" si="182"/>
        <v>1.964447448541609</v>
      </c>
    </row>
    <row r="4501" spans="1:11" hidden="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H4501" s="5">
        <v>1060</v>
      </c>
      <c r="I4501" s="6">
        <v>528.39285712153003</v>
      </c>
      <c r="J4501" s="5">
        <v>4000</v>
      </c>
      <c r="K4501" s="6">
        <f t="shared" si="182"/>
        <v>2.0060831362756302</v>
      </c>
    </row>
    <row r="4502" spans="1:11" hidden="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H4502" s="5">
        <v>3570</v>
      </c>
      <c r="I4502" s="6">
        <v>1902.2142856375078</v>
      </c>
      <c r="J4502" s="5">
        <v>14400</v>
      </c>
      <c r="K4502" s="6">
        <f t="shared" si="182"/>
        <v>1.8767601667987426</v>
      </c>
    </row>
    <row r="4503" spans="1:11" hidden="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H4503" s="5">
        <v>840</v>
      </c>
      <c r="I4503" s="6">
        <v>634.05652706821195</v>
      </c>
      <c r="J4503" s="5">
        <v>4800</v>
      </c>
      <c r="K4503" s="6">
        <f t="shared" si="182"/>
        <v>1.3248030169865794</v>
      </c>
    </row>
    <row r="4504" spans="1:11" hidden="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H4504" s="5">
        <v>7800</v>
      </c>
      <c r="I4504" s="6">
        <v>4487.9999999102474</v>
      </c>
      <c r="J4504" s="5">
        <v>31740</v>
      </c>
      <c r="K4504" s="6">
        <f t="shared" si="182"/>
        <v>1.7379679144732592</v>
      </c>
    </row>
    <row r="4505" spans="1:11" hidden="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H4505" s="5">
        <v>4575</v>
      </c>
      <c r="I4505" s="6">
        <v>1702.8</v>
      </c>
      <c r="J4505" s="5">
        <v>12900</v>
      </c>
      <c r="K4505" s="6">
        <f t="shared" si="182"/>
        <v>2.6867512332628611</v>
      </c>
    </row>
    <row r="4506" spans="1:11" hidden="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H4506" s="5">
        <v>4960</v>
      </c>
      <c r="I4506" s="6">
        <v>3009.6</v>
      </c>
      <c r="J4506" s="5">
        <v>22800</v>
      </c>
      <c r="K4506" s="6">
        <f t="shared" si="182"/>
        <v>1.6480595427963849</v>
      </c>
    </row>
    <row r="4507" spans="1:11" hidden="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H4507" s="5">
        <v>2880</v>
      </c>
      <c r="I4507" s="6">
        <v>1386</v>
      </c>
      <c r="J4507" s="5">
        <v>10500</v>
      </c>
      <c r="K4507" s="6">
        <f t="shared" si="182"/>
        <v>2.0779220779220777</v>
      </c>
    </row>
    <row r="4508" spans="1:11" hidden="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H4508" s="5">
        <v>2010</v>
      </c>
      <c r="I4508" s="6">
        <v>1386</v>
      </c>
      <c r="J4508" s="5">
        <v>10500</v>
      </c>
      <c r="K4508" s="6">
        <f t="shared" si="182"/>
        <v>1.4502164502164503</v>
      </c>
    </row>
    <row r="4509" spans="1:11" hidden="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H4509" s="5">
        <v>1575</v>
      </c>
      <c r="I4509" s="6">
        <v>1029.5999999999999</v>
      </c>
      <c r="J4509" s="5">
        <v>7800</v>
      </c>
      <c r="K4509" s="6">
        <f t="shared" si="182"/>
        <v>1.5297202797202798</v>
      </c>
    </row>
    <row r="4510" spans="1:11" hidden="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H4510" s="5">
        <v>3125</v>
      </c>
      <c r="I4510" s="6">
        <v>2653.2</v>
      </c>
      <c r="J4510" s="5">
        <v>20100</v>
      </c>
      <c r="K4510" s="6">
        <f t="shared" si="182"/>
        <v>1.1778230061812152</v>
      </c>
    </row>
    <row r="4511" spans="1:11" hidden="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H4511" s="5">
        <v>3150</v>
      </c>
      <c r="I4511" s="6">
        <v>1768.8</v>
      </c>
      <c r="J4511" s="5">
        <v>13400</v>
      </c>
      <c r="K4511" s="6">
        <f t="shared" ref="K4511:K4533" si="184">+H4511/I4511</f>
        <v>1.7808683853459972</v>
      </c>
    </row>
    <row r="4512" spans="1:11" hidden="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H4512" s="5">
        <v>1455</v>
      </c>
      <c r="I4512" s="6">
        <v>1029.5999999999999</v>
      </c>
      <c r="J4512" s="5">
        <v>7800</v>
      </c>
      <c r="K4512" s="6">
        <f t="shared" si="184"/>
        <v>1.4131701631701632</v>
      </c>
    </row>
    <row r="4513" spans="1:11" hidden="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H4513" s="5">
        <v>2875</v>
      </c>
      <c r="I4513" s="6">
        <v>1346.4</v>
      </c>
      <c r="J4513" s="5">
        <v>10200</v>
      </c>
      <c r="K4513" s="6">
        <f t="shared" si="184"/>
        <v>2.1353238265002967</v>
      </c>
    </row>
    <row r="4514" spans="1:11" hidden="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H4514" s="5">
        <v>960</v>
      </c>
      <c r="I4514" s="6">
        <v>440.18999062500001</v>
      </c>
      <c r="J4514" s="5">
        <v>3200</v>
      </c>
      <c r="K4514" s="6">
        <f t="shared" si="184"/>
        <v>2.1808764861666941</v>
      </c>
    </row>
    <row r="4515" spans="1:11" hidden="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H4515" s="5">
        <v>1700</v>
      </c>
      <c r="I4515" s="6">
        <v>880.38</v>
      </c>
      <c r="J4515" s="5">
        <v>6400</v>
      </c>
      <c r="K4515" s="6">
        <f t="shared" si="184"/>
        <v>1.9309843476680524</v>
      </c>
    </row>
    <row r="4516" spans="1:11" hidden="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H4516" s="5">
        <v>525</v>
      </c>
      <c r="I4516" s="6">
        <v>330.14249999999998</v>
      </c>
      <c r="J4516" s="5">
        <v>2400</v>
      </c>
      <c r="K4516" s="6">
        <f t="shared" si="184"/>
        <v>1.5902224039619257</v>
      </c>
    </row>
    <row r="4517" spans="1:11" hidden="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H4517" s="5">
        <v>2975</v>
      </c>
      <c r="I4517" s="6">
        <v>1430.6175000000001</v>
      </c>
      <c r="J4517" s="5">
        <v>10400</v>
      </c>
      <c r="K4517" s="6">
        <f t="shared" si="184"/>
        <v>2.0795216051809793</v>
      </c>
    </row>
    <row r="4518" spans="1:11" hidden="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H4518" s="5">
        <v>0</v>
      </c>
      <c r="I4518" s="6">
        <v>220.095</v>
      </c>
      <c r="J4518" s="5">
        <v>1600</v>
      </c>
      <c r="K4518" s="6">
        <f t="shared" si="184"/>
        <v>0</v>
      </c>
    </row>
    <row r="4519" spans="1:11" hidden="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H4519" s="5">
        <v>3940</v>
      </c>
      <c r="I4519" s="6">
        <v>1287.0000000000018</v>
      </c>
      <c r="J4519" s="5">
        <v>9400</v>
      </c>
      <c r="K4519" s="6">
        <f t="shared" si="184"/>
        <v>3.061383061383057</v>
      </c>
    </row>
    <row r="4520" spans="1:11" hidden="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H4520" s="5">
        <v>7300</v>
      </c>
      <c r="I4520" s="6">
        <v>2641.14</v>
      </c>
      <c r="J4520" s="5">
        <v>19200</v>
      </c>
      <c r="K4520" s="6">
        <f t="shared" si="184"/>
        <v>2.7639579878385852</v>
      </c>
    </row>
    <row r="4521" spans="1:11" hidden="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H4521" s="5">
        <v>3420</v>
      </c>
      <c r="I4521" s="6">
        <v>880.38</v>
      </c>
      <c r="J4521" s="5">
        <v>6400</v>
      </c>
      <c r="K4521" s="6">
        <f t="shared" si="184"/>
        <v>3.8846861582498469</v>
      </c>
    </row>
    <row r="4522" spans="1:11" hidden="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H4522" s="5">
        <v>2640</v>
      </c>
      <c r="I4522" s="6">
        <v>880.38</v>
      </c>
      <c r="J4522" s="5">
        <v>6400</v>
      </c>
      <c r="K4522" s="6">
        <f t="shared" si="184"/>
        <v>2.9987051046139168</v>
      </c>
    </row>
    <row r="4523" spans="1:11" hidden="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H4523" s="5">
        <v>360</v>
      </c>
      <c r="I4523" s="6">
        <v>1755.4</v>
      </c>
      <c r="J4523" s="5">
        <v>12800</v>
      </c>
      <c r="K4523" s="6">
        <f t="shared" si="184"/>
        <v>0.20508146291443544</v>
      </c>
    </row>
    <row r="4524" spans="1:11" hidden="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H4524" s="5">
        <v>3280</v>
      </c>
      <c r="I4524" s="6">
        <v>2413.6749943750001</v>
      </c>
      <c r="J4524" s="5">
        <v>17600</v>
      </c>
      <c r="K4524" s="6">
        <f t="shared" si="184"/>
        <v>1.3589236362161208</v>
      </c>
    </row>
    <row r="4525" spans="1:11" hidden="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H4525" s="5">
        <v>2720</v>
      </c>
      <c r="I4525" s="6">
        <v>1645.6875</v>
      </c>
      <c r="J4525" s="5">
        <v>12000</v>
      </c>
      <c r="K4525" s="6">
        <f t="shared" si="184"/>
        <v>1.6528046788955983</v>
      </c>
    </row>
    <row r="4526" spans="1:11" hidden="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H4526" s="5">
        <v>1100</v>
      </c>
      <c r="I4526" s="6">
        <v>726.32013058333712</v>
      </c>
      <c r="J4526" s="5">
        <v>5712</v>
      </c>
      <c r="K4526" s="6">
        <f t="shared" si="184"/>
        <v>1.5144837017205421</v>
      </c>
    </row>
    <row r="4527" spans="1:11" hidden="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H4527" s="5">
        <v>1800</v>
      </c>
      <c r="I4527" s="6">
        <v>924.39958333667107</v>
      </c>
      <c r="J4527" s="5">
        <v>6720</v>
      </c>
      <c r="K4527" s="6">
        <f t="shared" si="184"/>
        <v>1.9472098781165621</v>
      </c>
    </row>
    <row r="4528" spans="1:11" hidden="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H4528" s="5">
        <v>860</v>
      </c>
      <c r="I4528" s="6">
        <v>1122.485208333339</v>
      </c>
      <c r="J4528" s="5">
        <v>8160</v>
      </c>
      <c r="K4528" s="6">
        <f t="shared" si="184"/>
        <v>0.76615708930091309</v>
      </c>
    </row>
    <row r="4529" spans="1:11" hidden="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H4529" s="5">
        <v>260</v>
      </c>
      <c r="I4529" s="6">
        <v>396.17125000000198</v>
      </c>
      <c r="J4529" s="5">
        <v>2880</v>
      </c>
      <c r="K4529" s="6">
        <f t="shared" si="184"/>
        <v>0.65628184781202248</v>
      </c>
    </row>
    <row r="4530" spans="1:11" hidden="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H4530" s="5">
        <v>2040</v>
      </c>
      <c r="I4530" s="6">
        <v>1535.9749999999999</v>
      </c>
      <c r="J4530" s="5">
        <v>11200</v>
      </c>
      <c r="K4530" s="6">
        <f t="shared" si="184"/>
        <v>1.3281466169696774</v>
      </c>
    </row>
    <row r="4531" spans="1:11" hidden="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H4531" s="5">
        <v>2780</v>
      </c>
      <c r="I4531" s="6">
        <v>1535.9749999999999</v>
      </c>
      <c r="J4531" s="5">
        <v>11200</v>
      </c>
      <c r="K4531" s="6">
        <f t="shared" si="184"/>
        <v>1.8099252917527955</v>
      </c>
    </row>
    <row r="4532" spans="1:11" hidden="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H4532" s="5">
        <v>900</v>
      </c>
      <c r="I4532" s="6">
        <v>594.25687500000299</v>
      </c>
      <c r="J4532" s="5">
        <v>4320</v>
      </c>
      <c r="K4532" s="6">
        <f t="shared" si="184"/>
        <v>1.5144965718738979</v>
      </c>
    </row>
    <row r="4533" spans="1:11" hidden="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H4533" s="5">
        <v>4360</v>
      </c>
      <c r="I4533" s="6">
        <v>2575.1131250013459</v>
      </c>
      <c r="J4533" s="5">
        <v>18720</v>
      </c>
      <c r="K4533" s="6">
        <f t="shared" si="184"/>
        <v>1.6931295008632761</v>
      </c>
    </row>
    <row r="4534" spans="1:11" hidden="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H4534" s="5">
        <v>1410</v>
      </c>
      <c r="I4534" s="6">
        <v>528.37931032368999</v>
      </c>
      <c r="J4534" s="5">
        <v>4000</v>
      </c>
      <c r="K4534" s="6">
        <f t="shared" ref="K4534:K4540" si="185">IFERROR(H4534/I4534,"")</f>
        <v>2.6685374927648495</v>
      </c>
    </row>
    <row r="4535" spans="1:11" hidden="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H4535" s="5">
        <v>4325</v>
      </c>
      <c r="I4535" s="6">
        <v>2272.0310343918732</v>
      </c>
      <c r="J4535" s="5">
        <v>17200</v>
      </c>
      <c r="K4535" s="6">
        <f t="shared" si="185"/>
        <v>1.9035831529289036</v>
      </c>
    </row>
    <row r="4536" spans="1:11" hidden="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H4536" s="5">
        <v>1470</v>
      </c>
      <c r="I4536" s="6">
        <v>1162.4344827121224</v>
      </c>
      <c r="J4536" s="5">
        <v>8800</v>
      </c>
      <c r="K4536" s="6">
        <f t="shared" si="185"/>
        <v>1.2645873998595467</v>
      </c>
    </row>
    <row r="4537" spans="1:11" hidden="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H4537" s="5">
        <v>700</v>
      </c>
      <c r="I4537" s="6">
        <v>1162.4344827121181</v>
      </c>
      <c r="J4537" s="5">
        <v>8800</v>
      </c>
      <c r="K4537" s="6">
        <f t="shared" si="185"/>
        <v>0.60218447612359582</v>
      </c>
    </row>
    <row r="4538" spans="1:11" hidden="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H4538" s="5">
        <v>1620</v>
      </c>
      <c r="I4538" s="6">
        <v>1056.7586206473827</v>
      </c>
      <c r="J4538" s="5">
        <v>8000</v>
      </c>
      <c r="K4538" s="6">
        <f t="shared" si="185"/>
        <v>1.5329896235032074</v>
      </c>
    </row>
    <row r="4539" spans="1:11" hidden="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H4539" s="5">
        <v>1440</v>
      </c>
      <c r="I4539" s="6">
        <v>1109.596551679753</v>
      </c>
      <c r="J4539" s="5">
        <v>8400</v>
      </c>
      <c r="K4539" s="6">
        <f t="shared" si="185"/>
        <v>1.2977689934418672</v>
      </c>
    </row>
    <row r="4540" spans="1:11" hidden="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H4540" s="5">
        <v>4350</v>
      </c>
      <c r="I4540" s="6">
        <v>1902.1655171652881</v>
      </c>
      <c r="J4540" s="5">
        <v>14400</v>
      </c>
      <c r="K4540" s="6">
        <f t="shared" si="185"/>
        <v>2.2868672367074607</v>
      </c>
    </row>
    <row r="4541" spans="1:11" hidden="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H4541" s="5">
        <v>925</v>
      </c>
      <c r="I4541" s="6">
        <v>951.10714281909407</v>
      </c>
      <c r="J4541" s="5">
        <v>7200</v>
      </c>
      <c r="K4541" s="6">
        <f t="shared" ref="K4541:K4603" si="186">+H4541/I4541</f>
        <v>0.97255078671608741</v>
      </c>
    </row>
    <row r="4542" spans="1:11" hidden="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H4542" s="5">
        <v>7440</v>
      </c>
      <c r="I4542" s="6">
        <v>3804.4285712763772</v>
      </c>
      <c r="J4542" s="5">
        <v>28800</v>
      </c>
      <c r="K4542" s="6">
        <f t="shared" si="186"/>
        <v>1.9556156359912671</v>
      </c>
    </row>
    <row r="4543" spans="1:11" hidden="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H4543" s="5">
        <v>7290</v>
      </c>
      <c r="I4543" s="6">
        <v>2641.8965516184649</v>
      </c>
      <c r="J4543" s="5">
        <v>20000</v>
      </c>
      <c r="K4543" s="6">
        <f t="shared" si="186"/>
        <v>2.759381322305765</v>
      </c>
    </row>
    <row r="4544" spans="1:11" hidden="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H4544" s="5">
        <v>15180</v>
      </c>
      <c r="I4544" s="6">
        <v>3592.9793102010913</v>
      </c>
      <c r="J4544" s="5">
        <v>26044</v>
      </c>
      <c r="K4544" s="6">
        <f t="shared" si="186"/>
        <v>4.2249060429881542</v>
      </c>
    </row>
    <row r="4545" spans="1:11" hidden="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H4545" s="5">
        <v>2175</v>
      </c>
      <c r="I4545" s="6">
        <v>1268.1103447768633</v>
      </c>
      <c r="J4545" s="5">
        <v>9600</v>
      </c>
      <c r="K4545" s="6">
        <f t="shared" si="186"/>
        <v>1.7151504275305893</v>
      </c>
    </row>
    <row r="4546" spans="1:11" hidden="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H4546" s="5">
        <v>675</v>
      </c>
      <c r="I4546" s="6">
        <v>528.37931032368999</v>
      </c>
      <c r="J4546" s="5">
        <v>4000</v>
      </c>
      <c r="K4546" s="6">
        <f t="shared" si="186"/>
        <v>1.2774913529193428</v>
      </c>
    </row>
    <row r="4547" spans="1:11" hidden="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H4547" s="5">
        <v>1380</v>
      </c>
      <c r="I4547" s="6">
        <v>1162.4344827121247</v>
      </c>
      <c r="J4547" s="5">
        <v>8800</v>
      </c>
      <c r="K4547" s="6">
        <f t="shared" si="186"/>
        <v>1.1871636815007967</v>
      </c>
    </row>
    <row r="4548" spans="1:11" hidden="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H4548" s="5">
        <v>960</v>
      </c>
      <c r="I4548" s="6">
        <v>528.3915024419166</v>
      </c>
      <c r="J4548" s="5">
        <v>4000</v>
      </c>
      <c r="K4548" s="6">
        <f t="shared" si="186"/>
        <v>1.8168346681644978</v>
      </c>
    </row>
    <row r="4549" spans="1:11" hidden="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H4549" s="5">
        <v>17790</v>
      </c>
      <c r="I4549" s="6">
        <v>3910.1071427007282</v>
      </c>
      <c r="J4549" s="5">
        <v>29260</v>
      </c>
      <c r="K4549" s="6">
        <f t="shared" si="186"/>
        <v>4.5497474495577039</v>
      </c>
    </row>
    <row r="4550" spans="1:11" hidden="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H4550" s="5">
        <v>3125</v>
      </c>
      <c r="I4550" s="6">
        <v>1902.2142856381945</v>
      </c>
      <c r="J4550" s="5">
        <v>14400</v>
      </c>
      <c r="K4550" s="6">
        <f t="shared" si="186"/>
        <v>1.6428222748582502</v>
      </c>
    </row>
    <row r="4551" spans="1:11" hidden="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H4551" s="5">
        <v>2970</v>
      </c>
      <c r="I4551" s="6">
        <v>1162.4642856677858</v>
      </c>
      <c r="J4551" s="5">
        <v>8800</v>
      </c>
      <c r="K4551" s="6">
        <f t="shared" si="186"/>
        <v>2.5549172018595501</v>
      </c>
    </row>
    <row r="4552" spans="1:11" hidden="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H4552" s="5">
        <v>480</v>
      </c>
      <c r="I4552" s="6">
        <v>317.03571427303262</v>
      </c>
      <c r="J4552" s="5">
        <v>2400</v>
      </c>
      <c r="K4552" s="6">
        <f t="shared" si="186"/>
        <v>1.5140250085093623</v>
      </c>
    </row>
    <row r="4553" spans="1:11" hidden="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H4553" s="5">
        <v>1900</v>
      </c>
      <c r="I4553" s="6">
        <v>951.10714281875391</v>
      </c>
      <c r="J4553" s="5">
        <v>7200</v>
      </c>
      <c r="K4553" s="6">
        <f t="shared" si="186"/>
        <v>1.9976718862283533</v>
      </c>
    </row>
    <row r="4554" spans="1:11" hidden="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H4554" s="5">
        <v>925</v>
      </c>
      <c r="I4554" s="6">
        <v>898.26785710660101</v>
      </c>
      <c r="J4554" s="5">
        <v>6800</v>
      </c>
      <c r="K4554" s="6">
        <f t="shared" si="186"/>
        <v>1.0297596565232843</v>
      </c>
    </row>
    <row r="4555" spans="1:11" hidden="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H4555" s="5">
        <v>1775</v>
      </c>
      <c r="I4555" s="6">
        <v>1162.4642856673661</v>
      </c>
      <c r="J4555" s="5">
        <v>8800</v>
      </c>
      <c r="K4555" s="6">
        <f t="shared" si="186"/>
        <v>1.5269286307415282</v>
      </c>
    </row>
    <row r="4556" spans="1:11" hidden="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H4556" s="5">
        <v>1050</v>
      </c>
      <c r="I4556" s="6">
        <v>686.91071425798896</v>
      </c>
      <c r="J4556" s="5">
        <v>5200</v>
      </c>
      <c r="K4556" s="6">
        <f t="shared" si="186"/>
        <v>1.5285829412840437</v>
      </c>
    </row>
    <row r="4557" spans="1:11" hidden="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H4557" s="5">
        <v>1625</v>
      </c>
      <c r="I4557" s="6">
        <v>845.428571394752</v>
      </c>
      <c r="J4557" s="5">
        <v>6400</v>
      </c>
      <c r="K4557" s="6">
        <f t="shared" si="186"/>
        <v>1.9221020615841553</v>
      </c>
    </row>
    <row r="4558" spans="1:11" hidden="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H4558" s="5">
        <v>7075</v>
      </c>
      <c r="I4558" s="6">
        <v>3910.1071427007355</v>
      </c>
      <c r="J4558" s="5">
        <v>29600</v>
      </c>
      <c r="K4558" s="6">
        <f t="shared" si="186"/>
        <v>1.8094133336492804</v>
      </c>
    </row>
    <row r="4559" spans="1:11" hidden="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H4559" s="5">
        <v>4700</v>
      </c>
      <c r="I4559" s="6">
        <v>4015.7857141250793</v>
      </c>
      <c r="J4559" s="5">
        <v>30400</v>
      </c>
      <c r="K4559" s="6">
        <f t="shared" si="186"/>
        <v>1.1703811743411192</v>
      </c>
    </row>
    <row r="4560" spans="1:11" hidden="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H4560" s="5">
        <v>6030</v>
      </c>
      <c r="I4560" s="6">
        <v>2747.5751230427709</v>
      </c>
      <c r="J4560" s="5">
        <v>20800</v>
      </c>
      <c r="K4560" s="6">
        <f t="shared" si="186"/>
        <v>2.1946624677989313</v>
      </c>
    </row>
    <row r="4561" spans="1:11" hidden="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H4561" s="5">
        <v>1020</v>
      </c>
      <c r="I4561" s="6">
        <v>1056.75862064738</v>
      </c>
      <c r="J4561" s="5">
        <v>9600</v>
      </c>
      <c r="K4561" s="6">
        <f t="shared" si="186"/>
        <v>0.96521568887239229</v>
      </c>
    </row>
    <row r="4562" spans="1:11" hidden="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H4562" s="5">
        <v>0</v>
      </c>
      <c r="I4562" s="6">
        <v>369.86551722658481</v>
      </c>
      <c r="J4562" s="5">
        <v>3080</v>
      </c>
      <c r="K4562" s="6">
        <f t="shared" si="186"/>
        <v>0</v>
      </c>
    </row>
    <row r="4563" spans="1:11" hidden="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H4563" s="5">
        <v>7860</v>
      </c>
      <c r="I4563" s="6">
        <v>3592.9793102011122</v>
      </c>
      <c r="J4563" s="5">
        <v>27820</v>
      </c>
      <c r="K4563" s="6">
        <f t="shared" si="186"/>
        <v>2.1875995716657903</v>
      </c>
    </row>
    <row r="4564" spans="1:11" hidden="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H4564" s="5">
        <v>7320</v>
      </c>
      <c r="I4564" s="6">
        <v>1585.2222221588099</v>
      </c>
      <c r="J4564" s="5">
        <v>11490</v>
      </c>
      <c r="K4564" s="6">
        <f t="shared" si="186"/>
        <v>4.6176491205323718</v>
      </c>
    </row>
    <row r="4565" spans="1:11" hidden="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H4565" s="5">
        <v>3270</v>
      </c>
      <c r="I4565" s="6">
        <v>2219.311111022334</v>
      </c>
      <c r="J4565" s="5">
        <v>16800</v>
      </c>
      <c r="K4565" s="6">
        <f t="shared" si="186"/>
        <v>1.4734301936124954</v>
      </c>
    </row>
    <row r="4566" spans="1:11" hidden="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H4566" s="5">
        <v>3425</v>
      </c>
      <c r="I4566" s="6">
        <v>2959.0814813631118</v>
      </c>
      <c r="J4566" s="5">
        <v>22400</v>
      </c>
      <c r="K4566" s="6">
        <f t="shared" si="186"/>
        <v>1.1574537644777059</v>
      </c>
    </row>
    <row r="4567" spans="1:11" hidden="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H4567" s="5">
        <v>0</v>
      </c>
      <c r="I4567" s="6">
        <v>1796.5851851133182</v>
      </c>
      <c r="J4567" s="5">
        <v>13600</v>
      </c>
      <c r="K4567" s="6">
        <f t="shared" si="186"/>
        <v>0</v>
      </c>
    </row>
    <row r="4568" spans="1:11" hidden="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H4568" s="5">
        <v>2225</v>
      </c>
      <c r="I4568" s="6">
        <v>1912.3542857142861</v>
      </c>
      <c r="J4568" s="5">
        <v>16320</v>
      </c>
      <c r="K4568" s="6">
        <f t="shared" si="186"/>
        <v>1.1634873394648928</v>
      </c>
    </row>
    <row r="4569" spans="1:11" hidden="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H4569" s="5">
        <v>4570</v>
      </c>
      <c r="I4569" s="6">
        <v>2812.2857142428579</v>
      </c>
      <c r="J4569" s="5">
        <v>20000</v>
      </c>
      <c r="K4569" s="6">
        <f t="shared" si="186"/>
        <v>1.6250126994050338</v>
      </c>
    </row>
    <row r="4570" spans="1:11" hidden="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H4570" s="5">
        <v>2750</v>
      </c>
      <c r="I4570" s="6">
        <v>1768.8376470588223</v>
      </c>
      <c r="J4570" s="5">
        <v>12800</v>
      </c>
      <c r="K4570" s="6">
        <f t="shared" si="186"/>
        <v>1.5546932781381204</v>
      </c>
    </row>
    <row r="4571" spans="1:11" hidden="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H4571" s="5">
        <v>4180</v>
      </c>
      <c r="I4571" s="6">
        <v>2263.7999998868127</v>
      </c>
      <c r="J4571" s="5">
        <v>17920</v>
      </c>
      <c r="K4571" s="6">
        <f t="shared" si="186"/>
        <v>1.8464528669533506</v>
      </c>
    </row>
    <row r="4572" spans="1:11" hidden="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H4572" s="5">
        <v>2220</v>
      </c>
      <c r="I4572" s="6">
        <v>994.97117647058747</v>
      </c>
      <c r="J4572" s="5">
        <v>7200</v>
      </c>
      <c r="K4572" s="6">
        <f t="shared" si="186"/>
        <v>2.2312204137157994</v>
      </c>
    </row>
    <row r="4573" spans="1:11" hidden="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H4573" s="5">
        <v>1680</v>
      </c>
      <c r="I4573" s="6">
        <v>994.97117647058747</v>
      </c>
      <c r="J4573" s="5">
        <v>7920</v>
      </c>
      <c r="K4573" s="6">
        <f t="shared" si="186"/>
        <v>1.6884911238930376</v>
      </c>
    </row>
    <row r="4574" spans="1:11" hidden="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H4574" s="5">
        <v>2450</v>
      </c>
      <c r="I4574" s="6">
        <v>2263.7999998868127</v>
      </c>
      <c r="J4574" s="5">
        <v>17920</v>
      </c>
      <c r="K4574" s="6">
        <f t="shared" si="186"/>
        <v>1.0822510823051936</v>
      </c>
    </row>
    <row r="4575" spans="1:11" hidden="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H4575" s="5">
        <v>18840</v>
      </c>
      <c r="I4575" s="6">
        <v>6727.0499997982479</v>
      </c>
      <c r="J4575" s="5">
        <v>49210</v>
      </c>
      <c r="K4575" s="6">
        <f t="shared" si="186"/>
        <v>2.8006332642934173</v>
      </c>
    </row>
    <row r="4576" spans="1:11" hidden="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H4576" s="5">
        <v>1380</v>
      </c>
      <c r="I4576" s="6">
        <v>994.95</v>
      </c>
      <c r="J4576" s="5">
        <v>7200</v>
      </c>
      <c r="K4576" s="6">
        <f t="shared" si="186"/>
        <v>1.3870043720789988</v>
      </c>
    </row>
    <row r="4577" spans="1:11" hidden="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H4577" s="5">
        <v>1275</v>
      </c>
      <c r="I4577" s="6">
        <v>831.6</v>
      </c>
      <c r="J4577" s="5">
        <v>6300</v>
      </c>
      <c r="K4577" s="6">
        <f t="shared" si="186"/>
        <v>1.5331890331890332</v>
      </c>
    </row>
    <row r="4578" spans="1:11" hidden="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H4578" s="5">
        <v>2850</v>
      </c>
      <c r="I4578" s="6">
        <v>1267.2</v>
      </c>
      <c r="J4578" s="5">
        <v>9600</v>
      </c>
      <c r="K4578" s="6">
        <f t="shared" si="186"/>
        <v>2.2490530303030303</v>
      </c>
    </row>
    <row r="4579" spans="1:11" hidden="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H4579" s="5">
        <v>1170</v>
      </c>
      <c r="I4579" s="6">
        <v>316.8</v>
      </c>
      <c r="J4579" s="5">
        <v>2400</v>
      </c>
      <c r="K4579" s="6">
        <f t="shared" si="186"/>
        <v>3.6931818181818179</v>
      </c>
    </row>
    <row r="4580" spans="1:11" hidden="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H4580" s="5">
        <v>6840</v>
      </c>
      <c r="I4580" s="6">
        <v>3603.6</v>
      </c>
      <c r="J4580" s="5">
        <v>27296</v>
      </c>
      <c r="K4580" s="6">
        <f t="shared" si="186"/>
        <v>1.8981018981018982</v>
      </c>
    </row>
    <row r="4581" spans="1:11" hidden="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H4581" s="5">
        <v>4800</v>
      </c>
      <c r="I4581" s="6">
        <v>3682.8</v>
      </c>
      <c r="J4581" s="5">
        <v>27900</v>
      </c>
      <c r="K4581" s="6">
        <f t="shared" si="186"/>
        <v>1.3033561420658195</v>
      </c>
    </row>
    <row r="4582" spans="1:11" hidden="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H4582" s="5">
        <v>3675</v>
      </c>
      <c r="I4582" s="6">
        <v>2376</v>
      </c>
      <c r="J4582" s="5">
        <v>18000</v>
      </c>
      <c r="K4582" s="6">
        <f t="shared" si="186"/>
        <v>1.5467171717171717</v>
      </c>
    </row>
    <row r="4583" spans="1:11" hidden="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H4583" s="5">
        <v>1080</v>
      </c>
      <c r="I4583" s="6">
        <v>950.4</v>
      </c>
      <c r="J4583" s="5">
        <v>7200</v>
      </c>
      <c r="K4583" s="6">
        <f t="shared" si="186"/>
        <v>1.1363636363636365</v>
      </c>
    </row>
    <row r="4584" spans="1:11" hidden="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H4584" s="5">
        <v>2200</v>
      </c>
      <c r="I4584" s="6">
        <v>1346.4</v>
      </c>
      <c r="J4584" s="5">
        <v>10200</v>
      </c>
      <c r="K4584" s="6">
        <f t="shared" si="186"/>
        <v>1.6339869281045751</v>
      </c>
    </row>
    <row r="4585" spans="1:11" hidden="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H4585" s="5">
        <v>5280</v>
      </c>
      <c r="I4585" s="6">
        <v>2851.2</v>
      </c>
      <c r="J4585" s="5">
        <v>21600</v>
      </c>
      <c r="K4585" s="6">
        <f t="shared" si="186"/>
        <v>1.8518518518518519</v>
      </c>
    </row>
    <row r="4586" spans="1:11" hidden="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H4586" s="5">
        <v>2000</v>
      </c>
      <c r="I4586" s="6">
        <v>2138.4</v>
      </c>
      <c r="J4586" s="5">
        <v>16200</v>
      </c>
      <c r="K4586" s="6">
        <f t="shared" si="186"/>
        <v>0.9352787130564908</v>
      </c>
    </row>
    <row r="4587" spans="1:11" hidden="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H4587" s="5">
        <v>1700</v>
      </c>
      <c r="I4587" s="6">
        <v>963.6</v>
      </c>
      <c r="J4587" s="5">
        <v>7570</v>
      </c>
      <c r="K4587" s="6">
        <f t="shared" si="186"/>
        <v>1.764217517642175</v>
      </c>
    </row>
    <row r="4588" spans="1:11" hidden="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H4588" s="5">
        <v>6475</v>
      </c>
      <c r="I4588" s="6">
        <v>3168</v>
      </c>
      <c r="J4588" s="5">
        <v>24000</v>
      </c>
      <c r="K4588" s="6">
        <f t="shared" si="186"/>
        <v>2.0438762626262625</v>
      </c>
    </row>
    <row r="4589" spans="1:11" hidden="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H4589" s="5">
        <v>2340</v>
      </c>
      <c r="I4589" s="6">
        <v>1188</v>
      </c>
      <c r="J4589" s="5">
        <v>9000</v>
      </c>
      <c r="K4589" s="6">
        <f t="shared" si="186"/>
        <v>1.9696969696969697</v>
      </c>
    </row>
    <row r="4590" spans="1:11" hidden="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H4590" s="5">
        <v>4000</v>
      </c>
      <c r="I4590" s="6">
        <v>2732.4</v>
      </c>
      <c r="J4590" s="5">
        <v>20700</v>
      </c>
      <c r="K4590" s="6">
        <f t="shared" si="186"/>
        <v>1.4639145073927682</v>
      </c>
    </row>
    <row r="4591" spans="1:11" hidden="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H4591" s="5">
        <v>1380</v>
      </c>
      <c r="I4591" s="6">
        <v>673.2</v>
      </c>
      <c r="J4591" s="5">
        <v>5100</v>
      </c>
      <c r="K4591" s="6">
        <f t="shared" si="186"/>
        <v>2.0499108734402851</v>
      </c>
    </row>
    <row r="4592" spans="1:11" hidden="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H4592" s="5">
        <v>1375</v>
      </c>
      <c r="I4592" s="6">
        <v>1100.4749999999999</v>
      </c>
      <c r="J4592" s="5">
        <v>8000</v>
      </c>
      <c r="K4592" s="6">
        <f t="shared" si="186"/>
        <v>1.2494604602557988</v>
      </c>
    </row>
    <row r="4593" spans="1:11" hidden="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H4593" s="5">
        <v>2050</v>
      </c>
      <c r="I4593" s="6">
        <v>1287</v>
      </c>
      <c r="J4593" s="5">
        <v>9400</v>
      </c>
      <c r="K4593" s="6">
        <f t="shared" si="186"/>
        <v>1.5928515928515929</v>
      </c>
    </row>
    <row r="4594" spans="1:11" hidden="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H4594" s="5">
        <v>5070</v>
      </c>
      <c r="I4594" s="6">
        <v>2641.14</v>
      </c>
      <c r="J4594" s="5">
        <v>19200</v>
      </c>
      <c r="K4594" s="6">
        <f t="shared" si="186"/>
        <v>1.9196256162111816</v>
      </c>
    </row>
    <row r="4595" spans="1:11" hidden="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H4595" s="5">
        <v>8760</v>
      </c>
      <c r="I4595" s="6">
        <v>2641.14</v>
      </c>
      <c r="J4595" s="5">
        <v>19200</v>
      </c>
      <c r="K4595" s="6">
        <f t="shared" si="186"/>
        <v>3.3167495854063018</v>
      </c>
    </row>
    <row r="4596" spans="1:11" hidden="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H4596" s="5">
        <v>3030</v>
      </c>
      <c r="I4596" s="6">
        <v>1430.6174906250001</v>
      </c>
      <c r="J4596" s="5">
        <v>10400</v>
      </c>
      <c r="K4596" s="6">
        <f t="shared" si="186"/>
        <v>2.1179665562988963</v>
      </c>
    </row>
    <row r="4597" spans="1:11" hidden="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H4597" s="5">
        <v>1920</v>
      </c>
      <c r="I4597" s="6">
        <v>1430.6175000000001</v>
      </c>
      <c r="J4597" s="5">
        <v>10400</v>
      </c>
      <c r="K4597" s="6">
        <f t="shared" si="186"/>
        <v>1.3420778090579766</v>
      </c>
    </row>
    <row r="4598" spans="1:11" hidden="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H4598" s="5">
        <v>2880</v>
      </c>
      <c r="I4598" s="6">
        <v>2861.2350000000001</v>
      </c>
      <c r="J4598" s="5">
        <v>20800</v>
      </c>
      <c r="K4598" s="6">
        <f t="shared" si="186"/>
        <v>1.0065583567934826</v>
      </c>
    </row>
    <row r="4599" spans="1:11" hidden="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H4599" s="5">
        <v>3925</v>
      </c>
      <c r="I4599" s="6">
        <v>3071.9505625000002</v>
      </c>
      <c r="J4599" s="5">
        <v>22400</v>
      </c>
      <c r="K4599" s="6">
        <f t="shared" si="186"/>
        <v>1.2776898326142903</v>
      </c>
    </row>
    <row r="4600" spans="1:11" hidden="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H4600" s="5">
        <v>3275</v>
      </c>
      <c r="I4600" s="6">
        <v>1097.125</v>
      </c>
      <c r="J4600" s="5">
        <v>8000</v>
      </c>
      <c r="K4600" s="6">
        <f t="shared" si="186"/>
        <v>2.9850746268656718</v>
      </c>
    </row>
    <row r="4601" spans="1:11" hidden="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H4601" s="5">
        <v>4925</v>
      </c>
      <c r="I4601" s="6">
        <v>2852.5250000000001</v>
      </c>
      <c r="J4601" s="5">
        <v>20800</v>
      </c>
      <c r="K4601" s="6">
        <f t="shared" si="186"/>
        <v>1.7265405211172558</v>
      </c>
    </row>
    <row r="4602" spans="1:11" hidden="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H4602" s="5">
        <v>2400</v>
      </c>
      <c r="I4602" s="6">
        <v>2633.1</v>
      </c>
      <c r="J4602" s="5">
        <v>19200</v>
      </c>
      <c r="K4602" s="6">
        <f t="shared" si="186"/>
        <v>0.91147316850860205</v>
      </c>
    </row>
    <row r="4603" spans="1:11" hidden="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H4603" s="5">
        <v>2220</v>
      </c>
      <c r="I4603" s="6">
        <v>2633.1</v>
      </c>
      <c r="J4603" s="5">
        <v>19200</v>
      </c>
      <c r="K4603" s="6">
        <f t="shared" si="186"/>
        <v>0.84311268087045688</v>
      </c>
    </row>
    <row r="4604" spans="1:11" hidden="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H4604" s="5">
        <v>5520</v>
      </c>
      <c r="I4604" s="6">
        <v>2852.5250000000001</v>
      </c>
      <c r="J4604" s="5">
        <v>20800</v>
      </c>
      <c r="K4604" s="6">
        <f t="shared" ref="K4604:K4667" si="188">+H4604/I4604</f>
        <v>1.9351276500644166</v>
      </c>
    </row>
    <row r="4605" spans="1:11" hidden="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H4605" s="5">
        <v>8070</v>
      </c>
      <c r="I4605" s="6">
        <v>2852.5250000000001</v>
      </c>
      <c r="J4605" s="5">
        <v>20800</v>
      </c>
      <c r="K4605" s="6">
        <f t="shared" si="188"/>
        <v>2.8290724884093916</v>
      </c>
    </row>
    <row r="4606" spans="1:11" hidden="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H4606" s="5">
        <v>4975</v>
      </c>
      <c r="I4606" s="6">
        <v>3071.95</v>
      </c>
      <c r="J4606" s="5">
        <v>22400</v>
      </c>
      <c r="K4606" s="6">
        <f t="shared" si="188"/>
        <v>1.6194925047608197</v>
      </c>
    </row>
    <row r="4607" spans="1:11" hidden="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H4607" s="5">
        <v>2750</v>
      </c>
      <c r="I4607" s="6">
        <v>1645.6875</v>
      </c>
      <c r="J4607" s="5">
        <v>12000</v>
      </c>
      <c r="K4607" s="6">
        <f t="shared" si="188"/>
        <v>1.6710341422657704</v>
      </c>
    </row>
    <row r="4608" spans="1:11" hidden="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H4608" s="5">
        <v>9280</v>
      </c>
      <c r="I4608" s="6">
        <v>4121.4642855494085</v>
      </c>
      <c r="J4608" s="5">
        <v>31200</v>
      </c>
      <c r="K4608" s="6">
        <f t="shared" si="188"/>
        <v>2.2516269357318808</v>
      </c>
    </row>
    <row r="4609" spans="1:11" hidden="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H4609" s="5">
        <v>1995</v>
      </c>
      <c r="I4609" s="6">
        <v>1056.7857142434418</v>
      </c>
      <c r="J4609" s="5">
        <v>8000</v>
      </c>
      <c r="K4609" s="6">
        <f t="shared" si="188"/>
        <v>1.8877999324851118</v>
      </c>
    </row>
    <row r="4610" spans="1:11" hidden="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H4610" s="5">
        <v>6090</v>
      </c>
      <c r="I4610" s="6">
        <v>2641.9642856076484</v>
      </c>
      <c r="J4610" s="5">
        <v>19996</v>
      </c>
      <c r="K4610" s="6">
        <f t="shared" si="188"/>
        <v>2.3051030754563389</v>
      </c>
    </row>
    <row r="4611" spans="1:11" hidden="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H4611" s="5">
        <v>960</v>
      </c>
      <c r="I4611" s="6">
        <v>528.39285712153003</v>
      </c>
      <c r="J4611" s="5">
        <v>4000</v>
      </c>
      <c r="K4611" s="6">
        <f t="shared" si="188"/>
        <v>1.8168300102118917</v>
      </c>
    </row>
    <row r="4612" spans="1:11" hidden="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H4612" s="5">
        <v>3840</v>
      </c>
      <c r="I4612" s="6">
        <v>1902.2142856375078</v>
      </c>
      <c r="J4612" s="5">
        <v>14400</v>
      </c>
      <c r="K4612" s="6">
        <f t="shared" si="188"/>
        <v>2.0187000113465468</v>
      </c>
    </row>
    <row r="4613" spans="1:11" hidden="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H4613" s="5">
        <v>860</v>
      </c>
      <c r="I4613" s="6">
        <v>634.05652706821195</v>
      </c>
      <c r="J4613" s="5">
        <v>4800</v>
      </c>
      <c r="K4613" s="6">
        <f t="shared" si="188"/>
        <v>1.3563459459624505</v>
      </c>
    </row>
    <row r="4614" spans="1:11" hidden="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H4614" s="5">
        <v>6920</v>
      </c>
      <c r="I4614" s="6">
        <v>4487.9999999102474</v>
      </c>
      <c r="J4614" s="5">
        <v>31740</v>
      </c>
      <c r="K4614" s="6">
        <f t="shared" si="188"/>
        <v>1.5418894830967889</v>
      </c>
    </row>
    <row r="4615" spans="1:11" hidden="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H4615" s="5">
        <v>2800</v>
      </c>
      <c r="I4615" s="6">
        <v>1702.8</v>
      </c>
      <c r="J4615" s="5">
        <v>12900</v>
      </c>
      <c r="K4615" s="6">
        <f t="shared" si="188"/>
        <v>1.644350481559784</v>
      </c>
    </row>
    <row r="4616" spans="1:11" hidden="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H4616" s="5">
        <v>5880</v>
      </c>
      <c r="I4616" s="6">
        <v>3009.6</v>
      </c>
      <c r="J4616" s="5">
        <v>22800</v>
      </c>
      <c r="K4616" s="6">
        <f t="shared" si="188"/>
        <v>1.9537480063795853</v>
      </c>
    </row>
    <row r="4617" spans="1:11" hidden="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H4617" s="5">
        <v>4410</v>
      </c>
      <c r="I4617" s="6">
        <v>1386</v>
      </c>
      <c r="J4617" s="5">
        <v>10500</v>
      </c>
      <c r="K4617" s="6">
        <f t="shared" si="188"/>
        <v>3.1818181818181817</v>
      </c>
    </row>
    <row r="4618" spans="1:11" hidden="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H4618" s="5">
        <v>2100</v>
      </c>
      <c r="I4618" s="6">
        <v>1386</v>
      </c>
      <c r="J4618" s="5">
        <v>10500</v>
      </c>
      <c r="K4618" s="6">
        <f t="shared" si="188"/>
        <v>1.5151515151515151</v>
      </c>
    </row>
    <row r="4619" spans="1:11" hidden="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H4619" s="5">
        <v>2000</v>
      </c>
      <c r="I4619" s="6">
        <v>1029.5999999999999</v>
      </c>
      <c r="J4619" s="5">
        <v>7800</v>
      </c>
      <c r="K4619" s="6">
        <f t="shared" si="188"/>
        <v>1.9425019425019427</v>
      </c>
    </row>
    <row r="4620" spans="1:11" hidden="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H4620" s="5">
        <v>3825</v>
      </c>
      <c r="I4620" s="6">
        <v>2653.2</v>
      </c>
      <c r="J4620" s="5">
        <v>20100</v>
      </c>
      <c r="K4620" s="6">
        <f t="shared" si="188"/>
        <v>1.4416553595658075</v>
      </c>
    </row>
    <row r="4621" spans="1:11" hidden="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H4621" s="5">
        <v>2850</v>
      </c>
      <c r="I4621" s="6">
        <v>1768.8</v>
      </c>
      <c r="J4621" s="5">
        <v>13400</v>
      </c>
      <c r="K4621" s="6">
        <f t="shared" si="188"/>
        <v>1.6112618724559022</v>
      </c>
    </row>
    <row r="4622" spans="1:11" hidden="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H4622" s="5">
        <v>1260</v>
      </c>
      <c r="I4622" s="6">
        <v>1029.5999999999999</v>
      </c>
      <c r="J4622" s="5">
        <v>7800</v>
      </c>
      <c r="K4622" s="6">
        <f t="shared" si="188"/>
        <v>1.223776223776224</v>
      </c>
    </row>
    <row r="4623" spans="1:11" hidden="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H4623" s="5">
        <v>2600</v>
      </c>
      <c r="I4623" s="6">
        <v>1346.4</v>
      </c>
      <c r="J4623" s="5">
        <v>10200</v>
      </c>
      <c r="K4623" s="6">
        <f t="shared" si="188"/>
        <v>1.9310754604872251</v>
      </c>
    </row>
    <row r="4624" spans="1:11" hidden="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H4624" s="5">
        <v>720</v>
      </c>
      <c r="I4624" s="6">
        <v>440.18999062500001</v>
      </c>
      <c r="J4624" s="5">
        <v>3200</v>
      </c>
      <c r="K4624" s="6">
        <f t="shared" si="188"/>
        <v>1.6356573646250205</v>
      </c>
    </row>
    <row r="4625" spans="1:11" hidden="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H4625" s="5">
        <v>3025</v>
      </c>
      <c r="I4625" s="6">
        <v>880.38</v>
      </c>
      <c r="J4625" s="5">
        <v>6400</v>
      </c>
      <c r="K4625" s="6">
        <f t="shared" si="188"/>
        <v>3.4360162657034463</v>
      </c>
    </row>
    <row r="4626" spans="1:11" hidden="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H4626" s="5">
        <v>625</v>
      </c>
      <c r="I4626" s="6">
        <v>330.14249999999998</v>
      </c>
      <c r="J4626" s="5">
        <v>2400</v>
      </c>
      <c r="K4626" s="6">
        <f t="shared" si="188"/>
        <v>1.8931219094784828</v>
      </c>
    </row>
    <row r="4627" spans="1:11" hidden="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H4627" s="5">
        <v>4775</v>
      </c>
      <c r="I4627" s="6">
        <v>1430.6175000000001</v>
      </c>
      <c r="J4627" s="5">
        <v>10400</v>
      </c>
      <c r="K4627" s="6">
        <f t="shared" si="188"/>
        <v>3.3377195511728326</v>
      </c>
    </row>
    <row r="4628" spans="1:11" hidden="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H4628" s="5">
        <v>0</v>
      </c>
      <c r="I4628" s="6">
        <v>220.095</v>
      </c>
      <c r="J4628" s="5">
        <v>1600</v>
      </c>
      <c r="K4628" s="6">
        <f t="shared" si="188"/>
        <v>0</v>
      </c>
    </row>
    <row r="4629" spans="1:11" hidden="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H4629" s="5">
        <v>3440</v>
      </c>
      <c r="I4629" s="6">
        <v>1287.0000000000018</v>
      </c>
      <c r="J4629" s="5">
        <v>9400</v>
      </c>
      <c r="K4629" s="6">
        <f t="shared" si="188"/>
        <v>2.6728826728826691</v>
      </c>
    </row>
    <row r="4630" spans="1:11" hidden="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H4630" s="5">
        <v>9175</v>
      </c>
      <c r="I4630" s="6">
        <v>2641.14</v>
      </c>
      <c r="J4630" s="5">
        <v>19200</v>
      </c>
      <c r="K4630" s="6">
        <f t="shared" si="188"/>
        <v>3.4738787038930159</v>
      </c>
    </row>
    <row r="4631" spans="1:11" hidden="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H4631" s="5">
        <v>3240</v>
      </c>
      <c r="I4631" s="6">
        <v>880.38</v>
      </c>
      <c r="J4631" s="5">
        <v>6400</v>
      </c>
      <c r="K4631" s="6">
        <f t="shared" si="188"/>
        <v>3.6802289920261706</v>
      </c>
    </row>
    <row r="4632" spans="1:11" hidden="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H4632" s="5">
        <v>2360</v>
      </c>
      <c r="I4632" s="6">
        <v>880.38</v>
      </c>
      <c r="J4632" s="5">
        <v>6400</v>
      </c>
      <c r="K4632" s="6">
        <f t="shared" si="188"/>
        <v>2.6806606238215318</v>
      </c>
    </row>
    <row r="4633" spans="1:11" hidden="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H4633" s="5">
        <v>610</v>
      </c>
      <c r="I4633" s="6">
        <v>1755.4</v>
      </c>
      <c r="J4633" s="5">
        <v>12800</v>
      </c>
      <c r="K4633" s="6">
        <f t="shared" si="188"/>
        <v>0.34749914549390448</v>
      </c>
    </row>
    <row r="4634" spans="1:11" hidden="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H4634" s="5">
        <v>4100</v>
      </c>
      <c r="I4634" s="6">
        <v>2413.6749943750001</v>
      </c>
      <c r="J4634" s="5">
        <v>17600</v>
      </c>
      <c r="K4634" s="6">
        <f t="shared" si="188"/>
        <v>1.6986545452701509</v>
      </c>
    </row>
    <row r="4635" spans="1:11" hidden="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H4635" s="5">
        <v>3100</v>
      </c>
      <c r="I4635" s="6">
        <v>1645.6875</v>
      </c>
      <c r="J4635" s="5">
        <v>12000</v>
      </c>
      <c r="K4635" s="6">
        <f t="shared" si="188"/>
        <v>1.8837112149177775</v>
      </c>
    </row>
    <row r="4636" spans="1:11" hidden="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H4636" s="5">
        <v>1120</v>
      </c>
      <c r="I4636" s="6">
        <v>726.32013058333712</v>
      </c>
      <c r="J4636" s="5">
        <v>5712</v>
      </c>
      <c r="K4636" s="6">
        <f t="shared" si="188"/>
        <v>1.5420197690245521</v>
      </c>
    </row>
    <row r="4637" spans="1:11" hidden="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H4637" s="5">
        <v>3570</v>
      </c>
      <c r="I4637" s="6">
        <v>924.39958333667107</v>
      </c>
      <c r="J4637" s="5">
        <v>6720</v>
      </c>
      <c r="K4637" s="6">
        <f t="shared" si="188"/>
        <v>3.8619662582645149</v>
      </c>
    </row>
    <row r="4638" spans="1:11" hidden="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H4638" s="5">
        <v>1020</v>
      </c>
      <c r="I4638" s="6">
        <v>1122.485208333339</v>
      </c>
      <c r="J4638" s="5">
        <v>8160</v>
      </c>
      <c r="K4638" s="6">
        <f t="shared" si="188"/>
        <v>0.90869794312433871</v>
      </c>
    </row>
    <row r="4639" spans="1:11" hidden="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H4639" s="5">
        <v>360</v>
      </c>
      <c r="I4639" s="6">
        <v>396.17125000000198</v>
      </c>
      <c r="J4639" s="5">
        <v>2880</v>
      </c>
      <c r="K4639" s="6">
        <f t="shared" si="188"/>
        <v>0.90869794312433882</v>
      </c>
    </row>
    <row r="4640" spans="1:11" hidden="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H4640" s="5">
        <v>3180</v>
      </c>
      <c r="I4640" s="6">
        <v>1535.9749999999999</v>
      </c>
      <c r="J4640" s="5">
        <v>11200</v>
      </c>
      <c r="K4640" s="6">
        <f t="shared" si="188"/>
        <v>2.0703461970409678</v>
      </c>
    </row>
    <row r="4641" spans="1:11" hidden="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H4641" s="5">
        <v>3200</v>
      </c>
      <c r="I4641" s="6">
        <v>1535.9749999999999</v>
      </c>
      <c r="J4641" s="5">
        <v>11200</v>
      </c>
      <c r="K4641" s="6">
        <f t="shared" si="188"/>
        <v>2.0833672423053762</v>
      </c>
    </row>
    <row r="4642" spans="1:11" hidden="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H4642" s="5">
        <v>1050</v>
      </c>
      <c r="I4642" s="6">
        <v>594.25687500000299</v>
      </c>
      <c r="J4642" s="5">
        <v>4320</v>
      </c>
      <c r="K4642" s="6">
        <f t="shared" si="188"/>
        <v>1.7669126671862143</v>
      </c>
    </row>
    <row r="4643" spans="1:11" hidden="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H4643" s="5">
        <v>5440</v>
      </c>
      <c r="I4643" s="6">
        <v>2575.1131250013459</v>
      </c>
      <c r="J4643" s="5">
        <v>18720</v>
      </c>
      <c r="K4643" s="6">
        <f t="shared" si="188"/>
        <v>2.112528551535831</v>
      </c>
    </row>
    <row r="4644" spans="1:11" hidden="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H4644" s="5">
        <v>1560</v>
      </c>
      <c r="I4644" s="6">
        <v>528.37931032368999</v>
      </c>
      <c r="J4644" s="5">
        <v>4000</v>
      </c>
      <c r="K4644" s="6">
        <f t="shared" ref="K4644:K4650" si="190">IFERROR(H4644/I4644,"")</f>
        <v>2.9524244600802589</v>
      </c>
    </row>
    <row r="4645" spans="1:11" hidden="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H4645" s="5">
        <v>4175</v>
      </c>
      <c r="I4645" s="6">
        <v>2272.0310343918732</v>
      </c>
      <c r="J4645" s="5">
        <v>17200</v>
      </c>
      <c r="K4645" s="6">
        <f t="shared" si="190"/>
        <v>1.8375629279718317</v>
      </c>
    </row>
    <row r="4646" spans="1:11" hidden="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H4646" s="5">
        <v>1320</v>
      </c>
      <c r="I4646" s="6">
        <v>1162.4344827121224</v>
      </c>
      <c r="J4646" s="5">
        <v>8800</v>
      </c>
      <c r="K4646" s="6">
        <f t="shared" si="190"/>
        <v>1.1355478692616336</v>
      </c>
    </row>
    <row r="4647" spans="1:11" hidden="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H4647" s="5">
        <v>1190</v>
      </c>
      <c r="I4647" s="6">
        <v>1162.4344827121181</v>
      </c>
      <c r="J4647" s="5">
        <v>8800</v>
      </c>
      <c r="K4647" s="6">
        <f t="shared" si="190"/>
        <v>1.0237136094101129</v>
      </c>
    </row>
    <row r="4648" spans="1:11" hidden="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H4648" s="5">
        <v>2250</v>
      </c>
      <c r="I4648" s="6">
        <v>1056.7586206473827</v>
      </c>
      <c r="J4648" s="5">
        <v>8000</v>
      </c>
      <c r="K4648" s="6">
        <f t="shared" si="190"/>
        <v>2.1291522548655659</v>
      </c>
    </row>
    <row r="4649" spans="1:11" hidden="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H4649" s="5">
        <v>2430</v>
      </c>
      <c r="I4649" s="6">
        <v>1109.596551679753</v>
      </c>
      <c r="J4649" s="5">
        <v>8400</v>
      </c>
      <c r="K4649" s="6">
        <f t="shared" si="190"/>
        <v>2.1899851764331513</v>
      </c>
    </row>
    <row r="4650" spans="1:11" hidden="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H4650" s="5">
        <v>3675</v>
      </c>
      <c r="I4650" s="6">
        <v>1902.1655171652881</v>
      </c>
      <c r="J4650" s="5">
        <v>14400</v>
      </c>
      <c r="K4650" s="6">
        <f t="shared" si="190"/>
        <v>1.9320085275631995</v>
      </c>
    </row>
    <row r="4651" spans="1:11" hidden="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H4651" s="5">
        <v>1050</v>
      </c>
      <c r="I4651" s="6">
        <v>951.10714281909407</v>
      </c>
      <c r="J4651" s="5">
        <v>7200</v>
      </c>
      <c r="K4651" s="6">
        <f t="shared" si="188"/>
        <v>1.1039765687047478</v>
      </c>
    </row>
    <row r="4652" spans="1:11" hidden="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H4652" s="5">
        <v>8250</v>
      </c>
      <c r="I4652" s="6">
        <v>3804.4285712763772</v>
      </c>
      <c r="J4652" s="5">
        <v>28800</v>
      </c>
      <c r="K4652" s="6">
        <f t="shared" si="188"/>
        <v>2.1685254028128971</v>
      </c>
    </row>
    <row r="4653" spans="1:11" hidden="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H4653" s="5">
        <v>8100</v>
      </c>
      <c r="I4653" s="6">
        <v>2641.8965516184649</v>
      </c>
      <c r="J4653" s="5">
        <v>20000</v>
      </c>
      <c r="K4653" s="6">
        <f t="shared" si="188"/>
        <v>3.0659792470064056</v>
      </c>
    </row>
    <row r="4654" spans="1:11" hidden="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H4654" s="5">
        <v>14760</v>
      </c>
      <c r="I4654" s="6">
        <v>3592.9793102010913</v>
      </c>
      <c r="J4654" s="5">
        <v>26044</v>
      </c>
      <c r="K4654" s="6">
        <f t="shared" si="188"/>
        <v>4.1080114093876912</v>
      </c>
    </row>
    <row r="4655" spans="1:11" hidden="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H4655" s="5">
        <v>2150</v>
      </c>
      <c r="I4655" s="6">
        <v>1268.1103447768633</v>
      </c>
      <c r="J4655" s="5">
        <v>9600</v>
      </c>
      <c r="K4655" s="6">
        <f t="shared" si="188"/>
        <v>1.6954360548003526</v>
      </c>
    </row>
    <row r="4656" spans="1:11" hidden="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H4656" s="5">
        <v>950</v>
      </c>
      <c r="I4656" s="6">
        <v>528.37931032368999</v>
      </c>
      <c r="J4656" s="5">
        <v>4000</v>
      </c>
      <c r="K4656" s="6">
        <f t="shared" si="188"/>
        <v>1.7979507929975935</v>
      </c>
    </row>
    <row r="4657" spans="1:11" hidden="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H4657" s="5">
        <v>1860</v>
      </c>
      <c r="I4657" s="6">
        <v>1162.4344827121247</v>
      </c>
      <c r="J4657" s="5">
        <v>8800</v>
      </c>
      <c r="K4657" s="6">
        <f t="shared" si="188"/>
        <v>1.6000901794141171</v>
      </c>
    </row>
    <row r="4658" spans="1:11" hidden="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H4658" s="5">
        <v>1440</v>
      </c>
      <c r="I4658" s="6">
        <v>528.3915024419166</v>
      </c>
      <c r="J4658" s="5">
        <v>4000</v>
      </c>
      <c r="K4658" s="6">
        <f t="shared" si="188"/>
        <v>2.7252520022467466</v>
      </c>
    </row>
    <row r="4659" spans="1:11" hidden="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H4659" s="5">
        <v>19050</v>
      </c>
      <c r="I4659" s="6">
        <v>3910.1071427007282</v>
      </c>
      <c r="J4659" s="5">
        <v>29260</v>
      </c>
      <c r="K4659" s="6">
        <f t="shared" si="188"/>
        <v>4.8719892588012517</v>
      </c>
    </row>
    <row r="4660" spans="1:11" hidden="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H4660" s="5">
        <v>2975</v>
      </c>
      <c r="I4660" s="6">
        <v>1902.2142856381945</v>
      </c>
      <c r="J4660" s="5">
        <v>14400</v>
      </c>
      <c r="K4660" s="6">
        <f t="shared" si="188"/>
        <v>1.5639668056650542</v>
      </c>
    </row>
    <row r="4661" spans="1:11" hidden="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H4661" s="5">
        <v>2700</v>
      </c>
      <c r="I4661" s="6">
        <v>1162.4642856677858</v>
      </c>
      <c r="J4661" s="5">
        <v>8800</v>
      </c>
      <c r="K4661" s="6">
        <f t="shared" si="188"/>
        <v>2.3226520016904999</v>
      </c>
    </row>
    <row r="4662" spans="1:11" hidden="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H4662" s="5">
        <v>630</v>
      </c>
      <c r="I4662" s="6">
        <v>317.03571427303262</v>
      </c>
      <c r="J4662" s="5">
        <v>2400</v>
      </c>
      <c r="K4662" s="6">
        <f t="shared" si="188"/>
        <v>1.9871578236685381</v>
      </c>
    </row>
    <row r="4663" spans="1:11" hidden="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H4663" s="5">
        <v>1825</v>
      </c>
      <c r="I4663" s="6">
        <v>951.10714281875391</v>
      </c>
      <c r="J4663" s="5">
        <v>7200</v>
      </c>
      <c r="K4663" s="6">
        <f t="shared" si="188"/>
        <v>1.918816417035129</v>
      </c>
    </row>
    <row r="4664" spans="1:11" hidden="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H4664" s="5">
        <v>1175</v>
      </c>
      <c r="I4664" s="6">
        <v>898.26785710660101</v>
      </c>
      <c r="J4664" s="5">
        <v>6800</v>
      </c>
      <c r="K4664" s="6">
        <f t="shared" si="188"/>
        <v>1.3080730772052529</v>
      </c>
    </row>
    <row r="4665" spans="1:11" hidden="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H4665" s="5">
        <v>2250</v>
      </c>
      <c r="I4665" s="6">
        <v>1162.4642856673661</v>
      </c>
      <c r="J4665" s="5">
        <v>8800</v>
      </c>
      <c r="K4665" s="6">
        <f t="shared" si="188"/>
        <v>1.9355433347427822</v>
      </c>
    </row>
    <row r="4666" spans="1:11" hidden="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H4666" s="5">
        <v>1350</v>
      </c>
      <c r="I4666" s="6">
        <v>686.91071425798896</v>
      </c>
      <c r="J4666" s="5">
        <v>5200</v>
      </c>
      <c r="K4666" s="6">
        <f t="shared" si="188"/>
        <v>1.9653209245080561</v>
      </c>
    </row>
    <row r="4667" spans="1:11" hidden="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H4667" s="5">
        <v>1650</v>
      </c>
      <c r="I4667" s="6">
        <v>845.428571394752</v>
      </c>
      <c r="J4667" s="5">
        <v>6400</v>
      </c>
      <c r="K4667" s="6">
        <f t="shared" si="188"/>
        <v>1.9516728625316038</v>
      </c>
    </row>
    <row r="4668" spans="1:11" hidden="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H4668" s="5">
        <v>6375</v>
      </c>
      <c r="I4668" s="6">
        <v>3910.1071427007355</v>
      </c>
      <c r="J4668" s="5">
        <v>29600</v>
      </c>
      <c r="K4668" s="6">
        <f t="shared" ref="K4668:K4730" si="191">+H4668/I4668</f>
        <v>1.6303901062917543</v>
      </c>
    </row>
    <row r="4669" spans="1:11" hidden="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H4669" s="5">
        <v>6325</v>
      </c>
      <c r="I4669" s="6">
        <v>4015.7857141250793</v>
      </c>
      <c r="J4669" s="5">
        <v>30400</v>
      </c>
      <c r="K4669" s="6">
        <f t="shared" si="191"/>
        <v>1.5750342399377826</v>
      </c>
    </row>
    <row r="4670" spans="1:11" hidden="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H4670" s="5">
        <v>6180</v>
      </c>
      <c r="I4670" s="6">
        <v>2747.5751230427709</v>
      </c>
      <c r="J4670" s="5">
        <v>20800</v>
      </c>
      <c r="K4670" s="6">
        <f t="shared" si="191"/>
        <v>2.2492560615252728</v>
      </c>
    </row>
    <row r="4671" spans="1:11" hidden="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H4671" s="5">
        <v>1020</v>
      </c>
      <c r="I4671" s="6">
        <v>1056.75862064738</v>
      </c>
      <c r="J4671" s="5">
        <v>9600</v>
      </c>
      <c r="K4671" s="6">
        <f t="shared" si="191"/>
        <v>0.96521568887239229</v>
      </c>
    </row>
    <row r="4672" spans="1:11" hidden="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H4672" s="5">
        <v>0</v>
      </c>
      <c r="I4672" s="6">
        <v>369.86551722658481</v>
      </c>
      <c r="J4672" s="5">
        <v>3080</v>
      </c>
      <c r="K4672" s="6">
        <f t="shared" si="191"/>
        <v>0</v>
      </c>
    </row>
    <row r="4673" spans="1:11" hidden="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H4673" s="5">
        <v>8520</v>
      </c>
      <c r="I4673" s="6">
        <v>3592.9793102011122</v>
      </c>
      <c r="J4673" s="5">
        <v>27820</v>
      </c>
      <c r="K4673" s="6">
        <f t="shared" si="191"/>
        <v>2.3712911387522309</v>
      </c>
    </row>
    <row r="4674" spans="1:11" hidden="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H4674" s="5">
        <v>7380</v>
      </c>
      <c r="I4674" s="6">
        <v>1585.2222221588099</v>
      </c>
      <c r="J4674" s="5">
        <v>11490</v>
      </c>
      <c r="K4674" s="6">
        <f t="shared" si="191"/>
        <v>4.655498703487555</v>
      </c>
    </row>
    <row r="4675" spans="1:11" hidden="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H4675" s="5">
        <v>3510</v>
      </c>
      <c r="I4675" s="6">
        <v>2219.311111022334</v>
      </c>
      <c r="J4675" s="5">
        <v>16800</v>
      </c>
      <c r="K4675" s="6">
        <f t="shared" si="191"/>
        <v>1.5815718591987338</v>
      </c>
    </row>
    <row r="4676" spans="1:11" hidden="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H4676" s="5">
        <v>4525</v>
      </c>
      <c r="I4676" s="6">
        <v>2959.0814813631118</v>
      </c>
      <c r="J4676" s="5">
        <v>22400</v>
      </c>
      <c r="K4676" s="6">
        <f t="shared" si="191"/>
        <v>1.5291907399303997</v>
      </c>
    </row>
    <row r="4677" spans="1:11" hidden="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H4677" s="5">
        <v>0</v>
      </c>
      <c r="I4677" s="6">
        <v>1796.5851851133182</v>
      </c>
      <c r="J4677" s="5">
        <v>13600</v>
      </c>
      <c r="K4677" s="6">
        <f t="shared" si="191"/>
        <v>0</v>
      </c>
    </row>
    <row r="4678" spans="1:11" hidden="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H4678" s="5">
        <v>1775</v>
      </c>
      <c r="I4678" s="6">
        <v>1912.3542857142861</v>
      </c>
      <c r="J4678" s="5">
        <v>16320</v>
      </c>
      <c r="K4678" s="6">
        <f t="shared" si="191"/>
        <v>0.92817529328098181</v>
      </c>
    </row>
    <row r="4679" spans="1:11" hidden="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H4679" s="5">
        <v>3570</v>
      </c>
      <c r="I4679" s="6">
        <v>2812.2857142428579</v>
      </c>
      <c r="J4679" s="5">
        <v>20000</v>
      </c>
      <c r="K4679" s="6">
        <f t="shared" si="191"/>
        <v>1.2694300518328163</v>
      </c>
    </row>
    <row r="4680" spans="1:11" hidden="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H4680" s="5">
        <v>2900</v>
      </c>
      <c r="I4680" s="6">
        <v>1768.8376470588223</v>
      </c>
      <c r="J4680" s="5">
        <v>12800</v>
      </c>
      <c r="K4680" s="6">
        <f t="shared" si="191"/>
        <v>1.639494729672927</v>
      </c>
    </row>
    <row r="4681" spans="1:11" hidden="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H4681" s="5">
        <v>4500</v>
      </c>
      <c r="I4681" s="6">
        <v>2263.7999998868127</v>
      </c>
      <c r="J4681" s="5">
        <v>17920</v>
      </c>
      <c r="K4681" s="6">
        <f t="shared" si="191"/>
        <v>1.987808110356478</v>
      </c>
    </row>
    <row r="4682" spans="1:11" hidden="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H4682" s="5">
        <v>1530</v>
      </c>
      <c r="I4682" s="6">
        <v>994.97117647058747</v>
      </c>
      <c r="J4682" s="5">
        <v>7200</v>
      </c>
      <c r="K4682" s="6">
        <f t="shared" si="191"/>
        <v>1.5377329878311592</v>
      </c>
    </row>
    <row r="4683" spans="1:11" hidden="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H4683" s="5">
        <v>2370</v>
      </c>
      <c r="I4683" s="6">
        <v>994.97117647058747</v>
      </c>
      <c r="J4683" s="5">
        <v>7920</v>
      </c>
      <c r="K4683" s="6">
        <f t="shared" si="191"/>
        <v>2.3819785497776778</v>
      </c>
    </row>
    <row r="4684" spans="1:11" hidden="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H4684" s="5">
        <v>3150</v>
      </c>
      <c r="I4684" s="6">
        <v>2263.7999998868127</v>
      </c>
      <c r="J4684" s="5">
        <v>17920</v>
      </c>
      <c r="K4684" s="6">
        <f t="shared" si="191"/>
        <v>1.3914656772495346</v>
      </c>
    </row>
    <row r="4685" spans="1:11" hidden="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H4685" s="5">
        <v>19140</v>
      </c>
      <c r="I4685" s="6">
        <v>6727.0499997982479</v>
      </c>
      <c r="J4685" s="5">
        <v>49210</v>
      </c>
      <c r="K4685" s="6">
        <f t="shared" si="191"/>
        <v>2.8452293353808922</v>
      </c>
    </row>
    <row r="4686" spans="1:11" hidden="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H4686" s="5">
        <v>1890</v>
      </c>
      <c r="I4686" s="6">
        <v>994.95</v>
      </c>
      <c r="J4686" s="5">
        <v>7200</v>
      </c>
      <c r="K4686" s="6">
        <f t="shared" si="191"/>
        <v>1.8995929443690638</v>
      </c>
    </row>
    <row r="4687" spans="1:11" hidden="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H4687" s="5">
        <v>1225</v>
      </c>
      <c r="I4687" s="6">
        <v>831.6</v>
      </c>
      <c r="J4687" s="5">
        <v>6300</v>
      </c>
      <c r="K4687" s="6">
        <f t="shared" si="191"/>
        <v>1.473063973063973</v>
      </c>
    </row>
    <row r="4688" spans="1:11" hidden="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H4688" s="5">
        <v>2850</v>
      </c>
      <c r="I4688" s="6">
        <v>1267.2</v>
      </c>
      <c r="J4688" s="5">
        <v>9600</v>
      </c>
      <c r="K4688" s="6">
        <f t="shared" si="191"/>
        <v>2.2490530303030303</v>
      </c>
    </row>
    <row r="4689" spans="1:11" hidden="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H4689" s="5">
        <v>900</v>
      </c>
      <c r="I4689" s="6">
        <v>316.8</v>
      </c>
      <c r="J4689" s="5">
        <v>2400</v>
      </c>
      <c r="K4689" s="6">
        <f t="shared" si="191"/>
        <v>2.8409090909090908</v>
      </c>
    </row>
    <row r="4690" spans="1:11" hidden="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H4690" s="5">
        <v>6540</v>
      </c>
      <c r="I4690" s="6">
        <v>3603.6</v>
      </c>
      <c r="J4690" s="5">
        <v>27296</v>
      </c>
      <c r="K4690" s="6">
        <f t="shared" si="191"/>
        <v>1.8148518148518149</v>
      </c>
    </row>
    <row r="4691" spans="1:11" hidden="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H4691" s="5">
        <v>5300</v>
      </c>
      <c r="I4691" s="6">
        <v>3682.8</v>
      </c>
      <c r="J4691" s="5">
        <v>27900</v>
      </c>
      <c r="K4691" s="6">
        <f t="shared" si="191"/>
        <v>1.4391224068643422</v>
      </c>
    </row>
    <row r="4692" spans="1:11" hidden="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H4692" s="5">
        <v>5350</v>
      </c>
      <c r="I4692" s="6">
        <v>2376</v>
      </c>
      <c r="J4692" s="5">
        <v>18000</v>
      </c>
      <c r="K4692" s="6">
        <f t="shared" si="191"/>
        <v>2.2516835016835017</v>
      </c>
    </row>
    <row r="4693" spans="1:11" hidden="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H4693" s="5">
        <v>1170</v>
      </c>
      <c r="I4693" s="6">
        <v>950.4</v>
      </c>
      <c r="J4693" s="5">
        <v>7200</v>
      </c>
      <c r="K4693" s="6">
        <f t="shared" si="191"/>
        <v>1.2310606060606062</v>
      </c>
    </row>
    <row r="4694" spans="1:11" hidden="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H4694" s="5">
        <v>2450</v>
      </c>
      <c r="I4694" s="6">
        <v>1346.4</v>
      </c>
      <c r="J4694" s="5">
        <v>10200</v>
      </c>
      <c r="K4694" s="6">
        <f t="shared" si="191"/>
        <v>1.8196672608437312</v>
      </c>
    </row>
    <row r="4695" spans="1:11" hidden="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H4695" s="5">
        <v>5790</v>
      </c>
      <c r="I4695" s="6">
        <v>2851.2</v>
      </c>
      <c r="J4695" s="5">
        <v>21600</v>
      </c>
      <c r="K4695" s="6">
        <f t="shared" si="191"/>
        <v>2.0307239057239057</v>
      </c>
    </row>
    <row r="4696" spans="1:11" hidden="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H4696" s="5">
        <v>2600</v>
      </c>
      <c r="I4696" s="6">
        <v>2138.4</v>
      </c>
      <c r="J4696" s="5">
        <v>16200</v>
      </c>
      <c r="K4696" s="6">
        <f t="shared" si="191"/>
        <v>1.2158623269734381</v>
      </c>
    </row>
    <row r="4697" spans="1:11" hidden="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H4697" s="5">
        <v>1625</v>
      </c>
      <c r="I4697" s="6">
        <v>963.6</v>
      </c>
      <c r="J4697" s="5">
        <v>7570</v>
      </c>
      <c r="K4697" s="6">
        <f t="shared" si="191"/>
        <v>1.6863843918638439</v>
      </c>
    </row>
    <row r="4698" spans="1:11" hidden="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H4698" s="5">
        <v>5725</v>
      </c>
      <c r="I4698" s="6">
        <v>3168</v>
      </c>
      <c r="J4698" s="5">
        <v>24000</v>
      </c>
      <c r="K4698" s="6">
        <f t="shared" si="191"/>
        <v>1.8071338383838385</v>
      </c>
    </row>
    <row r="4699" spans="1:11" hidden="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H4699" s="5">
        <v>2670</v>
      </c>
      <c r="I4699" s="6">
        <v>1188</v>
      </c>
      <c r="J4699" s="5">
        <v>9000</v>
      </c>
      <c r="K4699" s="6">
        <f t="shared" si="191"/>
        <v>2.2474747474747474</v>
      </c>
    </row>
    <row r="4700" spans="1:11" hidden="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H4700" s="5">
        <v>3475</v>
      </c>
      <c r="I4700" s="6">
        <v>2732.4</v>
      </c>
      <c r="J4700" s="5">
        <v>20700</v>
      </c>
      <c r="K4700" s="6">
        <f t="shared" si="191"/>
        <v>1.2717757282974673</v>
      </c>
    </row>
    <row r="4701" spans="1:11" hidden="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H4701" s="5">
        <v>1710</v>
      </c>
      <c r="I4701" s="6">
        <v>673.2</v>
      </c>
      <c r="J4701" s="5">
        <v>5100</v>
      </c>
      <c r="K4701" s="6">
        <f t="shared" si="191"/>
        <v>2.5401069518716577</v>
      </c>
    </row>
    <row r="4702" spans="1:11" hidden="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H4702" s="5">
        <v>1300</v>
      </c>
      <c r="I4702" s="6">
        <v>1100.4749999999999</v>
      </c>
      <c r="J4702" s="5">
        <v>8000</v>
      </c>
      <c r="K4702" s="6">
        <f t="shared" si="191"/>
        <v>1.1813080715145734</v>
      </c>
    </row>
    <row r="4703" spans="1:11" hidden="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H4703" s="5">
        <v>1875</v>
      </c>
      <c r="I4703" s="6">
        <v>1287</v>
      </c>
      <c r="J4703" s="5">
        <v>9400</v>
      </c>
      <c r="K4703" s="6">
        <f t="shared" si="191"/>
        <v>1.4568764568764569</v>
      </c>
    </row>
    <row r="4704" spans="1:11" hidden="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H4704" s="5">
        <v>6930</v>
      </c>
      <c r="I4704" s="6">
        <v>2641.14</v>
      </c>
      <c r="J4704" s="5">
        <v>19200</v>
      </c>
      <c r="K4704" s="6">
        <f t="shared" si="191"/>
        <v>2.6238669665371774</v>
      </c>
    </row>
    <row r="4705" spans="1:11" hidden="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H4705" s="5">
        <v>9330</v>
      </c>
      <c r="I4705" s="6">
        <v>2641.14</v>
      </c>
      <c r="J4705" s="5">
        <v>19200</v>
      </c>
      <c r="K4705" s="6">
        <f t="shared" si="191"/>
        <v>3.5325654830868491</v>
      </c>
    </row>
    <row r="4706" spans="1:11" hidden="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H4706" s="5">
        <v>3330</v>
      </c>
      <c r="I4706" s="6">
        <v>1430.6174906250001</v>
      </c>
      <c r="J4706" s="5">
        <v>10400</v>
      </c>
      <c r="K4706" s="6">
        <f t="shared" si="191"/>
        <v>2.3276662153383909</v>
      </c>
    </row>
    <row r="4707" spans="1:11" hidden="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H4707" s="5">
        <v>1500</v>
      </c>
      <c r="I4707" s="6">
        <v>1430.6175000000001</v>
      </c>
      <c r="J4707" s="5">
        <v>10400</v>
      </c>
      <c r="K4707" s="6">
        <f t="shared" si="191"/>
        <v>1.0484982883265443</v>
      </c>
    </row>
    <row r="4708" spans="1:11" hidden="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H4708" s="5">
        <v>3300</v>
      </c>
      <c r="I4708" s="6">
        <v>2861.2350000000001</v>
      </c>
      <c r="J4708" s="5">
        <v>20800</v>
      </c>
      <c r="K4708" s="6">
        <f t="shared" si="191"/>
        <v>1.1533481171591986</v>
      </c>
    </row>
    <row r="4709" spans="1:11" hidden="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H4709" s="5">
        <v>4150</v>
      </c>
      <c r="I4709" s="6">
        <v>3071.9505625000002</v>
      </c>
      <c r="J4709" s="5">
        <v>22400</v>
      </c>
      <c r="K4709" s="6">
        <f t="shared" si="191"/>
        <v>1.3509331988151094</v>
      </c>
    </row>
    <row r="4710" spans="1:11" hidden="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H4710" s="5">
        <v>3675</v>
      </c>
      <c r="I4710" s="6">
        <v>1097.125</v>
      </c>
      <c r="J4710" s="5">
        <v>8000</v>
      </c>
      <c r="K4710" s="6">
        <f t="shared" si="191"/>
        <v>3.3496638942691126</v>
      </c>
    </row>
    <row r="4711" spans="1:11" hidden="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H4711" s="5">
        <v>4100</v>
      </c>
      <c r="I4711" s="6">
        <v>2852.5250000000001</v>
      </c>
      <c r="J4711" s="5">
        <v>20800</v>
      </c>
      <c r="K4711" s="6">
        <f t="shared" si="191"/>
        <v>1.4373230734174109</v>
      </c>
    </row>
    <row r="4712" spans="1:11" hidden="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H4712" s="5">
        <v>2610</v>
      </c>
      <c r="I4712" s="6">
        <v>2633.1</v>
      </c>
      <c r="J4712" s="5">
        <v>19200</v>
      </c>
      <c r="K4712" s="6">
        <f t="shared" si="191"/>
        <v>0.99122707075310479</v>
      </c>
    </row>
    <row r="4713" spans="1:11" hidden="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H4713" s="5">
        <v>2430</v>
      </c>
      <c r="I4713" s="6">
        <v>2633.1</v>
      </c>
      <c r="J4713" s="5">
        <v>19200</v>
      </c>
      <c r="K4713" s="6">
        <f t="shared" si="191"/>
        <v>0.92286658311495962</v>
      </c>
    </row>
    <row r="4714" spans="1:11" hidden="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H4714" s="5">
        <v>5040</v>
      </c>
      <c r="I4714" s="6">
        <v>2852.5250000000001</v>
      </c>
      <c r="J4714" s="5">
        <v>20800</v>
      </c>
      <c r="K4714" s="6">
        <f t="shared" si="191"/>
        <v>1.7668556804935978</v>
      </c>
    </row>
    <row r="4715" spans="1:11" hidden="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H4715" s="5">
        <v>8460</v>
      </c>
      <c r="I4715" s="6">
        <v>2852.5250000000001</v>
      </c>
      <c r="J4715" s="5">
        <v>20800</v>
      </c>
      <c r="K4715" s="6">
        <f t="shared" si="191"/>
        <v>2.965793463685682</v>
      </c>
    </row>
    <row r="4716" spans="1:11" hidden="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H4716" s="5">
        <v>4825</v>
      </c>
      <c r="I4716" s="6">
        <v>3071.95</v>
      </c>
      <c r="J4716" s="5">
        <v>22400</v>
      </c>
      <c r="K4716" s="6">
        <f t="shared" si="191"/>
        <v>1.5706635850192876</v>
      </c>
    </row>
    <row r="4717" spans="1:11" hidden="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H4717" s="5">
        <v>2300</v>
      </c>
      <c r="I4717" s="6">
        <v>1645.6875</v>
      </c>
      <c r="J4717" s="5">
        <v>12000</v>
      </c>
      <c r="K4717" s="6">
        <f t="shared" si="191"/>
        <v>1.3975921917131897</v>
      </c>
    </row>
    <row r="4718" spans="1:11" hidden="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H4718" s="5">
        <v>9760</v>
      </c>
      <c r="I4718" s="6">
        <v>4121.4642855494085</v>
      </c>
      <c r="J4718" s="5">
        <v>31200</v>
      </c>
      <c r="K4718" s="6">
        <f t="shared" si="191"/>
        <v>2.3680903979249091</v>
      </c>
    </row>
    <row r="4719" spans="1:11" hidden="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H4719" s="5">
        <v>1635</v>
      </c>
      <c r="I4719" s="6">
        <v>1056.7857142434418</v>
      </c>
      <c r="J4719" s="5">
        <v>8000</v>
      </c>
      <c r="K4719" s="6">
        <f t="shared" si="191"/>
        <v>1.547144305570505</v>
      </c>
    </row>
    <row r="4720" spans="1:11" hidden="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H4720" s="5">
        <v>5820</v>
      </c>
      <c r="I4720" s="6">
        <v>2641.9642856076484</v>
      </c>
      <c r="J4720" s="5">
        <v>19996</v>
      </c>
      <c r="K4720" s="6">
        <f t="shared" si="191"/>
        <v>2.2029063873819199</v>
      </c>
    </row>
    <row r="4721" spans="1:11" hidden="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H4721" s="5">
        <v>820</v>
      </c>
      <c r="I4721" s="6">
        <v>528.39285712153003</v>
      </c>
      <c r="J4721" s="5">
        <v>4000</v>
      </c>
      <c r="K4721" s="6">
        <f t="shared" si="191"/>
        <v>1.5518756337226574</v>
      </c>
    </row>
    <row r="4722" spans="1:11" hidden="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H4722" s="5">
        <v>3570</v>
      </c>
      <c r="I4722" s="6">
        <v>1902.2142856375078</v>
      </c>
      <c r="J4722" s="5">
        <v>14400</v>
      </c>
      <c r="K4722" s="6">
        <f t="shared" si="191"/>
        <v>1.8767601667987426</v>
      </c>
    </row>
    <row r="4723" spans="1:11" hidden="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H4723" s="5">
        <v>740</v>
      </c>
      <c r="I4723" s="6">
        <v>634.05652706821195</v>
      </c>
      <c r="J4723" s="5">
        <v>4800</v>
      </c>
      <c r="K4723" s="6">
        <f t="shared" si="191"/>
        <v>1.1670883721072247</v>
      </c>
    </row>
    <row r="4724" spans="1:11" hidden="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H4724" s="5">
        <v>5640</v>
      </c>
      <c r="I4724" s="6">
        <v>4487.9999999102474</v>
      </c>
      <c r="J4724" s="5">
        <v>31740</v>
      </c>
      <c r="K4724" s="6">
        <f t="shared" si="191"/>
        <v>1.2566844920037412</v>
      </c>
    </row>
    <row r="4725" spans="1:11" hidden="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H4725" s="5">
        <v>2650</v>
      </c>
      <c r="I4725" s="6">
        <v>1702.8</v>
      </c>
      <c r="J4725" s="5">
        <v>12900</v>
      </c>
      <c r="K4725" s="6">
        <f t="shared" si="191"/>
        <v>1.5562602771905099</v>
      </c>
    </row>
    <row r="4726" spans="1:11" hidden="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H4726" s="5">
        <v>6180</v>
      </c>
      <c r="I4726" s="6">
        <v>3009.6</v>
      </c>
      <c r="J4726" s="5">
        <v>22800</v>
      </c>
      <c r="K4726" s="6">
        <f t="shared" si="191"/>
        <v>2.0534290271132378</v>
      </c>
    </row>
    <row r="4727" spans="1:11" hidden="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H4727" s="5">
        <v>1860</v>
      </c>
      <c r="I4727" s="6">
        <v>1386</v>
      </c>
      <c r="J4727" s="5">
        <v>10500</v>
      </c>
      <c r="K4727" s="6">
        <f t="shared" si="191"/>
        <v>1.3419913419913421</v>
      </c>
    </row>
    <row r="4728" spans="1:11" hidden="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H4728" s="5">
        <v>1710</v>
      </c>
      <c r="I4728" s="6">
        <v>1386</v>
      </c>
      <c r="J4728" s="5">
        <v>10500</v>
      </c>
      <c r="K4728" s="6">
        <f t="shared" si="191"/>
        <v>1.2337662337662338</v>
      </c>
    </row>
    <row r="4729" spans="1:11" hidden="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H4729" s="5">
        <v>2075</v>
      </c>
      <c r="I4729" s="6">
        <v>1029.5999999999999</v>
      </c>
      <c r="J4729" s="5">
        <v>7800</v>
      </c>
      <c r="K4729" s="6">
        <f t="shared" si="191"/>
        <v>2.0153457653457654</v>
      </c>
    </row>
    <row r="4730" spans="1:11" hidden="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H4730" s="5">
        <v>5050</v>
      </c>
      <c r="I4730" s="6">
        <v>2653.2</v>
      </c>
      <c r="J4730" s="5">
        <v>20100</v>
      </c>
      <c r="K4730" s="6">
        <f t="shared" si="191"/>
        <v>1.9033619779888438</v>
      </c>
    </row>
    <row r="4731" spans="1:11" hidden="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H4731" s="5">
        <v>2850</v>
      </c>
      <c r="I4731" s="6">
        <v>1768.8</v>
      </c>
      <c r="J4731" s="5">
        <v>13400</v>
      </c>
      <c r="K4731" s="6">
        <f t="shared" ref="K4731:K4793" si="193">+H4731/I4731</f>
        <v>1.6112618724559022</v>
      </c>
    </row>
    <row r="4732" spans="1:11" hidden="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H4732" s="5">
        <v>1365</v>
      </c>
      <c r="I4732" s="6">
        <v>1029.5999999999999</v>
      </c>
      <c r="J4732" s="5">
        <v>7800</v>
      </c>
      <c r="K4732" s="6">
        <f t="shared" si="193"/>
        <v>1.3257575757575759</v>
      </c>
    </row>
    <row r="4733" spans="1:11" hidden="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H4733" s="5">
        <v>2650</v>
      </c>
      <c r="I4733" s="6">
        <v>1346.4</v>
      </c>
      <c r="J4733" s="5">
        <v>10200</v>
      </c>
      <c r="K4733" s="6">
        <f t="shared" si="193"/>
        <v>1.9682115270350564</v>
      </c>
    </row>
    <row r="4734" spans="1:11" hidden="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H4734" s="5">
        <v>450</v>
      </c>
      <c r="I4734" s="6">
        <v>440.18999062500001</v>
      </c>
      <c r="J4734" s="5">
        <v>3200</v>
      </c>
      <c r="K4734" s="6">
        <f t="shared" si="193"/>
        <v>1.0222858528906378</v>
      </c>
    </row>
    <row r="4735" spans="1:11" hidden="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H4735" s="5">
        <v>2800</v>
      </c>
      <c r="I4735" s="6">
        <v>880.38</v>
      </c>
      <c r="J4735" s="5">
        <v>6400</v>
      </c>
      <c r="K4735" s="6">
        <f t="shared" si="193"/>
        <v>3.180444807923851</v>
      </c>
    </row>
    <row r="4736" spans="1:11" hidden="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H4736" s="5">
        <v>875</v>
      </c>
      <c r="I4736" s="6">
        <v>330.14249999999998</v>
      </c>
      <c r="J4736" s="5">
        <v>2400</v>
      </c>
      <c r="K4736" s="6">
        <f t="shared" si="193"/>
        <v>2.650370673269876</v>
      </c>
    </row>
    <row r="4737" spans="1:11" hidden="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H4737" s="5">
        <v>5525</v>
      </c>
      <c r="I4737" s="6">
        <v>1430.6175000000001</v>
      </c>
      <c r="J4737" s="5">
        <v>10400</v>
      </c>
      <c r="K4737" s="6">
        <f t="shared" si="193"/>
        <v>3.8619686953361048</v>
      </c>
    </row>
    <row r="4738" spans="1:11" hidden="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H4738" s="5">
        <v>0</v>
      </c>
      <c r="I4738" s="6">
        <v>220.095</v>
      </c>
      <c r="J4738" s="5">
        <v>1600</v>
      </c>
      <c r="K4738" s="6">
        <f t="shared" si="193"/>
        <v>0</v>
      </c>
    </row>
    <row r="4739" spans="1:11" hidden="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H4739" s="5">
        <v>2240</v>
      </c>
      <c r="I4739" s="6">
        <v>1287.0000000000018</v>
      </c>
      <c r="J4739" s="5">
        <v>9400</v>
      </c>
      <c r="K4739" s="6">
        <f t="shared" si="193"/>
        <v>1.7404817404817381</v>
      </c>
    </row>
    <row r="4740" spans="1:11" hidden="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H4740" s="5">
        <v>7650</v>
      </c>
      <c r="I4740" s="6">
        <v>2641.14</v>
      </c>
      <c r="J4740" s="5">
        <v>19200</v>
      </c>
      <c r="K4740" s="6">
        <f t="shared" si="193"/>
        <v>2.8964765215020787</v>
      </c>
    </row>
    <row r="4741" spans="1:11" hidden="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H4741" s="5">
        <v>3450</v>
      </c>
      <c r="I4741" s="6">
        <v>880.38</v>
      </c>
      <c r="J4741" s="5">
        <v>6400</v>
      </c>
      <c r="K4741" s="6">
        <f t="shared" si="193"/>
        <v>3.9187623526204596</v>
      </c>
    </row>
    <row r="4742" spans="1:11" hidden="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H4742" s="5">
        <v>1640</v>
      </c>
      <c r="I4742" s="6">
        <v>880.38</v>
      </c>
      <c r="J4742" s="5">
        <v>6400</v>
      </c>
      <c r="K4742" s="6">
        <f t="shared" si="193"/>
        <v>1.862831958926827</v>
      </c>
    </row>
    <row r="4743" spans="1:11" hidden="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H4743" s="5">
        <v>680</v>
      </c>
      <c r="I4743" s="6">
        <v>1755.4</v>
      </c>
      <c r="J4743" s="5">
        <v>12800</v>
      </c>
      <c r="K4743" s="6">
        <f t="shared" si="193"/>
        <v>0.38737609661615585</v>
      </c>
    </row>
    <row r="4744" spans="1:11" hidden="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H4744" s="5">
        <v>3440</v>
      </c>
      <c r="I4744" s="6">
        <v>2413.6749943750001</v>
      </c>
      <c r="J4744" s="5">
        <v>17600</v>
      </c>
      <c r="K4744" s="6">
        <f t="shared" si="193"/>
        <v>1.4252125940803217</v>
      </c>
    </row>
    <row r="4745" spans="1:11" hidden="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H4745" s="5">
        <v>4080</v>
      </c>
      <c r="I4745" s="6">
        <v>1645.6875</v>
      </c>
      <c r="J4745" s="5">
        <v>12000</v>
      </c>
      <c r="K4745" s="6">
        <f t="shared" si="193"/>
        <v>2.4792070183433976</v>
      </c>
    </row>
    <row r="4746" spans="1:11" hidden="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H4746" s="5">
        <v>920</v>
      </c>
      <c r="I4746" s="6">
        <v>726.32013058333712</v>
      </c>
      <c r="J4746" s="5">
        <v>5712</v>
      </c>
      <c r="K4746" s="6">
        <f t="shared" si="193"/>
        <v>1.2666590959844535</v>
      </c>
    </row>
    <row r="4747" spans="1:11" hidden="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H4747" s="5">
        <v>3120</v>
      </c>
      <c r="I4747" s="6">
        <v>924.39958333667107</v>
      </c>
      <c r="J4747" s="5">
        <v>6720</v>
      </c>
      <c r="K4747" s="6">
        <f t="shared" si="193"/>
        <v>3.375163788735374</v>
      </c>
    </row>
    <row r="4748" spans="1:11" hidden="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H4748" s="5">
        <v>920</v>
      </c>
      <c r="I4748" s="6">
        <v>1122.485208333339</v>
      </c>
      <c r="J4748" s="5">
        <v>8160</v>
      </c>
      <c r="K4748" s="6">
        <f t="shared" si="193"/>
        <v>0.8196099094846977</v>
      </c>
    </row>
    <row r="4749" spans="1:11" hidden="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H4749" s="5">
        <v>320</v>
      </c>
      <c r="I4749" s="6">
        <v>396.17125000000198</v>
      </c>
      <c r="J4749" s="5">
        <v>2880</v>
      </c>
      <c r="K4749" s="6">
        <f t="shared" si="193"/>
        <v>0.80773150499941226</v>
      </c>
    </row>
    <row r="4750" spans="1:11" hidden="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H4750" s="5">
        <v>3330</v>
      </c>
      <c r="I4750" s="6">
        <v>1535.9749999999999</v>
      </c>
      <c r="J4750" s="5">
        <v>11200</v>
      </c>
      <c r="K4750" s="6">
        <f t="shared" si="193"/>
        <v>2.1680040365240321</v>
      </c>
    </row>
    <row r="4751" spans="1:11" hidden="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H4751" s="5">
        <v>2960</v>
      </c>
      <c r="I4751" s="6">
        <v>1535.9749999999999</v>
      </c>
      <c r="J4751" s="5">
        <v>11200</v>
      </c>
      <c r="K4751" s="6">
        <f t="shared" si="193"/>
        <v>1.927114699132473</v>
      </c>
    </row>
    <row r="4752" spans="1:11" hidden="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H4752" s="5">
        <v>930</v>
      </c>
      <c r="I4752" s="6">
        <v>594.25687500000299</v>
      </c>
      <c r="J4752" s="5">
        <v>4320</v>
      </c>
      <c r="K4752" s="6">
        <f t="shared" si="193"/>
        <v>1.5649797909363612</v>
      </c>
    </row>
    <row r="4753" spans="1:11" hidden="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H4753" s="5">
        <v>4460</v>
      </c>
      <c r="I4753" s="6">
        <v>2575.1131250013459</v>
      </c>
      <c r="J4753" s="5">
        <v>18720</v>
      </c>
      <c r="K4753" s="6">
        <f t="shared" si="193"/>
        <v>1.7319627462959202</v>
      </c>
    </row>
    <row r="4754" spans="1:11" hidden="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H4754" s="5">
        <v>1830</v>
      </c>
      <c r="I4754" s="6">
        <v>528.37931032368999</v>
      </c>
      <c r="J4754" s="5">
        <v>4000</v>
      </c>
      <c r="K4754" s="6">
        <f t="shared" ref="K4754:K4760" si="194">IFERROR(H4754/I4754,"")</f>
        <v>3.4634210012479962</v>
      </c>
    </row>
    <row r="4755" spans="1:11" hidden="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H4755" s="5">
        <v>3600</v>
      </c>
      <c r="I4755" s="6">
        <v>2272.0310343918732</v>
      </c>
      <c r="J4755" s="5">
        <v>17200</v>
      </c>
      <c r="K4755" s="6">
        <f t="shared" si="194"/>
        <v>1.5844853989697232</v>
      </c>
    </row>
    <row r="4756" spans="1:11" hidden="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H4756" s="5">
        <v>1980</v>
      </c>
      <c r="I4756" s="6">
        <v>1162.4344827121224</v>
      </c>
      <c r="J4756" s="5">
        <v>8800</v>
      </c>
      <c r="K4756" s="6">
        <f t="shared" si="194"/>
        <v>1.7033218038924505</v>
      </c>
    </row>
    <row r="4757" spans="1:11" hidden="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H4757" s="5">
        <v>980</v>
      </c>
      <c r="I4757" s="6">
        <v>1162.4344827121181</v>
      </c>
      <c r="J4757" s="5">
        <v>8800</v>
      </c>
      <c r="K4757" s="6">
        <f t="shared" si="194"/>
        <v>0.84305826657303418</v>
      </c>
    </row>
    <row r="4758" spans="1:11" hidden="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H4758" s="5">
        <v>2070</v>
      </c>
      <c r="I4758" s="6">
        <v>1056.7586206473827</v>
      </c>
      <c r="J4758" s="5">
        <v>8000</v>
      </c>
      <c r="K4758" s="6">
        <f t="shared" si="194"/>
        <v>1.9588200744763207</v>
      </c>
    </row>
    <row r="4759" spans="1:11" hidden="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H4759" s="5">
        <v>2700</v>
      </c>
      <c r="I4759" s="6">
        <v>1109.596551679753</v>
      </c>
      <c r="J4759" s="5">
        <v>8400</v>
      </c>
      <c r="K4759" s="6">
        <f t="shared" si="194"/>
        <v>2.4333168627035011</v>
      </c>
    </row>
    <row r="4760" spans="1:11" hidden="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H4760" s="5">
        <v>4350</v>
      </c>
      <c r="I4760" s="6">
        <v>1902.1655171652881</v>
      </c>
      <c r="J4760" s="5">
        <v>14400</v>
      </c>
      <c r="K4760" s="6">
        <f t="shared" si="194"/>
        <v>2.2868672367074607</v>
      </c>
    </row>
    <row r="4761" spans="1:11" hidden="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H4761" s="5">
        <v>850</v>
      </c>
      <c r="I4761" s="6">
        <v>951.10714281909407</v>
      </c>
      <c r="J4761" s="5">
        <v>7200</v>
      </c>
      <c r="K4761" s="6">
        <f t="shared" si="193"/>
        <v>0.89369531752289111</v>
      </c>
    </row>
    <row r="4762" spans="1:11" hidden="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H4762" s="5">
        <v>7890</v>
      </c>
      <c r="I4762" s="6">
        <v>3804.4285712763772</v>
      </c>
      <c r="J4762" s="5">
        <v>28800</v>
      </c>
      <c r="K4762" s="6">
        <f t="shared" si="193"/>
        <v>2.0738988397810614</v>
      </c>
    </row>
    <row r="4763" spans="1:11" hidden="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H4763" s="5">
        <v>6810</v>
      </c>
      <c r="I4763" s="6">
        <v>2641.8965516184649</v>
      </c>
      <c r="J4763" s="5">
        <v>20000</v>
      </c>
      <c r="K4763" s="6">
        <f t="shared" si="193"/>
        <v>2.5776936632239038</v>
      </c>
    </row>
    <row r="4764" spans="1:11" hidden="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H4764" s="5">
        <v>12510</v>
      </c>
      <c r="I4764" s="6">
        <v>3592.9793102010913</v>
      </c>
      <c r="J4764" s="5">
        <v>26044</v>
      </c>
      <c r="K4764" s="6">
        <f t="shared" si="193"/>
        <v>3.4817901579566408</v>
      </c>
    </row>
    <row r="4765" spans="1:11" hidden="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H4765" s="5">
        <v>1875</v>
      </c>
      <c r="I4765" s="6">
        <v>1268.1103447768633</v>
      </c>
      <c r="J4765" s="5">
        <v>9600</v>
      </c>
      <c r="K4765" s="6">
        <f t="shared" si="193"/>
        <v>1.4785779547677493</v>
      </c>
    </row>
    <row r="4766" spans="1:11" hidden="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H4766" s="5">
        <v>775</v>
      </c>
      <c r="I4766" s="6">
        <v>528.37931032368999</v>
      </c>
      <c r="J4766" s="5">
        <v>4000</v>
      </c>
      <c r="K4766" s="6">
        <f t="shared" si="193"/>
        <v>1.4667493311296158</v>
      </c>
    </row>
    <row r="4767" spans="1:11" hidden="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H4767" s="5">
        <v>1740</v>
      </c>
      <c r="I4767" s="6">
        <v>1162.4344827121247</v>
      </c>
      <c r="J4767" s="5">
        <v>8800</v>
      </c>
      <c r="K4767" s="6">
        <f t="shared" si="193"/>
        <v>1.4968585549357869</v>
      </c>
    </row>
    <row r="4768" spans="1:11" hidden="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H4768" s="5">
        <v>1200</v>
      </c>
      <c r="I4768" s="6">
        <v>528.3915024419166</v>
      </c>
      <c r="J4768" s="5">
        <v>4000</v>
      </c>
      <c r="K4768" s="6">
        <f t="shared" si="193"/>
        <v>2.2710433352056225</v>
      </c>
    </row>
    <row r="4769" spans="1:11" hidden="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H4769" s="5">
        <v>15000</v>
      </c>
      <c r="I4769" s="6">
        <v>3910.1071427007282</v>
      </c>
      <c r="J4769" s="5">
        <v>29260</v>
      </c>
      <c r="K4769" s="6">
        <f t="shared" si="193"/>
        <v>3.836212014804135</v>
      </c>
    </row>
    <row r="4770" spans="1:11" hidden="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H4770" s="5">
        <v>3175</v>
      </c>
      <c r="I4770" s="6">
        <v>1902.2142856381945</v>
      </c>
      <c r="J4770" s="5">
        <v>14400</v>
      </c>
      <c r="K4770" s="6">
        <f t="shared" si="193"/>
        <v>1.6691074312559822</v>
      </c>
    </row>
    <row r="4771" spans="1:11" hidden="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H4771" s="5">
        <v>2580</v>
      </c>
      <c r="I4771" s="6">
        <v>1162.4642856677858</v>
      </c>
      <c r="J4771" s="5">
        <v>8800</v>
      </c>
      <c r="K4771" s="6">
        <f t="shared" si="193"/>
        <v>2.2194230238375892</v>
      </c>
    </row>
    <row r="4772" spans="1:11" hidden="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H4772" s="5">
        <v>930</v>
      </c>
      <c r="I4772" s="6">
        <v>317.03571427303262</v>
      </c>
      <c r="J4772" s="5">
        <v>2400</v>
      </c>
      <c r="K4772" s="6">
        <f t="shared" si="193"/>
        <v>2.9334234539868898</v>
      </c>
    </row>
    <row r="4773" spans="1:11" hidden="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H4773" s="5">
        <v>1550</v>
      </c>
      <c r="I4773" s="6">
        <v>951.10714281875391</v>
      </c>
      <c r="J4773" s="5">
        <v>7200</v>
      </c>
      <c r="K4773" s="6">
        <f t="shared" si="193"/>
        <v>1.6296796966599725</v>
      </c>
    </row>
    <row r="4774" spans="1:11" hidden="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H4774" s="5">
        <v>1075</v>
      </c>
      <c r="I4774" s="6">
        <v>898.26785710660101</v>
      </c>
      <c r="J4774" s="5">
        <v>6800</v>
      </c>
      <c r="K4774" s="6">
        <f t="shared" si="193"/>
        <v>1.1967477089324654</v>
      </c>
    </row>
    <row r="4775" spans="1:11" hidden="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H4775" s="5">
        <v>2500</v>
      </c>
      <c r="I4775" s="6">
        <v>1162.4642856673661</v>
      </c>
      <c r="J4775" s="5">
        <v>8800</v>
      </c>
      <c r="K4775" s="6">
        <f t="shared" si="193"/>
        <v>2.150603705269758</v>
      </c>
    </row>
    <row r="4776" spans="1:11" hidden="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H4776" s="5">
        <v>1230</v>
      </c>
      <c r="I4776" s="6">
        <v>686.91071425798896</v>
      </c>
      <c r="J4776" s="5">
        <v>5200</v>
      </c>
      <c r="K4776" s="6">
        <f t="shared" si="193"/>
        <v>1.790625731218451</v>
      </c>
    </row>
    <row r="4777" spans="1:11" hidden="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H4777" s="5">
        <v>1450</v>
      </c>
      <c r="I4777" s="6">
        <v>845.428571394752</v>
      </c>
      <c r="J4777" s="5">
        <v>6400</v>
      </c>
      <c r="K4777" s="6">
        <f t="shared" si="193"/>
        <v>1.7151064549520154</v>
      </c>
    </row>
    <row r="4778" spans="1:11" hidden="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H4778" s="5">
        <v>6225</v>
      </c>
      <c r="I4778" s="6">
        <v>3910.1071427007355</v>
      </c>
      <c r="J4778" s="5">
        <v>29600</v>
      </c>
      <c r="K4778" s="6">
        <f t="shared" si="193"/>
        <v>1.592027986143713</v>
      </c>
    </row>
    <row r="4779" spans="1:11" hidden="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H4779" s="5">
        <v>7250</v>
      </c>
      <c r="I4779" s="6">
        <v>4015.7857141250793</v>
      </c>
      <c r="J4779" s="5">
        <v>30400</v>
      </c>
      <c r="K4779" s="6">
        <f t="shared" si="193"/>
        <v>1.8053752157389604</v>
      </c>
    </row>
    <row r="4780" spans="1:11" hidden="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H4780" s="5">
        <v>5340</v>
      </c>
      <c r="I4780" s="6">
        <v>2747.5751230427709</v>
      </c>
      <c r="J4780" s="5">
        <v>20800</v>
      </c>
      <c r="K4780" s="6">
        <f t="shared" si="193"/>
        <v>1.9435319366577601</v>
      </c>
    </row>
    <row r="4781" spans="1:11" hidden="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H4781" s="5">
        <v>840</v>
      </c>
      <c r="I4781" s="6">
        <v>1056.75862064738</v>
      </c>
      <c r="J4781" s="5">
        <v>9600</v>
      </c>
      <c r="K4781" s="6">
        <f t="shared" si="193"/>
        <v>0.79488350848314659</v>
      </c>
    </row>
    <row r="4782" spans="1:11" hidden="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H4782" s="5">
        <v>75</v>
      </c>
      <c r="I4782" s="6">
        <v>369.86551722658481</v>
      </c>
      <c r="J4782" s="5">
        <v>3080</v>
      </c>
      <c r="K4782" s="6">
        <f t="shared" si="193"/>
        <v>0.2027764052252915</v>
      </c>
    </row>
    <row r="4783" spans="1:11" hidden="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H4783" s="5">
        <v>9570</v>
      </c>
      <c r="I4783" s="6">
        <v>3592.9793102011122</v>
      </c>
      <c r="J4783" s="5">
        <v>27820</v>
      </c>
      <c r="K4783" s="6">
        <f t="shared" si="193"/>
        <v>2.6635277227533858</v>
      </c>
    </row>
    <row r="4784" spans="1:11" hidden="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H4784" s="5">
        <v>5970</v>
      </c>
      <c r="I4784" s="6">
        <v>1585.2222221588099</v>
      </c>
      <c r="J4784" s="5">
        <v>11490</v>
      </c>
      <c r="K4784" s="6">
        <f t="shared" si="193"/>
        <v>3.7660335040407453</v>
      </c>
    </row>
    <row r="4785" spans="1:11" hidden="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H4785" s="5">
        <v>4260</v>
      </c>
      <c r="I4785" s="6">
        <v>2219.311111022334</v>
      </c>
      <c r="J4785" s="5">
        <v>16800</v>
      </c>
      <c r="K4785" s="6">
        <f t="shared" si="193"/>
        <v>1.9195145641557281</v>
      </c>
    </row>
    <row r="4786" spans="1:11" hidden="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H4786" s="5">
        <v>5350</v>
      </c>
      <c r="I4786" s="6">
        <v>2959.0814813631118</v>
      </c>
      <c r="J4786" s="5">
        <v>22400</v>
      </c>
      <c r="K4786" s="6">
        <f t="shared" si="193"/>
        <v>1.80799347151992</v>
      </c>
    </row>
    <row r="4787" spans="1:11" hidden="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H4787" s="5">
        <v>0</v>
      </c>
      <c r="I4787" s="6">
        <v>1796.5851851133182</v>
      </c>
      <c r="J4787" s="5">
        <v>13600</v>
      </c>
      <c r="K4787" s="6">
        <f t="shared" si="193"/>
        <v>0</v>
      </c>
    </row>
    <row r="4788" spans="1:11" hidden="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H4788" s="5">
        <v>2300</v>
      </c>
      <c r="I4788" s="6">
        <v>1912.3542857142861</v>
      </c>
      <c r="J4788" s="5">
        <v>16320</v>
      </c>
      <c r="K4788" s="6">
        <f t="shared" si="193"/>
        <v>1.2027060138288779</v>
      </c>
    </row>
    <row r="4789" spans="1:11" hidden="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H4789" s="5">
        <v>3390</v>
      </c>
      <c r="I4789" s="6">
        <v>2812.2857142428579</v>
      </c>
      <c r="J4789" s="5">
        <v>20000</v>
      </c>
      <c r="K4789" s="6">
        <f t="shared" si="193"/>
        <v>1.2054251752698171</v>
      </c>
    </row>
    <row r="4790" spans="1:11" hidden="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H4790" s="5">
        <v>4675</v>
      </c>
      <c r="I4790" s="6">
        <v>1768.8376470588223</v>
      </c>
      <c r="J4790" s="5">
        <v>12800</v>
      </c>
      <c r="K4790" s="6">
        <f t="shared" si="193"/>
        <v>2.6429785728348048</v>
      </c>
    </row>
    <row r="4791" spans="1:11" hidden="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H4791" s="5">
        <v>4400</v>
      </c>
      <c r="I4791" s="6">
        <v>2263.7999998868127</v>
      </c>
      <c r="J4791" s="5">
        <v>17920</v>
      </c>
      <c r="K4791" s="6">
        <f t="shared" si="193"/>
        <v>1.9436345967930007</v>
      </c>
    </row>
    <row r="4792" spans="1:11" hidden="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H4792" s="5">
        <v>1890</v>
      </c>
      <c r="I4792" s="6">
        <v>994.97117647058747</v>
      </c>
      <c r="J4792" s="5">
        <v>7200</v>
      </c>
      <c r="K4792" s="6">
        <f t="shared" si="193"/>
        <v>1.8995525143796672</v>
      </c>
    </row>
    <row r="4793" spans="1:11" hidden="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H4793" s="5">
        <v>2130</v>
      </c>
      <c r="I4793" s="6">
        <v>994.97117647058747</v>
      </c>
      <c r="J4793" s="5">
        <v>7920</v>
      </c>
      <c r="K4793" s="6">
        <f t="shared" si="193"/>
        <v>2.1407655320786727</v>
      </c>
    </row>
    <row r="4794" spans="1:11" hidden="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H4794" s="5">
        <v>3100</v>
      </c>
      <c r="I4794" s="6">
        <v>2263.7999998868127</v>
      </c>
      <c r="J4794" s="5">
        <v>17920</v>
      </c>
      <c r="K4794" s="6">
        <f t="shared" ref="K4794:K4857" si="196">+H4794/I4794</f>
        <v>1.369378920467796</v>
      </c>
    </row>
    <row r="4795" spans="1:11" hidden="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H4795" s="5">
        <v>17160</v>
      </c>
      <c r="I4795" s="6">
        <v>6727.0499997982479</v>
      </c>
      <c r="J4795" s="5">
        <v>49210</v>
      </c>
      <c r="K4795" s="6">
        <f t="shared" si="196"/>
        <v>2.5508952662035584</v>
      </c>
    </row>
    <row r="4796" spans="1:11" hidden="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H4796" s="5">
        <v>2070</v>
      </c>
      <c r="I4796" s="6">
        <v>994.95</v>
      </c>
      <c r="J4796" s="5">
        <v>7200</v>
      </c>
      <c r="K4796" s="6">
        <f t="shared" si="196"/>
        <v>2.0805065581184983</v>
      </c>
    </row>
    <row r="4797" spans="1:11" hidden="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H4797" s="5">
        <v>1925</v>
      </c>
      <c r="I4797" s="6">
        <v>831.6</v>
      </c>
      <c r="J4797" s="5">
        <v>6300</v>
      </c>
      <c r="K4797" s="6">
        <f t="shared" si="196"/>
        <v>2.3148148148148149</v>
      </c>
    </row>
    <row r="4798" spans="1:11" hidden="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H4798" s="5">
        <v>3500</v>
      </c>
      <c r="I4798" s="6">
        <v>1267.2</v>
      </c>
      <c r="J4798" s="5">
        <v>9600</v>
      </c>
      <c r="K4798" s="6">
        <f t="shared" si="196"/>
        <v>2.7619949494949494</v>
      </c>
    </row>
    <row r="4799" spans="1:11" hidden="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H4799" s="5">
        <v>1050</v>
      </c>
      <c r="I4799" s="6">
        <v>316.8</v>
      </c>
      <c r="J4799" s="5">
        <v>2400</v>
      </c>
      <c r="K4799" s="6">
        <f t="shared" si="196"/>
        <v>3.3143939393939394</v>
      </c>
    </row>
    <row r="4800" spans="1:11" hidden="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H4800" s="5">
        <v>10860</v>
      </c>
      <c r="I4800" s="6">
        <v>3603.6</v>
      </c>
      <c r="J4800" s="5">
        <v>27296</v>
      </c>
      <c r="K4800" s="6">
        <f t="shared" si="196"/>
        <v>3.0136530136530135</v>
      </c>
    </row>
    <row r="4801" spans="1:11" hidden="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H4801" s="5">
        <v>5000</v>
      </c>
      <c r="I4801" s="6">
        <v>3682.8</v>
      </c>
      <c r="J4801" s="5">
        <v>27900</v>
      </c>
      <c r="K4801" s="6">
        <f t="shared" si="196"/>
        <v>1.3576626479852285</v>
      </c>
    </row>
    <row r="4802" spans="1:11" hidden="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H4802" s="5">
        <v>5825</v>
      </c>
      <c r="I4802" s="6">
        <v>2376</v>
      </c>
      <c r="J4802" s="5">
        <v>18000</v>
      </c>
      <c r="K4802" s="6">
        <f t="shared" si="196"/>
        <v>2.4515993265993266</v>
      </c>
    </row>
    <row r="4803" spans="1:11" hidden="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H4803" s="5">
        <v>1560</v>
      </c>
      <c r="I4803" s="6">
        <v>950.4</v>
      </c>
      <c r="J4803" s="5">
        <v>7200</v>
      </c>
      <c r="K4803" s="6">
        <f t="shared" si="196"/>
        <v>1.6414141414141414</v>
      </c>
    </row>
    <row r="4804" spans="1:11" hidden="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H4804" s="5">
        <v>2650</v>
      </c>
      <c r="I4804" s="6">
        <v>1346.4</v>
      </c>
      <c r="J4804" s="5">
        <v>10200</v>
      </c>
      <c r="K4804" s="6">
        <f t="shared" si="196"/>
        <v>1.9682115270350564</v>
      </c>
    </row>
    <row r="4805" spans="1:11" hidden="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H4805" s="5">
        <v>5490</v>
      </c>
      <c r="I4805" s="6">
        <v>2851.2</v>
      </c>
      <c r="J4805" s="5">
        <v>21600</v>
      </c>
      <c r="K4805" s="6">
        <f t="shared" si="196"/>
        <v>1.9255050505050506</v>
      </c>
    </row>
    <row r="4806" spans="1:11" hidden="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H4806" s="5">
        <v>2850</v>
      </c>
      <c r="I4806" s="6">
        <v>2138.4</v>
      </c>
      <c r="J4806" s="5">
        <v>16200</v>
      </c>
      <c r="K4806" s="6">
        <f t="shared" si="196"/>
        <v>1.3327721661054994</v>
      </c>
    </row>
    <row r="4807" spans="1:11" hidden="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H4807" s="5">
        <v>1650</v>
      </c>
      <c r="I4807" s="6">
        <v>963.6</v>
      </c>
      <c r="J4807" s="5">
        <v>7570</v>
      </c>
      <c r="K4807" s="6">
        <f t="shared" si="196"/>
        <v>1.7123287671232876</v>
      </c>
    </row>
    <row r="4808" spans="1:11" hidden="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H4808" s="5">
        <v>6250</v>
      </c>
      <c r="I4808" s="6">
        <v>3168</v>
      </c>
      <c r="J4808" s="5">
        <v>24000</v>
      </c>
      <c r="K4808" s="6">
        <f t="shared" si="196"/>
        <v>1.9728535353535352</v>
      </c>
    </row>
    <row r="4809" spans="1:11" hidden="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H4809" s="5">
        <v>2820</v>
      </c>
      <c r="I4809" s="6">
        <v>1188</v>
      </c>
      <c r="J4809" s="5">
        <v>9000</v>
      </c>
      <c r="K4809" s="6">
        <f t="shared" si="196"/>
        <v>2.3737373737373737</v>
      </c>
    </row>
    <row r="4810" spans="1:11" hidden="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H4810" s="5">
        <v>4075</v>
      </c>
      <c r="I4810" s="6">
        <v>2732.4</v>
      </c>
      <c r="J4810" s="5">
        <v>20700</v>
      </c>
      <c r="K4810" s="6">
        <f t="shared" si="196"/>
        <v>1.4913629044063825</v>
      </c>
    </row>
    <row r="4811" spans="1:11" hidden="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H4811" s="5">
        <v>1500</v>
      </c>
      <c r="I4811" s="6">
        <v>673.2</v>
      </c>
      <c r="J4811" s="5">
        <v>5100</v>
      </c>
      <c r="K4811" s="6">
        <f t="shared" si="196"/>
        <v>2.2281639928698751</v>
      </c>
    </row>
    <row r="4812" spans="1:11" hidden="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H4812" s="5">
        <v>1100</v>
      </c>
      <c r="I4812" s="6">
        <v>1100.4749999999999</v>
      </c>
      <c r="J4812" s="5">
        <v>8000</v>
      </c>
      <c r="K4812" s="6">
        <f t="shared" si="196"/>
        <v>0.99956836820463901</v>
      </c>
    </row>
    <row r="4813" spans="1:11" hidden="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H4813" s="5">
        <v>1750</v>
      </c>
      <c r="I4813" s="6">
        <v>1287</v>
      </c>
      <c r="J4813" s="5">
        <v>9400</v>
      </c>
      <c r="K4813" s="6">
        <f t="shared" si="196"/>
        <v>1.3597513597513597</v>
      </c>
    </row>
    <row r="4814" spans="1:11" hidden="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H4814" s="5">
        <v>3990</v>
      </c>
      <c r="I4814" s="6">
        <v>2641.14</v>
      </c>
      <c r="J4814" s="5">
        <v>19200</v>
      </c>
      <c r="K4814" s="6">
        <f t="shared" si="196"/>
        <v>1.5107112837638292</v>
      </c>
    </row>
    <row r="4815" spans="1:11" hidden="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H4815" s="5">
        <v>7830</v>
      </c>
      <c r="I4815" s="6">
        <v>2641.14</v>
      </c>
      <c r="J4815" s="5">
        <v>19200</v>
      </c>
      <c r="K4815" s="6">
        <f t="shared" si="196"/>
        <v>2.9646289102433041</v>
      </c>
    </row>
    <row r="4816" spans="1:11" hidden="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H4816" s="5">
        <v>2160</v>
      </c>
      <c r="I4816" s="6">
        <v>1430.6174906250001</v>
      </c>
      <c r="J4816" s="5">
        <v>10400</v>
      </c>
      <c r="K4816" s="6">
        <f t="shared" si="196"/>
        <v>1.5098375450843617</v>
      </c>
    </row>
    <row r="4817" spans="1:11" hidden="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H4817" s="5">
        <v>1260</v>
      </c>
      <c r="I4817" s="6">
        <v>1430.6175000000001</v>
      </c>
      <c r="J4817" s="5">
        <v>10400</v>
      </c>
      <c r="K4817" s="6">
        <f t="shared" si="196"/>
        <v>0.88073856219429714</v>
      </c>
    </row>
    <row r="4818" spans="1:11" hidden="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H4818" s="5">
        <v>2640</v>
      </c>
      <c r="I4818" s="6">
        <v>2861.2350000000001</v>
      </c>
      <c r="J4818" s="5">
        <v>20800</v>
      </c>
      <c r="K4818" s="6">
        <f t="shared" si="196"/>
        <v>0.92267849372735899</v>
      </c>
    </row>
    <row r="4819" spans="1:11" hidden="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H4819" s="5">
        <v>4525</v>
      </c>
      <c r="I4819" s="6">
        <v>3071.9505625000002</v>
      </c>
      <c r="J4819" s="5">
        <v>22400</v>
      </c>
      <c r="K4819" s="6">
        <f t="shared" si="196"/>
        <v>1.4730054758164748</v>
      </c>
    </row>
    <row r="4820" spans="1:11" hidden="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H4820" s="5">
        <v>4600</v>
      </c>
      <c r="I4820" s="6">
        <v>1097.125</v>
      </c>
      <c r="J4820" s="5">
        <v>8000</v>
      </c>
      <c r="K4820" s="6">
        <f t="shared" si="196"/>
        <v>4.1927765751395691</v>
      </c>
    </row>
    <row r="4821" spans="1:11" hidden="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H4821" s="5">
        <v>6325</v>
      </c>
      <c r="I4821" s="6">
        <v>2852.5250000000001</v>
      </c>
      <c r="J4821" s="5">
        <v>20800</v>
      </c>
      <c r="K4821" s="6">
        <f t="shared" si="196"/>
        <v>2.2173337656988106</v>
      </c>
    </row>
    <row r="4822" spans="1:11" hidden="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H4822" s="5">
        <v>3930</v>
      </c>
      <c r="I4822" s="6">
        <v>2633.1</v>
      </c>
      <c r="J4822" s="5">
        <v>19200</v>
      </c>
      <c r="K4822" s="6">
        <f t="shared" si="196"/>
        <v>1.4925373134328359</v>
      </c>
    </row>
    <row r="4823" spans="1:11" hidden="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H4823" s="5">
        <v>4440</v>
      </c>
      <c r="I4823" s="6">
        <v>2633.1</v>
      </c>
      <c r="J4823" s="5">
        <v>19200</v>
      </c>
      <c r="K4823" s="6">
        <f t="shared" si="196"/>
        <v>1.6862253617409138</v>
      </c>
    </row>
    <row r="4824" spans="1:11" hidden="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H4824" s="5">
        <v>3900</v>
      </c>
      <c r="I4824" s="6">
        <v>2852.5250000000001</v>
      </c>
      <c r="J4824" s="5">
        <v>20800</v>
      </c>
      <c r="K4824" s="6">
        <f t="shared" si="196"/>
        <v>1.367209752762903</v>
      </c>
    </row>
    <row r="4825" spans="1:11" hidden="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H4825" s="5">
        <v>9000</v>
      </c>
      <c r="I4825" s="6">
        <v>2852.5250000000001</v>
      </c>
      <c r="J4825" s="5">
        <v>20800</v>
      </c>
      <c r="K4825" s="6">
        <f t="shared" si="196"/>
        <v>3.1550994294528532</v>
      </c>
    </row>
    <row r="4826" spans="1:11" hidden="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H4826" s="5">
        <v>5050</v>
      </c>
      <c r="I4826" s="6">
        <v>3071.95</v>
      </c>
      <c r="J4826" s="5">
        <v>22400</v>
      </c>
      <c r="K4826" s="6">
        <f t="shared" si="196"/>
        <v>1.6439069646315858</v>
      </c>
    </row>
    <row r="4827" spans="1:11" hidden="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H4827" s="5">
        <v>2400</v>
      </c>
      <c r="I4827" s="6">
        <v>1645.6875</v>
      </c>
      <c r="J4827" s="5">
        <v>12000</v>
      </c>
      <c r="K4827" s="6">
        <f t="shared" si="196"/>
        <v>1.4583570696137633</v>
      </c>
    </row>
    <row r="4828" spans="1:11" hidden="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H4828" s="5">
        <v>12320</v>
      </c>
      <c r="I4828" s="6">
        <v>4121.4642855494085</v>
      </c>
      <c r="J4828" s="5">
        <v>31200</v>
      </c>
      <c r="K4828" s="6">
        <f t="shared" si="196"/>
        <v>2.9892288629543935</v>
      </c>
    </row>
    <row r="4829" spans="1:11" hidden="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H4829" s="5">
        <v>2010</v>
      </c>
      <c r="I4829" s="6">
        <v>1056.7857142434418</v>
      </c>
      <c r="J4829" s="5">
        <v>8000</v>
      </c>
      <c r="K4829" s="6">
        <f t="shared" si="196"/>
        <v>1.901993916939887</v>
      </c>
    </row>
    <row r="4830" spans="1:11" hidden="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H4830" s="5">
        <v>8190</v>
      </c>
      <c r="I4830" s="6">
        <v>2641.9642856076484</v>
      </c>
      <c r="J4830" s="5">
        <v>19996</v>
      </c>
      <c r="K4830" s="6">
        <f t="shared" si="196"/>
        <v>3.099966204924042</v>
      </c>
    </row>
    <row r="4831" spans="1:11" hidden="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H4831" s="5">
        <v>1120</v>
      </c>
      <c r="I4831" s="6">
        <v>528.39285712153003</v>
      </c>
      <c r="J4831" s="5">
        <v>4000</v>
      </c>
      <c r="K4831" s="6">
        <f t="shared" si="196"/>
        <v>2.1196350119138736</v>
      </c>
    </row>
    <row r="4832" spans="1:11" hidden="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H4832" s="5">
        <v>3150</v>
      </c>
      <c r="I4832" s="6">
        <v>1902.2142856375078</v>
      </c>
      <c r="J4832" s="5">
        <v>14400</v>
      </c>
      <c r="K4832" s="6">
        <f t="shared" si="196"/>
        <v>1.655964853057714</v>
      </c>
    </row>
    <row r="4833" spans="1:11" hidden="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H4833" s="5">
        <v>860</v>
      </c>
      <c r="I4833" s="6">
        <v>634.05652706821195</v>
      </c>
      <c r="J4833" s="5">
        <v>4800</v>
      </c>
      <c r="K4833" s="6">
        <f t="shared" si="196"/>
        <v>1.3563459459624505</v>
      </c>
    </row>
    <row r="4834" spans="1:11" hidden="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H4834" s="5">
        <v>6820</v>
      </c>
      <c r="I4834" s="6">
        <v>4487.9999999102474</v>
      </c>
      <c r="J4834" s="5">
        <v>31740</v>
      </c>
      <c r="K4834" s="6">
        <f t="shared" si="196"/>
        <v>1.5196078431676445</v>
      </c>
    </row>
    <row r="4835" spans="1:11" hidden="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H4835" s="5">
        <v>3375</v>
      </c>
      <c r="I4835" s="6">
        <v>1702.8</v>
      </c>
      <c r="J4835" s="5">
        <v>12900</v>
      </c>
      <c r="K4835" s="6">
        <f t="shared" si="196"/>
        <v>1.9820295983086682</v>
      </c>
    </row>
    <row r="4836" spans="1:11" hidden="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H4836" s="5">
        <v>7820</v>
      </c>
      <c r="I4836" s="6">
        <v>3009.6</v>
      </c>
      <c r="J4836" s="5">
        <v>22800</v>
      </c>
      <c r="K4836" s="6">
        <f t="shared" si="196"/>
        <v>2.5983519404572037</v>
      </c>
    </row>
    <row r="4837" spans="1:11" hidden="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H4837" s="5">
        <v>2850</v>
      </c>
      <c r="I4837" s="6">
        <v>1386</v>
      </c>
      <c r="J4837" s="5">
        <v>10500</v>
      </c>
      <c r="K4837" s="6">
        <f t="shared" si="196"/>
        <v>2.0562770562770565</v>
      </c>
    </row>
    <row r="4838" spans="1:11" hidden="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H4838" s="5">
        <v>2460</v>
      </c>
      <c r="I4838" s="6">
        <v>1386</v>
      </c>
      <c r="J4838" s="5">
        <v>10500</v>
      </c>
      <c r="K4838" s="6">
        <f t="shared" si="196"/>
        <v>1.774891774891775</v>
      </c>
    </row>
    <row r="4839" spans="1:11" hidden="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H4839" s="5">
        <v>2100</v>
      </c>
      <c r="I4839" s="6">
        <v>1029.5999999999999</v>
      </c>
      <c r="J4839" s="5">
        <v>7800</v>
      </c>
      <c r="K4839" s="6">
        <f t="shared" si="196"/>
        <v>2.0396270396270397</v>
      </c>
    </row>
    <row r="4840" spans="1:11" hidden="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H4840" s="5">
        <v>6275</v>
      </c>
      <c r="I4840" s="6">
        <v>2653.2</v>
      </c>
      <c r="J4840" s="5">
        <v>20100</v>
      </c>
      <c r="K4840" s="6">
        <f t="shared" si="196"/>
        <v>2.3650685964118803</v>
      </c>
    </row>
    <row r="4841" spans="1:11" hidden="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H4841" s="5">
        <v>4020</v>
      </c>
      <c r="I4841" s="6">
        <v>1768.8</v>
      </c>
      <c r="J4841" s="5">
        <v>13400</v>
      </c>
      <c r="K4841" s="6">
        <f t="shared" si="196"/>
        <v>2.2727272727272729</v>
      </c>
    </row>
    <row r="4842" spans="1:11" hidden="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H4842" s="5">
        <v>1650</v>
      </c>
      <c r="I4842" s="6">
        <v>1029.5999999999999</v>
      </c>
      <c r="J4842" s="5">
        <v>7800</v>
      </c>
      <c r="K4842" s="6">
        <f t="shared" si="196"/>
        <v>1.6025641025641026</v>
      </c>
    </row>
    <row r="4843" spans="1:11" hidden="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H4843" s="5">
        <v>3200</v>
      </c>
      <c r="I4843" s="6">
        <v>1346.4</v>
      </c>
      <c r="J4843" s="5">
        <v>10200</v>
      </c>
      <c r="K4843" s="6">
        <f t="shared" si="196"/>
        <v>2.3767082590611999</v>
      </c>
    </row>
    <row r="4844" spans="1:11" hidden="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H4844" s="5">
        <v>450</v>
      </c>
      <c r="I4844" s="6">
        <v>440.18999062500001</v>
      </c>
      <c r="J4844" s="5">
        <v>3200</v>
      </c>
      <c r="K4844" s="6">
        <f t="shared" si="196"/>
        <v>1.0222858528906378</v>
      </c>
    </row>
    <row r="4845" spans="1:11" hidden="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H4845" s="5">
        <v>2325</v>
      </c>
      <c r="I4845" s="6">
        <v>880.38</v>
      </c>
      <c r="J4845" s="5">
        <v>6400</v>
      </c>
      <c r="K4845" s="6">
        <f t="shared" si="196"/>
        <v>2.6409050637224833</v>
      </c>
    </row>
    <row r="4846" spans="1:11" hidden="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H4846" s="5">
        <v>675</v>
      </c>
      <c r="I4846" s="6">
        <v>330.14249999999998</v>
      </c>
      <c r="J4846" s="5">
        <v>2400</v>
      </c>
      <c r="K4846" s="6">
        <f t="shared" si="196"/>
        <v>2.0445716622367613</v>
      </c>
    </row>
    <row r="4847" spans="1:11" hidden="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H4847" s="5">
        <v>4875</v>
      </c>
      <c r="I4847" s="6">
        <v>1430.6175000000001</v>
      </c>
      <c r="J4847" s="5">
        <v>10400</v>
      </c>
      <c r="K4847" s="6">
        <f t="shared" si="196"/>
        <v>3.4076194370612689</v>
      </c>
    </row>
    <row r="4848" spans="1:11" hidden="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H4848" s="5">
        <v>0</v>
      </c>
      <c r="I4848" s="6">
        <v>220.095</v>
      </c>
      <c r="J4848" s="5">
        <v>1600</v>
      </c>
      <c r="K4848" s="6">
        <f t="shared" si="196"/>
        <v>0</v>
      </c>
    </row>
    <row r="4849" spans="1:11" hidden="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H4849" s="5">
        <v>2940</v>
      </c>
      <c r="I4849" s="6">
        <v>1287.0000000000018</v>
      </c>
      <c r="J4849" s="5">
        <v>9400</v>
      </c>
      <c r="K4849" s="6">
        <f t="shared" si="196"/>
        <v>2.2843822843822812</v>
      </c>
    </row>
    <row r="4850" spans="1:11" hidden="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H4850" s="5">
        <v>5525</v>
      </c>
      <c r="I4850" s="6">
        <v>2641.14</v>
      </c>
      <c r="J4850" s="5">
        <v>19200</v>
      </c>
      <c r="K4850" s="6">
        <f t="shared" si="196"/>
        <v>2.0918997099737235</v>
      </c>
    </row>
    <row r="4851" spans="1:11" hidden="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H4851" s="5">
        <v>3060</v>
      </c>
      <c r="I4851" s="6">
        <v>880.38</v>
      </c>
      <c r="J4851" s="5">
        <v>6400</v>
      </c>
      <c r="K4851" s="6">
        <f t="shared" si="196"/>
        <v>3.4757718258024943</v>
      </c>
    </row>
    <row r="4852" spans="1:11" hidden="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H4852" s="5">
        <v>1140</v>
      </c>
      <c r="I4852" s="6">
        <v>880.38</v>
      </c>
      <c r="J4852" s="5">
        <v>6400</v>
      </c>
      <c r="K4852" s="6">
        <f t="shared" si="196"/>
        <v>1.2948953860832821</v>
      </c>
    </row>
    <row r="4853" spans="1:11" hidden="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H4853" s="5">
        <v>700</v>
      </c>
      <c r="I4853" s="6">
        <v>1755.4</v>
      </c>
      <c r="J4853" s="5">
        <v>12800</v>
      </c>
      <c r="K4853" s="6">
        <f t="shared" si="196"/>
        <v>0.39876951122251336</v>
      </c>
    </row>
    <row r="4854" spans="1:11" hidden="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H4854" s="5">
        <v>3480</v>
      </c>
      <c r="I4854" s="6">
        <v>2413.6749943750001</v>
      </c>
      <c r="J4854" s="5">
        <v>17600</v>
      </c>
      <c r="K4854" s="6">
        <f t="shared" si="196"/>
        <v>1.4417848335463721</v>
      </c>
    </row>
    <row r="4855" spans="1:11" hidden="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H4855" s="5">
        <v>4040</v>
      </c>
      <c r="I4855" s="6">
        <v>1645.6875</v>
      </c>
      <c r="J4855" s="5">
        <v>12000</v>
      </c>
      <c r="K4855" s="6">
        <f t="shared" si="196"/>
        <v>2.4549010671831679</v>
      </c>
    </row>
    <row r="4856" spans="1:11" hidden="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H4856" s="5">
        <v>880</v>
      </c>
      <c r="I4856" s="6">
        <v>726.32013058333712</v>
      </c>
      <c r="J4856" s="5">
        <v>5712</v>
      </c>
      <c r="K4856" s="6">
        <f t="shared" si="196"/>
        <v>1.2115869613764338</v>
      </c>
    </row>
    <row r="4857" spans="1:11" hidden="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H4857" s="5">
        <v>2490</v>
      </c>
      <c r="I4857" s="6">
        <v>924.39958333667107</v>
      </c>
      <c r="J4857" s="5">
        <v>6720</v>
      </c>
      <c r="K4857" s="6">
        <f t="shared" si="196"/>
        <v>2.6936403313945774</v>
      </c>
    </row>
    <row r="4858" spans="1:11" hidden="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H4858" s="5">
        <v>1460</v>
      </c>
      <c r="I4858" s="6">
        <v>1122.485208333339</v>
      </c>
      <c r="J4858" s="5">
        <v>8160</v>
      </c>
      <c r="K4858" s="6">
        <f t="shared" ref="K4858:K4920" si="198">+H4858/I4858</f>
        <v>1.3006852911387594</v>
      </c>
    </row>
    <row r="4859" spans="1:11" hidden="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H4859" s="5">
        <v>460</v>
      </c>
      <c r="I4859" s="6">
        <v>396.17125000000198</v>
      </c>
      <c r="J4859" s="5">
        <v>2880</v>
      </c>
      <c r="K4859" s="6">
        <f t="shared" si="198"/>
        <v>1.1611140384366552</v>
      </c>
    </row>
    <row r="4860" spans="1:11" hidden="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H4860" s="5">
        <v>3240</v>
      </c>
      <c r="I4860" s="6">
        <v>1535.9749999999999</v>
      </c>
      <c r="J4860" s="5">
        <v>11200</v>
      </c>
      <c r="K4860" s="6">
        <f t="shared" si="198"/>
        <v>2.1094093328341934</v>
      </c>
    </row>
    <row r="4861" spans="1:11" hidden="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H4861" s="5">
        <v>2640</v>
      </c>
      <c r="I4861" s="6">
        <v>1535.9749999999999</v>
      </c>
      <c r="J4861" s="5">
        <v>11200</v>
      </c>
      <c r="K4861" s="6">
        <f t="shared" si="198"/>
        <v>1.7187779749019354</v>
      </c>
    </row>
    <row r="4862" spans="1:11" hidden="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H4862" s="5">
        <v>1380</v>
      </c>
      <c r="I4862" s="6">
        <v>594.25687500000299</v>
      </c>
      <c r="J4862" s="5">
        <v>4320</v>
      </c>
      <c r="K4862" s="6">
        <f t="shared" si="198"/>
        <v>2.3222280768733103</v>
      </c>
    </row>
    <row r="4863" spans="1:11" hidden="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H4863" s="5">
        <v>4440</v>
      </c>
      <c r="I4863" s="6">
        <v>2575.1131250013459</v>
      </c>
      <c r="J4863" s="5">
        <v>18720</v>
      </c>
      <c r="K4863" s="6">
        <f t="shared" si="198"/>
        <v>1.7241960972093913</v>
      </c>
    </row>
    <row r="4864" spans="1:11" hidden="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H4864" s="5">
        <v>1620</v>
      </c>
      <c r="I4864" s="6">
        <v>528.37931032368999</v>
      </c>
      <c r="J4864" s="5">
        <v>4000</v>
      </c>
      <c r="K4864" s="6">
        <f t="shared" ref="K4864:K4870" si="199">IFERROR(H4864/I4864,"")</f>
        <v>3.0659792470064229</v>
      </c>
    </row>
    <row r="4865" spans="1:11" hidden="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H4865" s="5">
        <v>3725</v>
      </c>
      <c r="I4865" s="6">
        <v>2272.0310343918732</v>
      </c>
      <c r="J4865" s="5">
        <v>17200</v>
      </c>
      <c r="K4865" s="6">
        <f t="shared" si="199"/>
        <v>1.6395022531006163</v>
      </c>
    </row>
    <row r="4866" spans="1:11" hidden="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H4866" s="5">
        <v>2310</v>
      </c>
      <c r="I4866" s="6">
        <v>1162.4344827121224</v>
      </c>
      <c r="J4866" s="5">
        <v>8800</v>
      </c>
      <c r="K4866" s="6">
        <f t="shared" si="199"/>
        <v>1.987208771207859</v>
      </c>
    </row>
    <row r="4867" spans="1:11" hidden="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H4867" s="5">
        <v>1120</v>
      </c>
      <c r="I4867" s="6">
        <v>1162.4344827121181</v>
      </c>
      <c r="J4867" s="5">
        <v>8800</v>
      </c>
      <c r="K4867" s="6">
        <f t="shared" si="199"/>
        <v>0.96349516179775341</v>
      </c>
    </row>
    <row r="4868" spans="1:11" hidden="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H4868" s="5">
        <v>2070</v>
      </c>
      <c r="I4868" s="6">
        <v>1056.7586206473827</v>
      </c>
      <c r="J4868" s="5">
        <v>8000</v>
      </c>
      <c r="K4868" s="6">
        <f t="shared" si="199"/>
        <v>1.9588200744763207</v>
      </c>
    </row>
    <row r="4869" spans="1:11" hidden="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H4869" s="5">
        <v>3390</v>
      </c>
      <c r="I4869" s="6">
        <v>1109.596551679753</v>
      </c>
      <c r="J4869" s="5">
        <v>8400</v>
      </c>
      <c r="K4869" s="6">
        <f t="shared" si="199"/>
        <v>3.0551645053943961</v>
      </c>
    </row>
    <row r="4870" spans="1:11" hidden="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H4870" s="5">
        <v>5225</v>
      </c>
      <c r="I4870" s="6">
        <v>1902.1655171652881</v>
      </c>
      <c r="J4870" s="5">
        <v>14400</v>
      </c>
      <c r="K4870" s="6">
        <f t="shared" si="199"/>
        <v>2.7468692670796511</v>
      </c>
    </row>
    <row r="4871" spans="1:11" hidden="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H4871" s="5">
        <v>875</v>
      </c>
      <c r="I4871" s="6">
        <v>951.10714281909407</v>
      </c>
      <c r="J4871" s="5">
        <v>7200</v>
      </c>
      <c r="K4871" s="6">
        <f t="shared" si="198"/>
        <v>0.91998047392062321</v>
      </c>
    </row>
    <row r="4872" spans="1:11" hidden="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H4872" s="5">
        <v>10230</v>
      </c>
      <c r="I4872" s="6">
        <v>3804.4285712763772</v>
      </c>
      <c r="J4872" s="5">
        <v>28800</v>
      </c>
      <c r="K4872" s="6">
        <f t="shared" si="198"/>
        <v>2.6889714994879923</v>
      </c>
    </row>
    <row r="4873" spans="1:11" hidden="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H4873" s="5">
        <v>5610</v>
      </c>
      <c r="I4873" s="6">
        <v>2641.8965516184649</v>
      </c>
      <c r="J4873" s="5">
        <v>20000</v>
      </c>
      <c r="K4873" s="6">
        <f t="shared" si="198"/>
        <v>2.1234745155192511</v>
      </c>
    </row>
    <row r="4874" spans="1:11" hidden="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H4874" s="5">
        <v>12060</v>
      </c>
      <c r="I4874" s="6">
        <v>3592.9793102010913</v>
      </c>
      <c r="J4874" s="5">
        <v>26044</v>
      </c>
      <c r="K4874" s="6">
        <f t="shared" si="198"/>
        <v>3.3565459076704309</v>
      </c>
    </row>
    <row r="4875" spans="1:11" hidden="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H4875" s="5">
        <v>1925</v>
      </c>
      <c r="I4875" s="6">
        <v>1268.1103447768633</v>
      </c>
      <c r="J4875" s="5">
        <v>9600</v>
      </c>
      <c r="K4875" s="6">
        <f t="shared" si="198"/>
        <v>1.5180067002282227</v>
      </c>
    </row>
    <row r="4876" spans="1:11" hidden="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H4876" s="5">
        <v>1300</v>
      </c>
      <c r="I4876" s="6">
        <v>528.37931032368999</v>
      </c>
      <c r="J4876" s="5">
        <v>4000</v>
      </c>
      <c r="K4876" s="6">
        <f t="shared" si="198"/>
        <v>2.460353716733549</v>
      </c>
    </row>
    <row r="4877" spans="1:11" hidden="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H4877" s="5">
        <v>1710</v>
      </c>
      <c r="I4877" s="6">
        <v>1162.4344827121247</v>
      </c>
      <c r="J4877" s="5">
        <v>8800</v>
      </c>
      <c r="K4877" s="6">
        <f t="shared" si="198"/>
        <v>1.4710506488162045</v>
      </c>
    </row>
    <row r="4878" spans="1:11" hidden="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H4878" s="5">
        <v>1110</v>
      </c>
      <c r="I4878" s="6">
        <v>528.3915024419166</v>
      </c>
      <c r="J4878" s="5">
        <v>4000</v>
      </c>
      <c r="K4878" s="6">
        <f t="shared" si="198"/>
        <v>2.1007150850652008</v>
      </c>
    </row>
    <row r="4879" spans="1:11" hidden="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H4879" s="5">
        <v>10770</v>
      </c>
      <c r="I4879" s="6">
        <v>3910.1071427007282</v>
      </c>
      <c r="J4879" s="5">
        <v>29260</v>
      </c>
      <c r="K4879" s="6">
        <f t="shared" si="198"/>
        <v>2.754400226629369</v>
      </c>
    </row>
    <row r="4880" spans="1:11" hidden="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H4880" s="5">
        <v>3100</v>
      </c>
      <c r="I4880" s="6">
        <v>1902.2142856381945</v>
      </c>
      <c r="J4880" s="5">
        <v>14400</v>
      </c>
      <c r="K4880" s="6">
        <f t="shared" si="198"/>
        <v>1.6296796966593843</v>
      </c>
    </row>
    <row r="4881" spans="1:11" hidden="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H4881" s="5">
        <v>2340</v>
      </c>
      <c r="I4881" s="6">
        <v>1162.4642856677858</v>
      </c>
      <c r="J4881" s="5">
        <v>8800</v>
      </c>
      <c r="K4881" s="6">
        <f t="shared" si="198"/>
        <v>2.0129650681317668</v>
      </c>
    </row>
    <row r="4882" spans="1:11" hidden="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H4882" s="5">
        <v>930</v>
      </c>
      <c r="I4882" s="6">
        <v>317.03571427303262</v>
      </c>
      <c r="J4882" s="5">
        <v>2400</v>
      </c>
      <c r="K4882" s="6">
        <f t="shared" si="198"/>
        <v>2.9334234539868898</v>
      </c>
    </row>
    <row r="4883" spans="1:11" hidden="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H4883" s="5">
        <v>1275</v>
      </c>
      <c r="I4883" s="6">
        <v>951.10714281875391</v>
      </c>
      <c r="J4883" s="5">
        <v>7200</v>
      </c>
      <c r="K4883" s="6">
        <f t="shared" si="198"/>
        <v>1.340542976284816</v>
      </c>
    </row>
    <row r="4884" spans="1:11" hidden="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H4884" s="5">
        <v>1050</v>
      </c>
      <c r="I4884" s="6">
        <v>898.26785710660101</v>
      </c>
      <c r="J4884" s="5">
        <v>6800</v>
      </c>
      <c r="K4884" s="6">
        <f t="shared" si="198"/>
        <v>1.1689163668642686</v>
      </c>
    </row>
    <row r="4885" spans="1:11" hidden="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H4885" s="5">
        <v>2550</v>
      </c>
      <c r="I4885" s="6">
        <v>1162.4642856673661</v>
      </c>
      <c r="J4885" s="5">
        <v>8800</v>
      </c>
      <c r="K4885" s="6">
        <f t="shared" si="198"/>
        <v>2.1936157793751532</v>
      </c>
    </row>
    <row r="4886" spans="1:11" hidden="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H4886" s="5">
        <v>1620</v>
      </c>
      <c r="I4886" s="6">
        <v>686.91071425798896</v>
      </c>
      <c r="J4886" s="5">
        <v>5200</v>
      </c>
      <c r="K4886" s="6">
        <f t="shared" si="198"/>
        <v>2.3583851094096673</v>
      </c>
    </row>
    <row r="4887" spans="1:11" hidden="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H4887" s="5">
        <v>1050</v>
      </c>
      <c r="I4887" s="6">
        <v>845.428571394752</v>
      </c>
      <c r="J4887" s="5">
        <v>6400</v>
      </c>
      <c r="K4887" s="6">
        <f t="shared" si="198"/>
        <v>1.2419736397928387</v>
      </c>
    </row>
    <row r="4888" spans="1:11" hidden="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H4888" s="5">
        <v>6400</v>
      </c>
      <c r="I4888" s="6">
        <v>3910.1071427007355</v>
      </c>
      <c r="J4888" s="5">
        <v>29600</v>
      </c>
      <c r="K4888" s="6">
        <f t="shared" si="198"/>
        <v>1.6367837929830946</v>
      </c>
    </row>
    <row r="4889" spans="1:11" hidden="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H4889" s="5">
        <v>7650</v>
      </c>
      <c r="I4889" s="6">
        <v>4015.7857141250793</v>
      </c>
      <c r="J4889" s="5">
        <v>30400</v>
      </c>
      <c r="K4889" s="6">
        <f t="shared" si="198"/>
        <v>1.9049821241935236</v>
      </c>
    </row>
    <row r="4890" spans="1:11" hidden="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H4890" s="5">
        <v>6210</v>
      </c>
      <c r="I4890" s="6">
        <v>2747.5751230427709</v>
      </c>
      <c r="J4890" s="5">
        <v>20800</v>
      </c>
      <c r="K4890" s="6">
        <f t="shared" si="198"/>
        <v>2.2601747802705412</v>
      </c>
    </row>
    <row r="4891" spans="1:11" hidden="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H4891" s="5">
        <v>960</v>
      </c>
      <c r="I4891" s="6">
        <v>1056.75862064738</v>
      </c>
      <c r="J4891" s="5">
        <v>9600</v>
      </c>
      <c r="K4891" s="6">
        <f t="shared" si="198"/>
        <v>0.90843829540931043</v>
      </c>
    </row>
    <row r="4892" spans="1:11" hidden="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H4892" s="5">
        <v>425</v>
      </c>
      <c r="I4892" s="6">
        <v>369.86551722658481</v>
      </c>
      <c r="J4892" s="5">
        <v>3080</v>
      </c>
      <c r="K4892" s="6">
        <f t="shared" si="198"/>
        <v>1.1490662962766518</v>
      </c>
    </row>
    <row r="4893" spans="1:11" hidden="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H4893" s="5">
        <v>10140</v>
      </c>
      <c r="I4893" s="6">
        <v>3592.9793102011122</v>
      </c>
      <c r="J4893" s="5">
        <v>27820</v>
      </c>
      <c r="K4893" s="6">
        <f t="shared" si="198"/>
        <v>2.8221704397825844</v>
      </c>
    </row>
    <row r="4894" spans="1:11" hidden="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H4894" s="5">
        <v>4170</v>
      </c>
      <c r="I4894" s="6">
        <v>1585.2222221588099</v>
      </c>
      <c r="J4894" s="5">
        <v>11490</v>
      </c>
      <c r="K4894" s="6">
        <f t="shared" si="198"/>
        <v>2.6305460153852445</v>
      </c>
    </row>
    <row r="4895" spans="1:11" hidden="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H4895" s="5">
        <v>4350</v>
      </c>
      <c r="I4895" s="6">
        <v>2219.311111022334</v>
      </c>
      <c r="J4895" s="5">
        <v>16800</v>
      </c>
      <c r="K4895" s="6">
        <f t="shared" si="198"/>
        <v>1.9600676887505675</v>
      </c>
    </row>
    <row r="4896" spans="1:11" hidden="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H4896" s="5">
        <v>5550</v>
      </c>
      <c r="I4896" s="6">
        <v>2959.0814813631118</v>
      </c>
      <c r="J4896" s="5">
        <v>22400</v>
      </c>
      <c r="K4896" s="6">
        <f t="shared" si="198"/>
        <v>1.875582012511319</v>
      </c>
    </row>
    <row r="4897" spans="1:11" hidden="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H4897" s="5">
        <v>0</v>
      </c>
      <c r="I4897" s="6">
        <v>1796.5851851133182</v>
      </c>
      <c r="J4897" s="5">
        <v>13600</v>
      </c>
      <c r="K4897" s="6">
        <f t="shared" si="198"/>
        <v>0</v>
      </c>
    </row>
    <row r="4898" spans="1:11" hidden="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H4898" s="5">
        <v>1825</v>
      </c>
      <c r="I4898" s="6">
        <v>1912.3542857142861</v>
      </c>
      <c r="J4898" s="5">
        <v>16320</v>
      </c>
      <c r="K4898" s="6">
        <f t="shared" si="198"/>
        <v>0.95432107619030526</v>
      </c>
    </row>
    <row r="4899" spans="1:11" hidden="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H4899" s="5">
        <v>3450</v>
      </c>
      <c r="I4899" s="6">
        <v>2812.2857142428579</v>
      </c>
      <c r="J4899" s="5">
        <v>20000</v>
      </c>
      <c r="K4899" s="6">
        <f t="shared" si="198"/>
        <v>1.2267601341241503</v>
      </c>
    </row>
    <row r="4900" spans="1:11" hidden="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H4900" s="5">
        <v>4500</v>
      </c>
      <c r="I4900" s="6">
        <v>1768.8376470588223</v>
      </c>
      <c r="J4900" s="5">
        <v>12800</v>
      </c>
      <c r="K4900" s="6">
        <f t="shared" si="198"/>
        <v>2.5440435460441968</v>
      </c>
    </row>
    <row r="4901" spans="1:11" hidden="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H4901" s="5">
        <v>4320</v>
      </c>
      <c r="I4901" s="6">
        <v>2263.7999998868127</v>
      </c>
      <c r="J4901" s="5">
        <v>17920</v>
      </c>
      <c r="K4901" s="6">
        <f t="shared" si="198"/>
        <v>1.9082957859422187</v>
      </c>
    </row>
    <row r="4902" spans="1:11" hidden="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H4902" s="5">
        <v>1470</v>
      </c>
      <c r="I4902" s="6">
        <v>994.97117647058747</v>
      </c>
      <c r="J4902" s="5">
        <v>7200</v>
      </c>
      <c r="K4902" s="6">
        <f t="shared" si="198"/>
        <v>1.4774297334064079</v>
      </c>
    </row>
    <row r="4903" spans="1:11" hidden="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H4903" s="5">
        <v>2550</v>
      </c>
      <c r="I4903" s="6">
        <v>994.97117647058747</v>
      </c>
      <c r="J4903" s="5">
        <v>7920</v>
      </c>
      <c r="K4903" s="6">
        <f t="shared" si="198"/>
        <v>2.562888313051932</v>
      </c>
    </row>
    <row r="4904" spans="1:11" hidden="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H4904" s="5">
        <v>3425</v>
      </c>
      <c r="I4904" s="6">
        <v>2263.7999998868127</v>
      </c>
      <c r="J4904" s="5">
        <v>17920</v>
      </c>
      <c r="K4904" s="6">
        <f t="shared" si="198"/>
        <v>1.5129428395490971</v>
      </c>
    </row>
    <row r="4905" spans="1:11" hidden="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H4905" s="5">
        <v>15540</v>
      </c>
      <c r="I4905" s="6">
        <v>6727.0499997982479</v>
      </c>
      <c r="J4905" s="5">
        <v>49210</v>
      </c>
      <c r="K4905" s="6">
        <f t="shared" si="198"/>
        <v>2.3100764823311946</v>
      </c>
    </row>
    <row r="4906" spans="1:11" hidden="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H4906" s="5">
        <v>1890</v>
      </c>
      <c r="I4906" s="6">
        <v>994.95</v>
      </c>
      <c r="J4906" s="5">
        <v>7200</v>
      </c>
      <c r="K4906" s="6">
        <f t="shared" si="198"/>
        <v>1.8995929443690638</v>
      </c>
    </row>
    <row r="4907" spans="1:11" hidden="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H4907" s="5">
        <v>1300</v>
      </c>
      <c r="I4907" s="6">
        <v>831.6</v>
      </c>
      <c r="J4907" s="5">
        <v>6300</v>
      </c>
      <c r="K4907" s="6">
        <f t="shared" si="198"/>
        <v>1.5632515632515631</v>
      </c>
    </row>
    <row r="4908" spans="1:11" hidden="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H4908" s="5">
        <v>3850</v>
      </c>
      <c r="I4908" s="6">
        <v>1267.2</v>
      </c>
      <c r="J4908" s="5">
        <v>9600</v>
      </c>
      <c r="K4908" s="6">
        <f t="shared" si="198"/>
        <v>3.0381944444444442</v>
      </c>
    </row>
    <row r="4909" spans="1:11" hidden="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H4909" s="5">
        <v>1020</v>
      </c>
      <c r="I4909" s="6">
        <v>316.8</v>
      </c>
      <c r="J4909" s="5">
        <v>2400</v>
      </c>
      <c r="K4909" s="6">
        <f t="shared" si="198"/>
        <v>3.2196969696969697</v>
      </c>
    </row>
    <row r="4910" spans="1:11" hidden="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H4910" s="5">
        <v>8700</v>
      </c>
      <c r="I4910" s="6">
        <v>3603.6</v>
      </c>
      <c r="J4910" s="5">
        <v>27296</v>
      </c>
      <c r="K4910" s="6">
        <f t="shared" si="198"/>
        <v>2.4142524142524144</v>
      </c>
    </row>
    <row r="4911" spans="1:11" hidden="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H4911" s="5">
        <v>6850</v>
      </c>
      <c r="I4911" s="6">
        <v>3682.8</v>
      </c>
      <c r="J4911" s="5">
        <v>27900</v>
      </c>
      <c r="K4911" s="6">
        <f t="shared" si="198"/>
        <v>1.8599978277397631</v>
      </c>
    </row>
    <row r="4912" spans="1:11" hidden="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H4912" s="5">
        <v>5625</v>
      </c>
      <c r="I4912" s="6">
        <v>2376</v>
      </c>
      <c r="J4912" s="5">
        <v>18000</v>
      </c>
      <c r="K4912" s="6">
        <f t="shared" si="198"/>
        <v>2.3674242424242422</v>
      </c>
    </row>
    <row r="4913" spans="1:11" hidden="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H4913" s="5">
        <v>990</v>
      </c>
      <c r="I4913" s="6">
        <v>950.4</v>
      </c>
      <c r="J4913" s="5">
        <v>7200</v>
      </c>
      <c r="K4913" s="6">
        <f t="shared" si="198"/>
        <v>1.0416666666666667</v>
      </c>
    </row>
    <row r="4914" spans="1:11" hidden="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H4914" s="5">
        <v>3425</v>
      </c>
      <c r="I4914" s="6">
        <v>1346.4</v>
      </c>
      <c r="J4914" s="5">
        <v>10200</v>
      </c>
      <c r="K4914" s="6">
        <f t="shared" si="198"/>
        <v>2.5438205585264408</v>
      </c>
    </row>
    <row r="4915" spans="1:11" hidden="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H4915" s="5">
        <v>5220</v>
      </c>
      <c r="I4915" s="6">
        <v>2851.2</v>
      </c>
      <c r="J4915" s="5">
        <v>21600</v>
      </c>
      <c r="K4915" s="6">
        <f t="shared" si="198"/>
        <v>1.8308080808080809</v>
      </c>
    </row>
    <row r="4916" spans="1:11" hidden="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H4916" s="5">
        <v>2775</v>
      </c>
      <c r="I4916" s="6">
        <v>2138.4</v>
      </c>
      <c r="J4916" s="5">
        <v>16200</v>
      </c>
      <c r="K4916" s="6">
        <f t="shared" si="198"/>
        <v>1.297699214365881</v>
      </c>
    </row>
    <row r="4917" spans="1:11" hidden="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H4917" s="5">
        <v>2500</v>
      </c>
      <c r="I4917" s="6">
        <v>963.6</v>
      </c>
      <c r="J4917" s="5">
        <v>7570</v>
      </c>
      <c r="K4917" s="6">
        <f t="shared" si="198"/>
        <v>2.5944375259443753</v>
      </c>
    </row>
    <row r="4918" spans="1:11" hidden="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H4918" s="5">
        <v>7025</v>
      </c>
      <c r="I4918" s="6">
        <v>3168</v>
      </c>
      <c r="J4918" s="5">
        <v>24000</v>
      </c>
      <c r="K4918" s="6">
        <f t="shared" si="198"/>
        <v>2.2174873737373737</v>
      </c>
    </row>
    <row r="4919" spans="1:11" hidden="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H4919" s="5">
        <v>2610</v>
      </c>
      <c r="I4919" s="6">
        <v>1188</v>
      </c>
      <c r="J4919" s="5">
        <v>9000</v>
      </c>
      <c r="K4919" s="6">
        <f t="shared" si="198"/>
        <v>2.1969696969696968</v>
      </c>
    </row>
    <row r="4920" spans="1:11" hidden="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H4920" s="5">
        <v>4325</v>
      </c>
      <c r="I4920" s="6">
        <v>2732.4</v>
      </c>
      <c r="J4920" s="5">
        <v>20700</v>
      </c>
      <c r="K4920" s="6">
        <f t="shared" si="198"/>
        <v>1.5828575611184306</v>
      </c>
    </row>
    <row r="4921" spans="1:11" hidden="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H4921" s="5">
        <v>1500</v>
      </c>
      <c r="I4921" s="6">
        <v>673.2</v>
      </c>
      <c r="J4921" s="5">
        <v>5100</v>
      </c>
      <c r="K4921" s="6">
        <f t="shared" ref="K4921:K4973" si="201">+H4921/I4921</f>
        <v>2.2281639928698751</v>
      </c>
    </row>
    <row r="4922" spans="1:11" hidden="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H4922" s="5">
        <v>1725</v>
      </c>
      <c r="I4922" s="6">
        <v>1100.4749999999999</v>
      </c>
      <c r="J4922" s="5">
        <v>8000</v>
      </c>
      <c r="K4922" s="6">
        <f t="shared" si="201"/>
        <v>1.5675049410481838</v>
      </c>
    </row>
    <row r="4923" spans="1:11" hidden="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H4923" s="5">
        <v>1350</v>
      </c>
      <c r="I4923" s="6">
        <v>1287</v>
      </c>
      <c r="J4923" s="5">
        <v>9400</v>
      </c>
      <c r="K4923" s="6">
        <f t="shared" si="201"/>
        <v>1.048951048951049</v>
      </c>
    </row>
    <row r="4924" spans="1:11" hidden="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H4924" s="5">
        <v>6990</v>
      </c>
      <c r="I4924" s="6">
        <v>2641.14</v>
      </c>
      <c r="J4924" s="5">
        <v>19200</v>
      </c>
      <c r="K4924" s="6">
        <f t="shared" si="201"/>
        <v>2.6465844294509191</v>
      </c>
    </row>
    <row r="4925" spans="1:11" hidden="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H4925" s="5">
        <v>5250</v>
      </c>
      <c r="I4925" s="6">
        <v>2641.14</v>
      </c>
      <c r="J4925" s="5">
        <v>19200</v>
      </c>
      <c r="K4925" s="6">
        <f t="shared" si="201"/>
        <v>1.987778004952407</v>
      </c>
    </row>
    <row r="4926" spans="1:11" hidden="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H4926" s="5">
        <v>1980</v>
      </c>
      <c r="I4926" s="6">
        <v>1430.6174906250001</v>
      </c>
      <c r="J4926" s="5">
        <v>10400</v>
      </c>
      <c r="K4926" s="6">
        <f t="shared" si="201"/>
        <v>1.3840177496606649</v>
      </c>
    </row>
    <row r="4927" spans="1:11" hidden="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H4927" s="5">
        <v>1350</v>
      </c>
      <c r="I4927" s="6">
        <v>1430.6175000000001</v>
      </c>
      <c r="J4927" s="5">
        <v>10400</v>
      </c>
      <c r="K4927" s="6">
        <f t="shared" si="201"/>
        <v>0.94364845949388987</v>
      </c>
    </row>
    <row r="4928" spans="1:11" hidden="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H4928" s="5">
        <v>2520</v>
      </c>
      <c r="I4928" s="6">
        <v>2861.2350000000001</v>
      </c>
      <c r="J4928" s="5">
        <v>20800</v>
      </c>
      <c r="K4928" s="6">
        <f t="shared" si="201"/>
        <v>0.88073856219429714</v>
      </c>
    </row>
    <row r="4929" spans="1:11" hidden="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H4929" s="5">
        <v>4150</v>
      </c>
      <c r="I4929" s="6">
        <v>3071.9505625000002</v>
      </c>
      <c r="J4929" s="5">
        <v>22400</v>
      </c>
      <c r="K4929" s="6">
        <f t="shared" si="201"/>
        <v>1.3509331988151094</v>
      </c>
    </row>
    <row r="4930" spans="1:11" hidden="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H4930" s="5">
        <v>3000</v>
      </c>
      <c r="I4930" s="6">
        <v>1097.125</v>
      </c>
      <c r="J4930" s="5">
        <v>8000</v>
      </c>
      <c r="K4930" s="6">
        <f t="shared" si="201"/>
        <v>2.734419505525806</v>
      </c>
    </row>
    <row r="4931" spans="1:11" hidden="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H4931" s="5">
        <v>4475</v>
      </c>
      <c r="I4931" s="6">
        <v>2852.5250000000001</v>
      </c>
      <c r="J4931" s="5">
        <v>20800</v>
      </c>
      <c r="K4931" s="6">
        <f t="shared" si="201"/>
        <v>1.568785549644613</v>
      </c>
    </row>
    <row r="4932" spans="1:11" hidden="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H4932" s="5">
        <v>4440</v>
      </c>
      <c r="I4932" s="6">
        <v>2633.1</v>
      </c>
      <c r="J4932" s="5">
        <v>19200</v>
      </c>
      <c r="K4932" s="6">
        <f t="shared" si="201"/>
        <v>1.6862253617409138</v>
      </c>
    </row>
    <row r="4933" spans="1:11" hidden="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H4933" s="5">
        <v>3750</v>
      </c>
      <c r="I4933" s="6">
        <v>2633.1</v>
      </c>
      <c r="J4933" s="5">
        <v>19200</v>
      </c>
      <c r="K4933" s="6">
        <f t="shared" si="201"/>
        <v>1.4241768257946907</v>
      </c>
    </row>
    <row r="4934" spans="1:11" hidden="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H4934" s="5">
        <v>3570</v>
      </c>
      <c r="I4934" s="6">
        <v>2852.5250000000001</v>
      </c>
      <c r="J4934" s="5">
        <v>20800</v>
      </c>
      <c r="K4934" s="6">
        <f t="shared" si="201"/>
        <v>1.2515227736829651</v>
      </c>
    </row>
    <row r="4935" spans="1:11" hidden="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H4935" s="5">
        <v>7590</v>
      </c>
      <c r="I4935" s="6">
        <v>2852.5250000000001</v>
      </c>
      <c r="J4935" s="5">
        <v>20800</v>
      </c>
      <c r="K4935" s="6">
        <f t="shared" si="201"/>
        <v>2.6608005188385726</v>
      </c>
    </row>
    <row r="4936" spans="1:11" hidden="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H4936" s="5">
        <v>4575</v>
      </c>
      <c r="I4936" s="6">
        <v>3071.95</v>
      </c>
      <c r="J4936" s="5">
        <v>22400</v>
      </c>
      <c r="K4936" s="6">
        <f t="shared" si="201"/>
        <v>1.4892820521167338</v>
      </c>
    </row>
    <row r="4937" spans="1:11" hidden="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H4937" s="5">
        <v>2425</v>
      </c>
      <c r="I4937" s="6">
        <v>1645.6875</v>
      </c>
      <c r="J4937" s="5">
        <v>12000</v>
      </c>
      <c r="K4937" s="6">
        <f t="shared" si="201"/>
        <v>1.4735482890889067</v>
      </c>
    </row>
    <row r="4938" spans="1:11" hidden="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H4938" s="5">
        <v>10420</v>
      </c>
      <c r="I4938" s="6">
        <v>4121.4642855494085</v>
      </c>
      <c r="J4938" s="5">
        <v>31200</v>
      </c>
      <c r="K4938" s="6">
        <f t="shared" si="201"/>
        <v>2.5282276584403229</v>
      </c>
    </row>
    <row r="4939" spans="1:11" hidden="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H4939" s="5">
        <v>1530</v>
      </c>
      <c r="I4939" s="6">
        <v>1056.7857142434418</v>
      </c>
      <c r="J4939" s="5">
        <v>8000</v>
      </c>
      <c r="K4939" s="6">
        <f t="shared" si="201"/>
        <v>1.4477864143870782</v>
      </c>
    </row>
    <row r="4940" spans="1:11" hidden="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H4940" s="5">
        <v>9270</v>
      </c>
      <c r="I4940" s="6">
        <v>2641.9642856076484</v>
      </c>
      <c r="J4940" s="5">
        <v>19996</v>
      </c>
      <c r="K4940" s="6">
        <f t="shared" si="201"/>
        <v>3.5087529572217182</v>
      </c>
    </row>
    <row r="4941" spans="1:11" hidden="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H4941" s="5">
        <v>1200</v>
      </c>
      <c r="I4941" s="6">
        <v>528.39285712153003</v>
      </c>
      <c r="J4941" s="5">
        <v>4000</v>
      </c>
      <c r="K4941" s="6">
        <f t="shared" si="201"/>
        <v>2.2710375127648645</v>
      </c>
    </row>
    <row r="4942" spans="1:11" hidden="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H4942" s="5">
        <v>3300</v>
      </c>
      <c r="I4942" s="6">
        <v>1902.2142856375078</v>
      </c>
      <c r="J4942" s="5">
        <v>14400</v>
      </c>
      <c r="K4942" s="6">
        <f t="shared" si="201"/>
        <v>1.7348203222509384</v>
      </c>
    </row>
    <row r="4943" spans="1:11" hidden="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H4943" s="5">
        <v>1020</v>
      </c>
      <c r="I4943" s="6">
        <v>634.05652706821195</v>
      </c>
      <c r="J4943" s="5">
        <v>4800</v>
      </c>
      <c r="K4943" s="6">
        <f t="shared" si="201"/>
        <v>1.608689377769418</v>
      </c>
    </row>
    <row r="4944" spans="1:11" hidden="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H4944" s="5">
        <v>7900</v>
      </c>
      <c r="I4944" s="6">
        <v>4487.9999999102474</v>
      </c>
      <c r="J4944" s="5">
        <v>31740</v>
      </c>
      <c r="K4944" s="6">
        <f t="shared" si="201"/>
        <v>1.7602495544024035</v>
      </c>
    </row>
    <row r="4945" spans="1:11" hidden="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H4945" s="5">
        <v>5025</v>
      </c>
      <c r="I4945" s="6">
        <v>1702.8</v>
      </c>
      <c r="J4945" s="5">
        <v>12900</v>
      </c>
      <c r="K4945" s="6">
        <f t="shared" si="201"/>
        <v>2.9510218463706837</v>
      </c>
    </row>
    <row r="4946" spans="1:11" hidden="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H4946" s="5">
        <v>6240</v>
      </c>
      <c r="I4946" s="6">
        <v>3009.6</v>
      </c>
      <c r="J4946" s="5">
        <v>22800</v>
      </c>
      <c r="K4946" s="6">
        <f t="shared" si="201"/>
        <v>2.073365231259968</v>
      </c>
    </row>
    <row r="4947" spans="1:11" hidden="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H4947" s="5">
        <v>3180</v>
      </c>
      <c r="I4947" s="6">
        <v>1386</v>
      </c>
      <c r="J4947" s="5">
        <v>10500</v>
      </c>
      <c r="K4947" s="6">
        <f t="shared" si="201"/>
        <v>2.2943722943722942</v>
      </c>
    </row>
    <row r="4948" spans="1:11" hidden="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H4948" s="5">
        <v>2610</v>
      </c>
      <c r="I4948" s="6">
        <v>1386</v>
      </c>
      <c r="J4948" s="5">
        <v>10500</v>
      </c>
      <c r="K4948" s="6">
        <f t="shared" si="201"/>
        <v>1.8831168831168832</v>
      </c>
    </row>
    <row r="4949" spans="1:11" hidden="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H4949" s="5">
        <v>1600</v>
      </c>
      <c r="I4949" s="6">
        <v>1029.5999999999999</v>
      </c>
      <c r="J4949" s="5">
        <v>7800</v>
      </c>
      <c r="K4949" s="6">
        <f t="shared" si="201"/>
        <v>1.5540015540015542</v>
      </c>
    </row>
    <row r="4950" spans="1:11" hidden="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H4950" s="5">
        <v>4300</v>
      </c>
      <c r="I4950" s="6">
        <v>2653.2</v>
      </c>
      <c r="J4950" s="5">
        <v>20100</v>
      </c>
      <c r="K4950" s="6">
        <f t="shared" si="201"/>
        <v>1.6206844565053522</v>
      </c>
    </row>
    <row r="4951" spans="1:11" hidden="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H4951" s="5">
        <v>4290</v>
      </c>
      <c r="I4951" s="6">
        <v>1768.8</v>
      </c>
      <c r="J4951" s="5">
        <v>13400</v>
      </c>
      <c r="K4951" s="6">
        <f t="shared" si="201"/>
        <v>2.4253731343283582</v>
      </c>
    </row>
    <row r="4952" spans="1:11" hidden="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H4952" s="5">
        <v>1500</v>
      </c>
      <c r="I4952" s="6">
        <v>1029.5999999999999</v>
      </c>
      <c r="J4952" s="5">
        <v>7800</v>
      </c>
      <c r="K4952" s="6">
        <f t="shared" si="201"/>
        <v>1.4568764568764569</v>
      </c>
    </row>
    <row r="4953" spans="1:11" hidden="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H4953" s="5">
        <v>3525</v>
      </c>
      <c r="I4953" s="6">
        <v>1346.4</v>
      </c>
      <c r="J4953" s="5">
        <v>10200</v>
      </c>
      <c r="K4953" s="6">
        <f t="shared" si="201"/>
        <v>2.618092691622103</v>
      </c>
    </row>
    <row r="4954" spans="1:11" hidden="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H4954" s="5">
        <v>420</v>
      </c>
      <c r="I4954" s="6">
        <v>440.18999062500001</v>
      </c>
      <c r="J4954" s="5">
        <v>3200</v>
      </c>
      <c r="K4954" s="6">
        <f t="shared" si="201"/>
        <v>0.95413346269792865</v>
      </c>
    </row>
    <row r="4955" spans="1:11" hidden="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H4955" s="5">
        <v>2050</v>
      </c>
      <c r="I4955" s="6">
        <v>880.38</v>
      </c>
      <c r="J4955" s="5">
        <v>6400</v>
      </c>
      <c r="K4955" s="6">
        <f t="shared" si="201"/>
        <v>2.3285399486585336</v>
      </c>
    </row>
    <row r="4956" spans="1:11" hidden="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H4956" s="5">
        <v>650</v>
      </c>
      <c r="I4956" s="6">
        <v>330.14249999999998</v>
      </c>
      <c r="J4956" s="5">
        <v>2400</v>
      </c>
      <c r="K4956" s="6">
        <f t="shared" si="201"/>
        <v>1.9688467858576222</v>
      </c>
    </row>
    <row r="4957" spans="1:11" hidden="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H4957" s="5">
        <v>3925</v>
      </c>
      <c r="I4957" s="6">
        <v>1430.6175000000001</v>
      </c>
      <c r="J4957" s="5">
        <v>10400</v>
      </c>
      <c r="K4957" s="6">
        <f t="shared" si="201"/>
        <v>2.7435705211211241</v>
      </c>
    </row>
    <row r="4958" spans="1:11" hidden="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H4958" s="5">
        <v>0</v>
      </c>
      <c r="I4958" s="6">
        <v>220.095</v>
      </c>
      <c r="J4958" s="5">
        <v>1600</v>
      </c>
      <c r="K4958" s="6">
        <f t="shared" si="201"/>
        <v>0</v>
      </c>
    </row>
    <row r="4959" spans="1:11" hidden="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H4959" s="5">
        <v>2400</v>
      </c>
      <c r="I4959" s="6">
        <v>1287.0000000000018</v>
      </c>
      <c r="J4959" s="5">
        <v>9400</v>
      </c>
      <c r="K4959" s="6">
        <f t="shared" si="201"/>
        <v>1.8648018648018623</v>
      </c>
    </row>
    <row r="4960" spans="1:11" hidden="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H4960" s="5">
        <v>4850</v>
      </c>
      <c r="I4960" s="6">
        <v>2641.14</v>
      </c>
      <c r="J4960" s="5">
        <v>19200</v>
      </c>
      <c r="K4960" s="6">
        <f t="shared" si="201"/>
        <v>1.8363282521941284</v>
      </c>
    </row>
    <row r="4961" spans="1:11" hidden="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H4961" s="5">
        <v>2700</v>
      </c>
      <c r="I4961" s="6">
        <v>880.38</v>
      </c>
      <c r="J4961" s="5">
        <v>6400</v>
      </c>
      <c r="K4961" s="6">
        <f t="shared" si="201"/>
        <v>3.0668574933551422</v>
      </c>
    </row>
    <row r="4962" spans="1:11" hidden="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H4962" s="5">
        <v>1220</v>
      </c>
      <c r="I4962" s="6">
        <v>880.38</v>
      </c>
      <c r="J4962" s="5">
        <v>6400</v>
      </c>
      <c r="K4962" s="6">
        <f t="shared" si="201"/>
        <v>1.3857652377382494</v>
      </c>
    </row>
    <row r="4963" spans="1:11" hidden="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H4963" s="5">
        <v>530</v>
      </c>
      <c r="I4963" s="6">
        <v>1755.4</v>
      </c>
      <c r="J4963" s="5">
        <v>12800</v>
      </c>
      <c r="K4963" s="6">
        <f t="shared" si="201"/>
        <v>0.30192548706847439</v>
      </c>
    </row>
    <row r="4964" spans="1:11" hidden="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H4964" s="5">
        <v>4540</v>
      </c>
      <c r="I4964" s="6">
        <v>2413.6749943750001</v>
      </c>
      <c r="J4964" s="5">
        <v>17600</v>
      </c>
      <c r="K4964" s="6">
        <f t="shared" si="201"/>
        <v>1.8809491793967037</v>
      </c>
    </row>
    <row r="4965" spans="1:11" hidden="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H4965" s="5">
        <v>4140</v>
      </c>
      <c r="I4965" s="6">
        <v>1645.6875</v>
      </c>
      <c r="J4965" s="5">
        <v>12000</v>
      </c>
      <c r="K4965" s="6">
        <f t="shared" si="201"/>
        <v>2.5156659450837418</v>
      </c>
    </row>
    <row r="4966" spans="1:11" hidden="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H4966" s="5">
        <v>880</v>
      </c>
      <c r="I4966" s="6">
        <v>726.32013058333712</v>
      </c>
      <c r="J4966" s="5">
        <v>5712</v>
      </c>
      <c r="K4966" s="6">
        <f t="shared" si="201"/>
        <v>1.2115869613764338</v>
      </c>
    </row>
    <row r="4967" spans="1:11" hidden="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H4967" s="5">
        <v>2460</v>
      </c>
      <c r="I4967" s="6">
        <v>924.39958333667107</v>
      </c>
      <c r="J4967" s="5">
        <v>6720</v>
      </c>
      <c r="K4967" s="6">
        <f t="shared" si="201"/>
        <v>2.6611868334259681</v>
      </c>
    </row>
    <row r="4968" spans="1:11" hidden="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H4968" s="5">
        <v>2360</v>
      </c>
      <c r="I4968" s="6">
        <v>1122.485208333339</v>
      </c>
      <c r="J4968" s="5">
        <v>8160</v>
      </c>
      <c r="K4968" s="6">
        <f t="shared" si="201"/>
        <v>2.1024775938955291</v>
      </c>
    </row>
    <row r="4969" spans="1:11" hidden="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H4969" s="5">
        <v>560</v>
      </c>
      <c r="I4969" s="6">
        <v>396.17125000000198</v>
      </c>
      <c r="J4969" s="5">
        <v>2880</v>
      </c>
      <c r="K4969" s="6">
        <f t="shared" si="201"/>
        <v>1.4135301337489714</v>
      </c>
    </row>
    <row r="4970" spans="1:11" hidden="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H4970" s="5">
        <v>2910</v>
      </c>
      <c r="I4970" s="6">
        <v>1535.9749999999999</v>
      </c>
      <c r="J4970" s="5">
        <v>11200</v>
      </c>
      <c r="K4970" s="6">
        <f t="shared" si="201"/>
        <v>1.8945620859714514</v>
      </c>
    </row>
    <row r="4971" spans="1:11" hidden="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H4971" s="5">
        <v>2380</v>
      </c>
      <c r="I4971" s="6">
        <v>1535.9749999999999</v>
      </c>
      <c r="J4971" s="5">
        <v>11200</v>
      </c>
      <c r="K4971" s="6">
        <f t="shared" si="201"/>
        <v>1.5495043864646236</v>
      </c>
    </row>
    <row r="4972" spans="1:11" hidden="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H4972" s="5">
        <v>1500</v>
      </c>
      <c r="I4972" s="6">
        <v>594.25687500000299</v>
      </c>
      <c r="J4972" s="5">
        <v>4320</v>
      </c>
      <c r="K4972" s="6">
        <f t="shared" si="201"/>
        <v>2.5241609531231632</v>
      </c>
    </row>
    <row r="4973" spans="1:11" hidden="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H4973" s="5">
        <v>3700</v>
      </c>
      <c r="I4973" s="6">
        <v>2575.1131250013459</v>
      </c>
      <c r="J4973" s="5">
        <v>18720</v>
      </c>
      <c r="K4973" s="6">
        <f t="shared" si="201"/>
        <v>1.4368300810078261</v>
      </c>
    </row>
    <row r="4974" spans="1:11" hidden="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H4974" s="5">
        <v>1620</v>
      </c>
      <c r="I4974" s="6">
        <v>528.37931032368999</v>
      </c>
      <c r="J4974" s="5">
        <v>4000</v>
      </c>
      <c r="K4974" s="6">
        <f t="shared" ref="K4974:K4980" si="203">IFERROR(H4974/I4974,"")</f>
        <v>3.0659792470064229</v>
      </c>
    </row>
    <row r="4975" spans="1:11" hidden="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H4975" s="5">
        <v>3525</v>
      </c>
      <c r="I4975" s="6">
        <v>2272.0310343918732</v>
      </c>
      <c r="J4975" s="5">
        <v>17200</v>
      </c>
      <c r="K4975" s="6">
        <f t="shared" si="203"/>
        <v>1.5514752864911874</v>
      </c>
    </row>
    <row r="4976" spans="1:11" hidden="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H4976" s="5">
        <v>1920</v>
      </c>
      <c r="I4976" s="6">
        <v>1162.4344827121224</v>
      </c>
      <c r="J4976" s="5">
        <v>8800</v>
      </c>
      <c r="K4976" s="6">
        <f t="shared" si="203"/>
        <v>1.6517059916532855</v>
      </c>
    </row>
    <row r="4977" spans="1:11" hidden="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H4977" s="5">
        <v>1085</v>
      </c>
      <c r="I4977" s="6">
        <v>1162.4344827121181</v>
      </c>
      <c r="J4977" s="5">
        <v>8800</v>
      </c>
      <c r="K4977" s="6">
        <f t="shared" si="203"/>
        <v>0.93338593799157366</v>
      </c>
    </row>
    <row r="4978" spans="1:11" hidden="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H4978" s="5">
        <v>2430</v>
      </c>
      <c r="I4978" s="6">
        <v>1056.7586206473827</v>
      </c>
      <c r="J4978" s="5">
        <v>8000</v>
      </c>
      <c r="K4978" s="6">
        <f t="shared" si="203"/>
        <v>2.2994844352548109</v>
      </c>
    </row>
    <row r="4979" spans="1:11" hidden="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H4979" s="5">
        <v>2370</v>
      </c>
      <c r="I4979" s="6">
        <v>1109.596551679753</v>
      </c>
      <c r="J4979" s="5">
        <v>8400</v>
      </c>
      <c r="K4979" s="6">
        <f t="shared" si="203"/>
        <v>2.1359114683730733</v>
      </c>
    </row>
    <row r="4980" spans="1:11" hidden="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H4980" s="5">
        <v>4225</v>
      </c>
      <c r="I4980" s="6">
        <v>1902.1655171652881</v>
      </c>
      <c r="J4980" s="5">
        <v>14400</v>
      </c>
      <c r="K4980" s="6">
        <f t="shared" si="203"/>
        <v>2.221152660940005</v>
      </c>
    </row>
    <row r="4981" spans="1:11" hidden="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H4981" s="5">
        <v>1325</v>
      </c>
      <c r="I4981" s="6">
        <v>951.10714281909407</v>
      </c>
      <c r="J4981" s="5">
        <v>7200</v>
      </c>
      <c r="K4981" s="6">
        <f t="shared" ref="K4981:K5043" si="204">+H4981/I4981</f>
        <v>1.3931132890798008</v>
      </c>
    </row>
    <row r="4982" spans="1:11" hidden="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H4982" s="5">
        <v>8850</v>
      </c>
      <c r="I4982" s="6">
        <v>3804.4285712763772</v>
      </c>
      <c r="J4982" s="5">
        <v>28800</v>
      </c>
      <c r="K4982" s="6">
        <f t="shared" si="204"/>
        <v>2.3262363411992895</v>
      </c>
    </row>
    <row r="4983" spans="1:11" hidden="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H4983" s="5">
        <v>4980</v>
      </c>
      <c r="I4983" s="6">
        <v>2641.8965516184649</v>
      </c>
      <c r="J4983" s="5">
        <v>20000</v>
      </c>
      <c r="K4983" s="6">
        <f t="shared" si="204"/>
        <v>1.8850094629743086</v>
      </c>
    </row>
    <row r="4984" spans="1:11" hidden="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H4984" s="5">
        <v>9060</v>
      </c>
      <c r="I4984" s="6">
        <v>3592.9793102010913</v>
      </c>
      <c r="J4984" s="5">
        <v>26044</v>
      </c>
      <c r="K4984" s="6">
        <f t="shared" si="204"/>
        <v>2.5215842390956968</v>
      </c>
    </row>
    <row r="4985" spans="1:11" hidden="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H4985" s="5">
        <v>1750</v>
      </c>
      <c r="I4985" s="6">
        <v>1268.1103447768633</v>
      </c>
      <c r="J4985" s="5">
        <v>9600</v>
      </c>
      <c r="K4985" s="6">
        <f t="shared" si="204"/>
        <v>1.3800060911165661</v>
      </c>
    </row>
    <row r="4986" spans="1:11" hidden="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H4986" s="5">
        <v>1200</v>
      </c>
      <c r="I4986" s="6">
        <v>528.37931032368999</v>
      </c>
      <c r="J4986" s="5">
        <v>4000</v>
      </c>
      <c r="K4986" s="6">
        <f t="shared" si="204"/>
        <v>2.2710957385232762</v>
      </c>
    </row>
    <row r="4987" spans="1:11" hidden="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H4987" s="5">
        <v>1980</v>
      </c>
      <c r="I4987" s="6">
        <v>1162.4344827121247</v>
      </c>
      <c r="J4987" s="5">
        <v>8800</v>
      </c>
      <c r="K4987" s="6">
        <f t="shared" si="204"/>
        <v>1.7033218038924471</v>
      </c>
    </row>
    <row r="4988" spans="1:11" hidden="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H4988" s="5">
        <v>870</v>
      </c>
      <c r="I4988" s="6">
        <v>528.3915024419166</v>
      </c>
      <c r="J4988" s="5">
        <v>4000</v>
      </c>
      <c r="K4988" s="6">
        <f t="shared" si="204"/>
        <v>1.6465064180240763</v>
      </c>
    </row>
    <row r="4989" spans="1:11" hidden="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H4989" s="5">
        <v>8880</v>
      </c>
      <c r="I4989" s="6">
        <v>3910.1071427007282</v>
      </c>
      <c r="J4989" s="5">
        <v>29260</v>
      </c>
      <c r="K4989" s="6">
        <f t="shared" si="204"/>
        <v>2.2710375127640479</v>
      </c>
    </row>
    <row r="4990" spans="1:11" hidden="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H4990" s="5">
        <v>3425</v>
      </c>
      <c r="I4990" s="6">
        <v>1902.2142856381945</v>
      </c>
      <c r="J4990" s="5">
        <v>14400</v>
      </c>
      <c r="K4990" s="6">
        <f t="shared" si="204"/>
        <v>1.8005332132446421</v>
      </c>
    </row>
    <row r="4991" spans="1:11" hidden="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H4991" s="5">
        <v>3060</v>
      </c>
      <c r="I4991" s="6">
        <v>1162.4642856677858</v>
      </c>
      <c r="J4991" s="5">
        <v>8800</v>
      </c>
      <c r="K4991" s="6">
        <f t="shared" si="204"/>
        <v>2.6323389352492335</v>
      </c>
    </row>
    <row r="4992" spans="1:11" hidden="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H4992" s="5">
        <v>810</v>
      </c>
      <c r="I4992" s="6">
        <v>317.03571427303262</v>
      </c>
      <c r="J4992" s="5">
        <v>2400</v>
      </c>
      <c r="K4992" s="6">
        <f t="shared" si="204"/>
        <v>2.5549172018595492</v>
      </c>
    </row>
    <row r="4993" spans="1:11" hidden="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H4993" s="5">
        <v>1350</v>
      </c>
      <c r="I4993" s="6">
        <v>951.10714281875391</v>
      </c>
      <c r="J4993" s="5">
        <v>7200</v>
      </c>
      <c r="K4993" s="6">
        <f t="shared" si="204"/>
        <v>1.4193984454780406</v>
      </c>
    </row>
    <row r="4994" spans="1:11" hidden="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H4994" s="5">
        <v>1075</v>
      </c>
      <c r="I4994" s="6">
        <v>898.26785710660101</v>
      </c>
      <c r="J4994" s="5">
        <v>6800</v>
      </c>
      <c r="K4994" s="6">
        <f t="shared" si="204"/>
        <v>1.1967477089324654</v>
      </c>
    </row>
    <row r="4995" spans="1:11" hidden="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H4995" s="5">
        <v>2800</v>
      </c>
      <c r="I4995" s="6">
        <v>1162.4642856673661</v>
      </c>
      <c r="J4995" s="5">
        <v>8800</v>
      </c>
      <c r="K4995" s="6">
        <f t="shared" si="204"/>
        <v>2.4086761499021292</v>
      </c>
    </row>
    <row r="4996" spans="1:11" hidden="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H4996" s="5">
        <v>1740</v>
      </c>
      <c r="I4996" s="6">
        <v>686.91071425798896</v>
      </c>
      <c r="J4996" s="5">
        <v>5200</v>
      </c>
      <c r="K4996" s="6">
        <f t="shared" si="204"/>
        <v>2.5330803026992723</v>
      </c>
    </row>
    <row r="4997" spans="1:11" hidden="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H4997" s="5">
        <v>1125</v>
      </c>
      <c r="I4997" s="6">
        <v>845.428571394752</v>
      </c>
      <c r="J4997" s="5">
        <v>6400</v>
      </c>
      <c r="K4997" s="6">
        <f t="shared" si="204"/>
        <v>1.3306860426351843</v>
      </c>
    </row>
    <row r="4998" spans="1:11" hidden="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H4998" s="5">
        <v>6250</v>
      </c>
      <c r="I4998" s="6">
        <v>3910.1071427007355</v>
      </c>
      <c r="J4998" s="5">
        <v>29600</v>
      </c>
      <c r="K4998" s="6">
        <f t="shared" si="204"/>
        <v>1.5984216728350533</v>
      </c>
    </row>
    <row r="4999" spans="1:11" hidden="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H4999" s="5">
        <v>8675</v>
      </c>
      <c r="I4999" s="6">
        <v>4015.7857141250793</v>
      </c>
      <c r="J4999" s="5">
        <v>30400</v>
      </c>
      <c r="K4999" s="6">
        <f t="shared" si="204"/>
        <v>2.1602248271083422</v>
      </c>
    </row>
    <row r="5000" spans="1:11" hidden="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H5000" s="5">
        <v>5520</v>
      </c>
      <c r="I5000" s="6">
        <v>2747.5751230427709</v>
      </c>
      <c r="J5000" s="5">
        <v>20800</v>
      </c>
      <c r="K5000" s="6">
        <f t="shared" si="204"/>
        <v>2.0090442491293699</v>
      </c>
    </row>
    <row r="5001" spans="1:11" hidden="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H5001" s="5">
        <v>990</v>
      </c>
      <c r="I5001" s="6">
        <v>1056.75862064738</v>
      </c>
      <c r="J5001" s="5">
        <v>9600</v>
      </c>
      <c r="K5001" s="6">
        <f t="shared" si="204"/>
        <v>0.93682699214085141</v>
      </c>
    </row>
    <row r="5002" spans="1:11" hidden="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H5002" s="5">
        <v>1050</v>
      </c>
      <c r="I5002" s="6">
        <v>369.86551722658481</v>
      </c>
      <c r="J5002" s="5">
        <v>3080</v>
      </c>
      <c r="K5002" s="6">
        <f t="shared" si="204"/>
        <v>2.8388696731540812</v>
      </c>
    </row>
    <row r="5003" spans="1:11" hidden="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H5003" s="5">
        <v>10470</v>
      </c>
      <c r="I5003" s="6">
        <v>3592.9793102011122</v>
      </c>
      <c r="J5003" s="5">
        <v>27820</v>
      </c>
      <c r="K5003" s="6">
        <f t="shared" si="204"/>
        <v>2.9140162233258047</v>
      </c>
    </row>
    <row r="5004" spans="1:11" hidden="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H5004" s="5">
        <v>4530</v>
      </c>
      <c r="I5004" s="6">
        <v>1585.2222221588099</v>
      </c>
      <c r="J5004" s="5">
        <v>11490</v>
      </c>
      <c r="K5004" s="6">
        <f t="shared" si="204"/>
        <v>2.8576435131163445</v>
      </c>
    </row>
    <row r="5005" spans="1:11" hidden="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H5005" s="5">
        <v>5250</v>
      </c>
      <c r="I5005" s="6">
        <v>2219.311111022334</v>
      </c>
      <c r="J5005" s="5">
        <v>16800</v>
      </c>
      <c r="K5005" s="6">
        <f t="shared" si="204"/>
        <v>2.3655989346989608</v>
      </c>
    </row>
    <row r="5006" spans="1:11" hidden="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H5006" s="5">
        <v>6800</v>
      </c>
      <c r="I5006" s="6">
        <v>2959.0814813631118</v>
      </c>
      <c r="J5006" s="5">
        <v>22400</v>
      </c>
      <c r="K5006" s="6">
        <f t="shared" si="204"/>
        <v>2.2980103937075618</v>
      </c>
    </row>
    <row r="5007" spans="1:11" hidden="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H5007" s="5">
        <v>0</v>
      </c>
      <c r="I5007" s="6">
        <v>1796.5851851133182</v>
      </c>
      <c r="J5007" s="5">
        <v>13600</v>
      </c>
      <c r="K5007" s="6">
        <f t="shared" si="204"/>
        <v>0</v>
      </c>
    </row>
    <row r="5008" spans="1:11" hidden="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H5008" s="5">
        <v>1750</v>
      </c>
      <c r="I5008" s="6">
        <v>1912.3542857142861</v>
      </c>
      <c r="J5008" s="5">
        <v>16320</v>
      </c>
      <c r="K5008" s="6">
        <f t="shared" si="204"/>
        <v>0.91510240182632008</v>
      </c>
    </row>
    <row r="5009" spans="1:11" hidden="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H5009" s="5">
        <v>3840</v>
      </c>
      <c r="I5009" s="6">
        <v>2812.2857142428579</v>
      </c>
      <c r="J5009" s="5">
        <v>20000</v>
      </c>
      <c r="K5009" s="6">
        <f t="shared" si="204"/>
        <v>1.365437366677315</v>
      </c>
    </row>
    <row r="5010" spans="1:11" hidden="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H5010" s="5">
        <v>3725</v>
      </c>
      <c r="I5010" s="6">
        <v>1768.8376470588223</v>
      </c>
      <c r="J5010" s="5">
        <v>12800</v>
      </c>
      <c r="K5010" s="6">
        <f t="shared" si="204"/>
        <v>2.1059027131143631</v>
      </c>
    </row>
    <row r="5011" spans="1:11" hidden="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H5011" s="5">
        <v>4080</v>
      </c>
      <c r="I5011" s="6">
        <v>2263.7999998868127</v>
      </c>
      <c r="J5011" s="5">
        <v>17920</v>
      </c>
      <c r="K5011" s="6">
        <f t="shared" si="204"/>
        <v>1.8022793533898733</v>
      </c>
    </row>
    <row r="5012" spans="1:11" hidden="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H5012" s="5">
        <v>1230</v>
      </c>
      <c r="I5012" s="6">
        <v>994.97117647058747</v>
      </c>
      <c r="J5012" s="5">
        <v>7200</v>
      </c>
      <c r="K5012" s="6">
        <f t="shared" si="204"/>
        <v>1.2362167157074024</v>
      </c>
    </row>
    <row r="5013" spans="1:11" hidden="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H5013" s="5">
        <v>1860</v>
      </c>
      <c r="I5013" s="6">
        <v>994.97117647058747</v>
      </c>
      <c r="J5013" s="5">
        <v>7920</v>
      </c>
      <c r="K5013" s="6">
        <f t="shared" si="204"/>
        <v>1.8694008871672916</v>
      </c>
    </row>
    <row r="5014" spans="1:11" hidden="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H5014" s="5">
        <v>3650</v>
      </c>
      <c r="I5014" s="6">
        <v>2263.7999998868127</v>
      </c>
      <c r="J5014" s="5">
        <v>17920</v>
      </c>
      <c r="K5014" s="6">
        <f t="shared" si="204"/>
        <v>1.612333245066921</v>
      </c>
    </row>
    <row r="5015" spans="1:11" hidden="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H5015" s="5">
        <v>12540</v>
      </c>
      <c r="I5015" s="6">
        <v>6727.0499997982479</v>
      </c>
      <c r="J5015" s="5">
        <v>49210</v>
      </c>
      <c r="K5015" s="6">
        <f t="shared" si="204"/>
        <v>1.8641157714564467</v>
      </c>
    </row>
    <row r="5016" spans="1:11" hidden="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H5016" s="5">
        <v>2040</v>
      </c>
      <c r="I5016" s="6">
        <v>994.95</v>
      </c>
      <c r="J5016" s="5">
        <v>7200</v>
      </c>
      <c r="K5016" s="6">
        <f t="shared" si="204"/>
        <v>2.0503542891602593</v>
      </c>
    </row>
    <row r="5017" spans="1:11" hidden="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H5017" s="5">
        <v>1225</v>
      </c>
      <c r="I5017" s="6">
        <v>831.6</v>
      </c>
      <c r="J5017" s="5">
        <v>6300</v>
      </c>
      <c r="K5017" s="6">
        <f t="shared" si="204"/>
        <v>1.473063973063973</v>
      </c>
    </row>
    <row r="5018" spans="1:11" hidden="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H5018" s="5">
        <v>2925</v>
      </c>
      <c r="I5018" s="6">
        <v>1267.2</v>
      </c>
      <c r="J5018" s="5">
        <v>9600</v>
      </c>
      <c r="K5018" s="6">
        <f t="shared" si="204"/>
        <v>2.3082386363636362</v>
      </c>
    </row>
    <row r="5019" spans="1:11" hidden="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H5019" s="5">
        <v>510</v>
      </c>
      <c r="I5019" s="6">
        <v>316.8</v>
      </c>
      <c r="J5019" s="5">
        <v>2400</v>
      </c>
      <c r="K5019" s="6">
        <f t="shared" si="204"/>
        <v>1.6098484848484849</v>
      </c>
    </row>
    <row r="5020" spans="1:11" hidden="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H5020" s="5">
        <v>7470</v>
      </c>
      <c r="I5020" s="6">
        <v>3603.6</v>
      </c>
      <c r="J5020" s="5">
        <v>27296</v>
      </c>
      <c r="K5020" s="6">
        <f t="shared" si="204"/>
        <v>2.0729270729270728</v>
      </c>
    </row>
    <row r="5021" spans="1:11" hidden="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H5021" s="5">
        <v>5300</v>
      </c>
      <c r="I5021" s="6">
        <v>3682.8</v>
      </c>
      <c r="J5021" s="5">
        <v>27900</v>
      </c>
      <c r="K5021" s="6">
        <f t="shared" si="204"/>
        <v>1.4391224068643422</v>
      </c>
    </row>
    <row r="5022" spans="1:11" hidden="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H5022" s="5">
        <v>4325</v>
      </c>
      <c r="I5022" s="6">
        <v>2376</v>
      </c>
      <c r="J5022" s="5">
        <v>18000</v>
      </c>
      <c r="K5022" s="6">
        <f t="shared" si="204"/>
        <v>1.8202861952861953</v>
      </c>
    </row>
    <row r="5023" spans="1:11" hidden="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H5023" s="5">
        <v>630</v>
      </c>
      <c r="I5023" s="6">
        <v>950.4</v>
      </c>
      <c r="J5023" s="5">
        <v>7200</v>
      </c>
      <c r="K5023" s="6">
        <f t="shared" si="204"/>
        <v>0.66287878787878785</v>
      </c>
    </row>
    <row r="5024" spans="1:11" hidden="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H5024" s="5">
        <v>2550</v>
      </c>
      <c r="I5024" s="6">
        <v>1346.4</v>
      </c>
      <c r="J5024" s="5">
        <v>10200</v>
      </c>
      <c r="K5024" s="6">
        <f t="shared" si="204"/>
        <v>1.8939393939393938</v>
      </c>
    </row>
    <row r="5025" spans="1:11" hidden="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H5025" s="5">
        <v>5640</v>
      </c>
      <c r="I5025" s="6">
        <v>2851.2</v>
      </c>
      <c r="J5025" s="5">
        <v>21600</v>
      </c>
      <c r="K5025" s="6">
        <f t="shared" si="204"/>
        <v>1.9781144781144782</v>
      </c>
    </row>
    <row r="5026" spans="1:11" hidden="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H5026" s="5">
        <v>2850</v>
      </c>
      <c r="I5026" s="6">
        <v>2138.4</v>
      </c>
      <c r="J5026" s="5">
        <v>16200</v>
      </c>
      <c r="K5026" s="6">
        <f t="shared" si="204"/>
        <v>1.3327721661054994</v>
      </c>
    </row>
    <row r="5027" spans="1:11" hidden="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H5027" s="5">
        <v>1825</v>
      </c>
      <c r="I5027" s="6">
        <v>963.6</v>
      </c>
      <c r="J5027" s="5">
        <v>7570</v>
      </c>
      <c r="K5027" s="6">
        <f t="shared" si="204"/>
        <v>1.8939393939393938</v>
      </c>
    </row>
    <row r="5028" spans="1:11" hidden="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H5028" s="5">
        <v>6450</v>
      </c>
      <c r="I5028" s="6">
        <v>3168</v>
      </c>
      <c r="J5028" s="5">
        <v>24000</v>
      </c>
      <c r="K5028" s="6">
        <f t="shared" si="204"/>
        <v>2.0359848484848486</v>
      </c>
    </row>
    <row r="5029" spans="1:11" hidden="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H5029" s="5">
        <v>2400</v>
      </c>
      <c r="I5029" s="6">
        <v>1188</v>
      </c>
      <c r="J5029" s="5">
        <v>9000</v>
      </c>
      <c r="K5029" s="6">
        <f t="shared" si="204"/>
        <v>2.0202020202020203</v>
      </c>
    </row>
    <row r="5030" spans="1:11" hidden="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H5030" s="5">
        <v>3300</v>
      </c>
      <c r="I5030" s="6">
        <v>2732.4</v>
      </c>
      <c r="J5030" s="5">
        <v>20700</v>
      </c>
      <c r="K5030" s="6">
        <f t="shared" si="204"/>
        <v>1.2077294685990339</v>
      </c>
    </row>
    <row r="5031" spans="1:11" hidden="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H5031" s="5">
        <v>1410</v>
      </c>
      <c r="I5031" s="6">
        <v>673.2</v>
      </c>
      <c r="J5031" s="5">
        <v>5100</v>
      </c>
      <c r="K5031" s="6">
        <f t="shared" si="204"/>
        <v>2.0944741532976825</v>
      </c>
    </row>
    <row r="5032" spans="1:11" hidden="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H5032" s="5">
        <v>1375</v>
      </c>
      <c r="I5032" s="6">
        <v>1100.4749999999999</v>
      </c>
      <c r="J5032" s="5">
        <v>8000</v>
      </c>
      <c r="K5032" s="6">
        <f t="shared" si="204"/>
        <v>1.2494604602557988</v>
      </c>
    </row>
    <row r="5033" spans="1:11" hidden="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H5033" s="5">
        <v>1300</v>
      </c>
      <c r="I5033" s="6">
        <v>1287</v>
      </c>
      <c r="J5033" s="5">
        <v>9400</v>
      </c>
      <c r="K5033" s="6">
        <f t="shared" si="204"/>
        <v>1.0101010101010102</v>
      </c>
    </row>
    <row r="5034" spans="1:11" hidden="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H5034" s="5">
        <v>7320</v>
      </c>
      <c r="I5034" s="6">
        <v>2641.14</v>
      </c>
      <c r="J5034" s="5">
        <v>19200</v>
      </c>
      <c r="K5034" s="6">
        <f t="shared" si="204"/>
        <v>2.7715304754764989</v>
      </c>
    </row>
    <row r="5035" spans="1:11" hidden="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H5035" s="5">
        <v>3630</v>
      </c>
      <c r="I5035" s="6">
        <v>2641.14</v>
      </c>
      <c r="J5035" s="5">
        <v>19200</v>
      </c>
      <c r="K5035" s="6">
        <f t="shared" si="204"/>
        <v>1.3744065062813786</v>
      </c>
    </row>
    <row r="5036" spans="1:11" hidden="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H5036" s="5">
        <v>1860</v>
      </c>
      <c r="I5036" s="6">
        <v>1430.6174906250001</v>
      </c>
      <c r="J5036" s="5">
        <v>10400</v>
      </c>
      <c r="K5036" s="6">
        <f t="shared" si="204"/>
        <v>1.3001378860448671</v>
      </c>
    </row>
    <row r="5037" spans="1:11" hidden="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H5037" s="5">
        <v>1260</v>
      </c>
      <c r="I5037" s="6">
        <v>1430.6175000000001</v>
      </c>
      <c r="J5037" s="5">
        <v>10400</v>
      </c>
      <c r="K5037" s="6">
        <f t="shared" si="204"/>
        <v>0.88073856219429714</v>
      </c>
    </row>
    <row r="5038" spans="1:11" hidden="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H5038" s="5">
        <v>3270</v>
      </c>
      <c r="I5038" s="6">
        <v>2861.2350000000001</v>
      </c>
      <c r="J5038" s="5">
        <v>20800</v>
      </c>
      <c r="K5038" s="6">
        <f t="shared" si="204"/>
        <v>1.1428631342759332</v>
      </c>
    </row>
    <row r="5039" spans="1:11" hidden="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H5039" s="5">
        <v>4200</v>
      </c>
      <c r="I5039" s="6">
        <v>3071.9505625000002</v>
      </c>
      <c r="J5039" s="5">
        <v>22400</v>
      </c>
      <c r="K5039" s="6">
        <f t="shared" si="204"/>
        <v>1.3672095024152915</v>
      </c>
    </row>
    <row r="5040" spans="1:11" hidden="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H5040" s="5">
        <v>2075</v>
      </c>
      <c r="I5040" s="6">
        <v>1097.125</v>
      </c>
      <c r="J5040" s="5">
        <v>8000</v>
      </c>
      <c r="K5040" s="6">
        <f t="shared" si="204"/>
        <v>1.8913068246553493</v>
      </c>
    </row>
    <row r="5041" spans="1:11" hidden="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H5041" s="5">
        <v>3575</v>
      </c>
      <c r="I5041" s="6">
        <v>2852.5250000000001</v>
      </c>
      <c r="J5041" s="5">
        <v>20800</v>
      </c>
      <c r="K5041" s="6">
        <f t="shared" si="204"/>
        <v>1.2532756066993278</v>
      </c>
    </row>
    <row r="5042" spans="1:11" hidden="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H5042" s="5">
        <v>4350</v>
      </c>
      <c r="I5042" s="6">
        <v>2633.1</v>
      </c>
      <c r="J5042" s="5">
        <v>19200</v>
      </c>
      <c r="K5042" s="6">
        <f t="shared" si="204"/>
        <v>1.6520451179218412</v>
      </c>
    </row>
    <row r="5043" spans="1:11" hidden="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H5043" s="5">
        <v>4290</v>
      </c>
      <c r="I5043" s="6">
        <v>2633.1</v>
      </c>
      <c r="J5043" s="5">
        <v>19200</v>
      </c>
      <c r="K5043" s="6">
        <f t="shared" si="204"/>
        <v>1.6292582887091263</v>
      </c>
    </row>
    <row r="5044" spans="1:11" hidden="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H5044" s="5">
        <v>2340</v>
      </c>
      <c r="I5044" s="6">
        <v>2852.5250000000001</v>
      </c>
      <c r="J5044" s="5">
        <v>20800</v>
      </c>
      <c r="K5044" s="6">
        <f t="shared" ref="K5044:K5107" si="206">+H5044/I5044</f>
        <v>0.82032585165774174</v>
      </c>
    </row>
    <row r="5045" spans="1:11" hidden="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H5045" s="5">
        <v>6450</v>
      </c>
      <c r="I5045" s="6">
        <v>2852.5250000000001</v>
      </c>
      <c r="J5045" s="5">
        <v>20800</v>
      </c>
      <c r="K5045" s="6">
        <f t="shared" si="206"/>
        <v>2.2611545911078781</v>
      </c>
    </row>
    <row r="5046" spans="1:11" hidden="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H5046" s="5">
        <v>4400</v>
      </c>
      <c r="I5046" s="6">
        <v>3071.95</v>
      </c>
      <c r="J5046" s="5">
        <v>22400</v>
      </c>
      <c r="K5046" s="6">
        <f t="shared" si="206"/>
        <v>1.4323149790849461</v>
      </c>
    </row>
    <row r="5047" spans="1:11" hidden="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H5047" s="5">
        <v>2075</v>
      </c>
      <c r="I5047" s="6">
        <v>1645.6875</v>
      </c>
      <c r="J5047" s="5">
        <v>12000</v>
      </c>
      <c r="K5047" s="6">
        <f t="shared" si="206"/>
        <v>1.2608712164368994</v>
      </c>
    </row>
    <row r="5048" spans="1:11" hidden="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H5048" s="5">
        <v>10520</v>
      </c>
      <c r="I5048" s="6">
        <v>4121.4642855494085</v>
      </c>
      <c r="J5048" s="5">
        <v>31200</v>
      </c>
      <c r="K5048" s="6">
        <f t="shared" si="206"/>
        <v>2.5524908797305375</v>
      </c>
    </row>
    <row r="5049" spans="1:11" hidden="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H5049" s="5">
        <v>1380</v>
      </c>
      <c r="I5049" s="6">
        <v>1056.7857142434418</v>
      </c>
      <c r="J5049" s="5">
        <v>8000</v>
      </c>
      <c r="K5049" s="6">
        <f t="shared" si="206"/>
        <v>1.3058465698393253</v>
      </c>
    </row>
    <row r="5050" spans="1:11" hidden="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H5050" s="5">
        <v>8220</v>
      </c>
      <c r="I5050" s="6">
        <v>2641.9642856076484</v>
      </c>
      <c r="J5050" s="5">
        <v>19996</v>
      </c>
      <c r="K5050" s="6">
        <f t="shared" si="206"/>
        <v>3.1113213924878664</v>
      </c>
    </row>
    <row r="5051" spans="1:11" hidden="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H5051" s="5">
        <v>1280</v>
      </c>
      <c r="I5051" s="6">
        <v>528.39285712153003</v>
      </c>
      <c r="J5051" s="5">
        <v>4000</v>
      </c>
      <c r="K5051" s="6">
        <f t="shared" si="206"/>
        <v>2.4224400136158555</v>
      </c>
    </row>
    <row r="5052" spans="1:11" hidden="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H5052" s="5">
        <v>3450</v>
      </c>
      <c r="I5052" s="6">
        <v>1902.2142856375078</v>
      </c>
      <c r="J5052" s="5">
        <v>14400</v>
      </c>
      <c r="K5052" s="6">
        <f t="shared" si="206"/>
        <v>1.813675791444163</v>
      </c>
    </row>
    <row r="5053" spans="1:11" hidden="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H5053" s="5">
        <v>1040</v>
      </c>
      <c r="I5053" s="6">
        <v>634.05652706821195</v>
      </c>
      <c r="J5053" s="5">
        <v>4800</v>
      </c>
      <c r="K5053" s="6">
        <f t="shared" si="206"/>
        <v>1.6402323067452889</v>
      </c>
    </row>
    <row r="5054" spans="1:11" hidden="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H5054" s="5">
        <v>10340</v>
      </c>
      <c r="I5054" s="6">
        <v>4487.9999999102474</v>
      </c>
      <c r="J5054" s="5">
        <v>31740</v>
      </c>
      <c r="K5054" s="6">
        <f t="shared" si="206"/>
        <v>2.3039215686735255</v>
      </c>
    </row>
    <row r="5055" spans="1:11" hidden="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H5055" s="5">
        <v>3075</v>
      </c>
      <c r="I5055" s="6">
        <v>1702.8</v>
      </c>
      <c r="J5055" s="5">
        <v>12900</v>
      </c>
      <c r="K5055" s="6">
        <f t="shared" si="206"/>
        <v>1.8058491895701199</v>
      </c>
    </row>
    <row r="5056" spans="1:11" hidden="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H5056" s="5">
        <v>5680</v>
      </c>
      <c r="I5056" s="6">
        <v>3009.6</v>
      </c>
      <c r="J5056" s="5">
        <v>22800</v>
      </c>
      <c r="K5056" s="6">
        <f t="shared" si="206"/>
        <v>1.8872939925571506</v>
      </c>
    </row>
    <row r="5057" spans="1:11" hidden="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H5057" s="5">
        <v>3180</v>
      </c>
      <c r="I5057" s="6">
        <v>1386</v>
      </c>
      <c r="J5057" s="5">
        <v>10500</v>
      </c>
      <c r="K5057" s="6">
        <f t="shared" si="206"/>
        <v>2.2943722943722942</v>
      </c>
    </row>
    <row r="5058" spans="1:11" hidden="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H5058" s="5">
        <v>2640</v>
      </c>
      <c r="I5058" s="6">
        <v>1386</v>
      </c>
      <c r="J5058" s="5">
        <v>10500</v>
      </c>
      <c r="K5058" s="6">
        <f t="shared" si="206"/>
        <v>1.9047619047619047</v>
      </c>
    </row>
    <row r="5059" spans="1:11" hidden="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H5059" s="5">
        <v>1400</v>
      </c>
      <c r="I5059" s="6">
        <v>1029.5999999999999</v>
      </c>
      <c r="J5059" s="5">
        <v>7800</v>
      </c>
      <c r="K5059" s="6">
        <f t="shared" si="206"/>
        <v>1.35975135975136</v>
      </c>
    </row>
    <row r="5060" spans="1:11" hidden="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H5060" s="5">
        <v>5100</v>
      </c>
      <c r="I5060" s="6">
        <v>2653.2</v>
      </c>
      <c r="J5060" s="5">
        <v>20100</v>
      </c>
      <c r="K5060" s="6">
        <f t="shared" si="206"/>
        <v>1.9222071460877432</v>
      </c>
    </row>
    <row r="5061" spans="1:11" hidden="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H5061" s="5">
        <v>3660</v>
      </c>
      <c r="I5061" s="6">
        <v>1768.8</v>
      </c>
      <c r="J5061" s="5">
        <v>13400</v>
      </c>
      <c r="K5061" s="6">
        <f t="shared" si="206"/>
        <v>2.0691994572591588</v>
      </c>
    </row>
    <row r="5062" spans="1:11" hidden="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H5062" s="5">
        <v>1410</v>
      </c>
      <c r="I5062" s="6">
        <v>1029.5999999999999</v>
      </c>
      <c r="J5062" s="5">
        <v>7800</v>
      </c>
      <c r="K5062" s="6">
        <f t="shared" si="206"/>
        <v>1.3694638694638697</v>
      </c>
    </row>
    <row r="5063" spans="1:11" hidden="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H5063" s="5">
        <v>3600</v>
      </c>
      <c r="I5063" s="6">
        <v>1346.4</v>
      </c>
      <c r="J5063" s="5">
        <v>10200</v>
      </c>
      <c r="K5063" s="6">
        <f t="shared" si="206"/>
        <v>2.6737967914438503</v>
      </c>
    </row>
    <row r="5064" spans="1:11" hidden="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H5064" s="5">
        <v>420</v>
      </c>
      <c r="I5064" s="6">
        <v>440.18999062500001</v>
      </c>
      <c r="J5064" s="5">
        <v>3200</v>
      </c>
      <c r="K5064" s="6">
        <f t="shared" si="206"/>
        <v>0.95413346269792865</v>
      </c>
    </row>
    <row r="5065" spans="1:11" hidden="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H5065" s="5">
        <v>2000</v>
      </c>
      <c r="I5065" s="6">
        <v>880.38</v>
      </c>
      <c r="J5065" s="5">
        <v>6400</v>
      </c>
      <c r="K5065" s="6">
        <f t="shared" si="206"/>
        <v>2.2717462913741793</v>
      </c>
    </row>
    <row r="5066" spans="1:11" hidden="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H5066" s="5">
        <v>650</v>
      </c>
      <c r="I5066" s="6">
        <v>330.14249999999998</v>
      </c>
      <c r="J5066" s="5">
        <v>2400</v>
      </c>
      <c r="K5066" s="6">
        <f t="shared" si="206"/>
        <v>1.9688467858576222</v>
      </c>
    </row>
    <row r="5067" spans="1:11" hidden="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H5067" s="5">
        <v>3050</v>
      </c>
      <c r="I5067" s="6">
        <v>1430.6175000000001</v>
      </c>
      <c r="J5067" s="5">
        <v>10400</v>
      </c>
      <c r="K5067" s="6">
        <f t="shared" si="206"/>
        <v>2.1319465195973066</v>
      </c>
    </row>
    <row r="5068" spans="1:11" hidden="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H5068" s="5">
        <v>0</v>
      </c>
      <c r="I5068" s="6">
        <v>220.095</v>
      </c>
      <c r="J5068" s="5">
        <v>1600</v>
      </c>
      <c r="K5068" s="6">
        <f t="shared" si="206"/>
        <v>0</v>
      </c>
    </row>
    <row r="5069" spans="1:11" hidden="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H5069" s="5">
        <v>2660</v>
      </c>
      <c r="I5069" s="6">
        <v>1287.0000000000018</v>
      </c>
      <c r="J5069" s="5">
        <v>9400</v>
      </c>
      <c r="K5069" s="6">
        <f t="shared" si="206"/>
        <v>2.066822066822064</v>
      </c>
    </row>
    <row r="5070" spans="1:11" hidden="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H5070" s="5">
        <v>4375</v>
      </c>
      <c r="I5070" s="6">
        <v>2641.14</v>
      </c>
      <c r="J5070" s="5">
        <v>19200</v>
      </c>
      <c r="K5070" s="6">
        <f t="shared" si="206"/>
        <v>1.6564816707936725</v>
      </c>
    </row>
    <row r="5071" spans="1:11" hidden="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H5071" s="5">
        <v>2250</v>
      </c>
      <c r="I5071" s="6">
        <v>880.38</v>
      </c>
      <c r="J5071" s="5">
        <v>6400</v>
      </c>
      <c r="K5071" s="6">
        <f t="shared" si="206"/>
        <v>2.5557145777959516</v>
      </c>
    </row>
    <row r="5072" spans="1:11" hidden="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H5072" s="5">
        <v>1180</v>
      </c>
      <c r="I5072" s="6">
        <v>880.38</v>
      </c>
      <c r="J5072" s="5">
        <v>6400</v>
      </c>
      <c r="K5072" s="6">
        <f t="shared" si="206"/>
        <v>1.3403303119107659</v>
      </c>
    </row>
    <row r="5073" spans="1:11" hidden="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H5073" s="5">
        <v>850</v>
      </c>
      <c r="I5073" s="6">
        <v>1755.4</v>
      </c>
      <c r="J5073" s="5">
        <v>12800</v>
      </c>
      <c r="K5073" s="6">
        <f t="shared" si="206"/>
        <v>0.48422012077019483</v>
      </c>
    </row>
    <row r="5074" spans="1:11" hidden="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H5074" s="5">
        <v>4920</v>
      </c>
      <c r="I5074" s="6">
        <v>2413.6749943750001</v>
      </c>
      <c r="J5074" s="5">
        <v>17600</v>
      </c>
      <c r="K5074" s="6">
        <f t="shared" si="206"/>
        <v>2.0383854543241813</v>
      </c>
    </row>
    <row r="5075" spans="1:11" hidden="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H5075" s="5">
        <v>3240</v>
      </c>
      <c r="I5075" s="6">
        <v>1645.6875</v>
      </c>
      <c r="J5075" s="5">
        <v>12000</v>
      </c>
      <c r="K5075" s="6">
        <f t="shared" si="206"/>
        <v>1.9687820439785804</v>
      </c>
    </row>
    <row r="5076" spans="1:11" hidden="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H5076" s="5">
        <v>1180</v>
      </c>
      <c r="I5076" s="6">
        <v>726.32013058333712</v>
      </c>
      <c r="J5076" s="5">
        <v>5712</v>
      </c>
      <c r="K5076" s="6">
        <f t="shared" si="206"/>
        <v>1.6246279709365816</v>
      </c>
    </row>
    <row r="5077" spans="1:11" hidden="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H5077" s="5">
        <v>2340</v>
      </c>
      <c r="I5077" s="6">
        <v>924.39958333667107</v>
      </c>
      <c r="J5077" s="5">
        <v>6720</v>
      </c>
      <c r="K5077" s="6">
        <f t="shared" si="206"/>
        <v>2.5313728415515304</v>
      </c>
    </row>
    <row r="5078" spans="1:11" hidden="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H5078" s="5">
        <v>2440</v>
      </c>
      <c r="I5078" s="6">
        <v>1122.485208333339</v>
      </c>
      <c r="J5078" s="5">
        <v>8160</v>
      </c>
      <c r="K5078" s="6">
        <f t="shared" si="206"/>
        <v>2.1737480208072419</v>
      </c>
    </row>
    <row r="5079" spans="1:11" hidden="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H5079" s="5">
        <v>500</v>
      </c>
      <c r="I5079" s="6">
        <v>396.17125000000198</v>
      </c>
      <c r="J5079" s="5">
        <v>2880</v>
      </c>
      <c r="K5079" s="6">
        <f t="shared" si="206"/>
        <v>1.2620804765615816</v>
      </c>
    </row>
    <row r="5080" spans="1:11" hidden="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H5080" s="5">
        <v>3210</v>
      </c>
      <c r="I5080" s="6">
        <v>1535.9749999999999</v>
      </c>
      <c r="J5080" s="5">
        <v>11200</v>
      </c>
      <c r="K5080" s="6">
        <f t="shared" si="206"/>
        <v>2.0898777649375804</v>
      </c>
    </row>
    <row r="5081" spans="1:11" hidden="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H5081" s="5">
        <v>1560</v>
      </c>
      <c r="I5081" s="6">
        <v>1535.9749999999999</v>
      </c>
      <c r="J5081" s="5">
        <v>11200</v>
      </c>
      <c r="K5081" s="6">
        <f t="shared" si="206"/>
        <v>1.0156415306238709</v>
      </c>
    </row>
    <row r="5082" spans="1:11" hidden="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H5082" s="5">
        <v>900</v>
      </c>
      <c r="I5082" s="6">
        <v>594.25687500000299</v>
      </c>
      <c r="J5082" s="5">
        <v>4320</v>
      </c>
      <c r="K5082" s="6">
        <f t="shared" si="206"/>
        <v>1.5144965718738979</v>
      </c>
    </row>
    <row r="5083" spans="1:11" hidden="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H5083" s="5">
        <v>3320</v>
      </c>
      <c r="I5083" s="6">
        <v>2575.1131250013459</v>
      </c>
      <c r="J5083" s="5">
        <v>18720</v>
      </c>
      <c r="K5083" s="6">
        <f t="shared" si="206"/>
        <v>1.289263748363779</v>
      </c>
    </row>
    <row r="5084" spans="1:11" hidden="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H5084" s="5">
        <v>2040</v>
      </c>
      <c r="I5084" s="6">
        <v>528.37931032368999</v>
      </c>
      <c r="J5084" s="5">
        <v>4000</v>
      </c>
      <c r="K5084" s="6">
        <f t="shared" ref="K5084:K5090" si="208">IFERROR(H5084/I5084,"")</f>
        <v>3.8608627554895691</v>
      </c>
    </row>
    <row r="5085" spans="1:11" hidden="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H5085" s="5">
        <v>4200</v>
      </c>
      <c r="I5085" s="6">
        <v>2272.0310343918732</v>
      </c>
      <c r="J5085" s="5">
        <v>17200</v>
      </c>
      <c r="K5085" s="6">
        <f t="shared" si="208"/>
        <v>1.8485662987980105</v>
      </c>
    </row>
    <row r="5086" spans="1:11" hidden="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H5086" s="5">
        <v>3510</v>
      </c>
      <c r="I5086" s="6">
        <v>1162.4344827121224</v>
      </c>
      <c r="J5086" s="5">
        <v>8800</v>
      </c>
      <c r="K5086" s="6">
        <f t="shared" si="208"/>
        <v>3.0195250159911624</v>
      </c>
    </row>
    <row r="5087" spans="1:11" hidden="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H5087" s="5">
        <v>1400</v>
      </c>
      <c r="I5087" s="6">
        <v>1162.4344827121181</v>
      </c>
      <c r="J5087" s="5">
        <v>8800</v>
      </c>
      <c r="K5087" s="6">
        <f t="shared" si="208"/>
        <v>1.2043689522471916</v>
      </c>
    </row>
    <row r="5088" spans="1:11" hidden="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H5088" s="5">
        <v>2370</v>
      </c>
      <c r="I5088" s="6">
        <v>1056.7586206473827</v>
      </c>
      <c r="J5088" s="5">
        <v>8000</v>
      </c>
      <c r="K5088" s="6">
        <f t="shared" si="208"/>
        <v>2.2427070417917294</v>
      </c>
    </row>
    <row r="5089" spans="1:11" hidden="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H5089" s="5">
        <v>2160</v>
      </c>
      <c r="I5089" s="6">
        <v>1109.596551679753</v>
      </c>
      <c r="J5089" s="5">
        <v>8400</v>
      </c>
      <c r="K5089" s="6">
        <f t="shared" si="208"/>
        <v>1.946653490162801</v>
      </c>
    </row>
    <row r="5090" spans="1:11" hidden="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H5090" s="5">
        <v>4500</v>
      </c>
      <c r="I5090" s="6">
        <v>1902.1655171652881</v>
      </c>
      <c r="J5090" s="5">
        <v>14400</v>
      </c>
      <c r="K5090" s="6">
        <f t="shared" si="208"/>
        <v>2.3657247276284075</v>
      </c>
    </row>
    <row r="5091" spans="1:11" hidden="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H5091" s="5">
        <v>1225</v>
      </c>
      <c r="I5091" s="6">
        <v>951.10714281909407</v>
      </c>
      <c r="J5091" s="5">
        <v>7200</v>
      </c>
      <c r="K5091" s="6">
        <f t="shared" si="206"/>
        <v>1.2879726634888724</v>
      </c>
    </row>
    <row r="5092" spans="1:11" hidden="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H5092" s="5">
        <v>7770</v>
      </c>
      <c r="I5092" s="6">
        <v>3804.4285712763772</v>
      </c>
      <c r="J5092" s="5">
        <v>28800</v>
      </c>
      <c r="K5092" s="6">
        <f t="shared" si="206"/>
        <v>2.0423566521037828</v>
      </c>
    </row>
    <row r="5093" spans="1:11" hidden="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H5093" s="5">
        <v>5220</v>
      </c>
      <c r="I5093" s="6">
        <v>2641.8965516184649</v>
      </c>
      <c r="J5093" s="5">
        <v>20000</v>
      </c>
      <c r="K5093" s="6">
        <f t="shared" si="206"/>
        <v>1.975853292515239</v>
      </c>
    </row>
    <row r="5094" spans="1:11" hidden="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H5094" s="5">
        <v>6210</v>
      </c>
      <c r="I5094" s="6">
        <v>3592.9793102010913</v>
      </c>
      <c r="J5094" s="5">
        <v>26044</v>
      </c>
      <c r="K5094" s="6">
        <f t="shared" si="206"/>
        <v>1.7283706539496995</v>
      </c>
    </row>
    <row r="5095" spans="1:11" hidden="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H5095" s="5">
        <v>2000</v>
      </c>
      <c r="I5095" s="6">
        <v>1268.1103447768633</v>
      </c>
      <c r="J5095" s="5">
        <v>9600</v>
      </c>
      <c r="K5095" s="6">
        <f t="shared" si="206"/>
        <v>1.5771498184189328</v>
      </c>
    </row>
    <row r="5096" spans="1:11" hidden="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H5096" s="5">
        <v>1050</v>
      </c>
      <c r="I5096" s="6">
        <v>528.37931032368999</v>
      </c>
      <c r="J5096" s="5">
        <v>4000</v>
      </c>
      <c r="K5096" s="6">
        <f t="shared" si="206"/>
        <v>1.9872087712078665</v>
      </c>
    </row>
    <row r="5097" spans="1:11" hidden="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H5097" s="5">
        <v>2100</v>
      </c>
      <c r="I5097" s="6">
        <v>1162.4344827121247</v>
      </c>
      <c r="J5097" s="5">
        <v>8800</v>
      </c>
      <c r="K5097" s="6">
        <f t="shared" si="206"/>
        <v>1.8065534283707774</v>
      </c>
    </row>
    <row r="5098" spans="1:11" hidden="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H5098" s="5">
        <v>870</v>
      </c>
      <c r="I5098" s="6">
        <v>528.3915024419166</v>
      </c>
      <c r="J5098" s="5">
        <v>4000</v>
      </c>
      <c r="K5098" s="6">
        <f t="shared" si="206"/>
        <v>1.6465064180240763</v>
      </c>
    </row>
    <row r="5099" spans="1:11" hidden="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H5099" s="5">
        <v>7830</v>
      </c>
      <c r="I5099" s="6">
        <v>3910.1071427007282</v>
      </c>
      <c r="J5099" s="5">
        <v>29260</v>
      </c>
      <c r="K5099" s="6">
        <f t="shared" si="206"/>
        <v>2.0025026717277585</v>
      </c>
    </row>
    <row r="5100" spans="1:11" hidden="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H5100" s="5">
        <v>3400</v>
      </c>
      <c r="I5100" s="6">
        <v>1902.2142856381945</v>
      </c>
      <c r="J5100" s="5">
        <v>14400</v>
      </c>
      <c r="K5100" s="6">
        <f t="shared" si="206"/>
        <v>1.7873906350457762</v>
      </c>
    </row>
    <row r="5101" spans="1:11" hidden="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H5101" s="5">
        <v>3360</v>
      </c>
      <c r="I5101" s="6">
        <v>1162.4642856677858</v>
      </c>
      <c r="J5101" s="5">
        <v>8800</v>
      </c>
      <c r="K5101" s="6">
        <f t="shared" si="206"/>
        <v>2.890411379881511</v>
      </c>
    </row>
    <row r="5102" spans="1:11" hidden="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H5102" s="5">
        <v>900</v>
      </c>
      <c r="I5102" s="6">
        <v>317.03571427303262</v>
      </c>
      <c r="J5102" s="5">
        <v>2400</v>
      </c>
      <c r="K5102" s="6">
        <f t="shared" si="206"/>
        <v>2.8387968909550545</v>
      </c>
    </row>
    <row r="5103" spans="1:11" hidden="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H5103" s="5">
        <v>1100</v>
      </c>
      <c r="I5103" s="6">
        <v>951.10714281875391</v>
      </c>
      <c r="J5103" s="5">
        <v>7200</v>
      </c>
      <c r="K5103" s="6">
        <f t="shared" si="206"/>
        <v>1.1565468815006257</v>
      </c>
    </row>
    <row r="5104" spans="1:11" hidden="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H5104" s="5">
        <v>1400</v>
      </c>
      <c r="I5104" s="6">
        <v>898.26785710660101</v>
      </c>
      <c r="J5104" s="5">
        <v>6800</v>
      </c>
      <c r="K5104" s="6">
        <f t="shared" si="206"/>
        <v>1.5585551558190247</v>
      </c>
    </row>
    <row r="5105" spans="1:11" hidden="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H5105" s="5">
        <v>2425</v>
      </c>
      <c r="I5105" s="6">
        <v>1162.4642856673661</v>
      </c>
      <c r="J5105" s="5">
        <v>8800</v>
      </c>
      <c r="K5105" s="6">
        <f t="shared" si="206"/>
        <v>2.0860855941116654</v>
      </c>
    </row>
    <row r="5106" spans="1:11" hidden="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H5106" s="5">
        <v>1590</v>
      </c>
      <c r="I5106" s="6">
        <v>686.91071425798896</v>
      </c>
      <c r="J5106" s="5">
        <v>5200</v>
      </c>
      <c r="K5106" s="6">
        <f t="shared" si="206"/>
        <v>2.3147113110872661</v>
      </c>
    </row>
    <row r="5107" spans="1:11" hidden="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H5107" s="5">
        <v>1175</v>
      </c>
      <c r="I5107" s="6">
        <v>845.428571394752</v>
      </c>
      <c r="J5107" s="5">
        <v>6400</v>
      </c>
      <c r="K5107" s="6">
        <f t="shared" si="206"/>
        <v>1.3898276445300815</v>
      </c>
    </row>
    <row r="5108" spans="1:11" hidden="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H5108" s="5">
        <v>5275</v>
      </c>
      <c r="I5108" s="6">
        <v>3910.1071427007355</v>
      </c>
      <c r="J5108" s="5">
        <v>29600</v>
      </c>
      <c r="K5108" s="6">
        <f t="shared" ref="K5108:K5170" si="209">+H5108/I5108</f>
        <v>1.349067891872785</v>
      </c>
    </row>
    <row r="5109" spans="1:11" hidden="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H5109" s="5">
        <v>8900</v>
      </c>
      <c r="I5109" s="6">
        <v>4015.7857141250793</v>
      </c>
      <c r="J5109" s="5">
        <v>30400</v>
      </c>
      <c r="K5109" s="6">
        <f t="shared" si="209"/>
        <v>2.2162537131140341</v>
      </c>
    </row>
    <row r="5110" spans="1:11" hidden="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H5110" s="5">
        <v>4950</v>
      </c>
      <c r="I5110" s="6">
        <v>2747.5751230427709</v>
      </c>
      <c r="J5110" s="5">
        <v>20800</v>
      </c>
      <c r="K5110" s="6">
        <f t="shared" si="209"/>
        <v>1.8015885929692721</v>
      </c>
    </row>
    <row r="5111" spans="1:11" hidden="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H5111" s="5">
        <v>1020</v>
      </c>
      <c r="I5111" s="6">
        <v>1056.75862064738</v>
      </c>
      <c r="J5111" s="5">
        <v>9600</v>
      </c>
      <c r="K5111" s="6">
        <f t="shared" si="209"/>
        <v>0.96521568887239229</v>
      </c>
    </row>
    <row r="5112" spans="1:11" hidden="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H5112" s="5">
        <v>800</v>
      </c>
      <c r="I5112" s="6">
        <v>369.86551722658481</v>
      </c>
      <c r="J5112" s="5">
        <v>3080</v>
      </c>
      <c r="K5112" s="6">
        <f t="shared" si="209"/>
        <v>2.1629483224031096</v>
      </c>
    </row>
    <row r="5113" spans="1:11" hidden="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H5113" s="5">
        <v>10290</v>
      </c>
      <c r="I5113" s="6">
        <v>3592.9793102011122</v>
      </c>
      <c r="J5113" s="5">
        <v>27820</v>
      </c>
      <c r="K5113" s="6">
        <f t="shared" si="209"/>
        <v>2.8639185232113209</v>
      </c>
    </row>
    <row r="5114" spans="1:11" hidden="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H5114" s="5">
        <v>3720</v>
      </c>
      <c r="I5114" s="6">
        <v>1585.2222221588099</v>
      </c>
      <c r="J5114" s="5">
        <v>11490</v>
      </c>
      <c r="K5114" s="6">
        <f t="shared" si="209"/>
        <v>2.3466741432213691</v>
      </c>
    </row>
    <row r="5115" spans="1:11" hidden="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H5115" s="5">
        <v>4620</v>
      </c>
      <c r="I5115" s="6">
        <v>2219.311111022334</v>
      </c>
      <c r="J5115" s="5">
        <v>16800</v>
      </c>
      <c r="K5115" s="6">
        <f t="shared" si="209"/>
        <v>2.0817270625350854</v>
      </c>
    </row>
    <row r="5116" spans="1:11" hidden="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H5116" s="5">
        <v>7325</v>
      </c>
      <c r="I5116" s="6">
        <v>2959.0814813631118</v>
      </c>
      <c r="J5116" s="5">
        <v>22400</v>
      </c>
      <c r="K5116" s="6">
        <f t="shared" si="209"/>
        <v>2.475430313809984</v>
      </c>
    </row>
    <row r="5117" spans="1:11" hidden="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H5117" s="5">
        <v>0</v>
      </c>
      <c r="I5117" s="6">
        <v>1796.5851851133182</v>
      </c>
      <c r="J5117" s="5">
        <v>13600</v>
      </c>
      <c r="K5117" s="6">
        <f t="shared" si="209"/>
        <v>0</v>
      </c>
    </row>
    <row r="5118" spans="1:11" hidden="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H5118" s="5">
        <v>1725</v>
      </c>
      <c r="I5118" s="6">
        <v>1912.3542857142861</v>
      </c>
      <c r="J5118" s="5">
        <v>16320</v>
      </c>
      <c r="K5118" s="6">
        <f t="shared" si="209"/>
        <v>0.90202951037165835</v>
      </c>
    </row>
    <row r="5119" spans="1:11" hidden="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H5119" s="5">
        <v>3840</v>
      </c>
      <c r="I5119" s="6">
        <v>2812.2857142428579</v>
      </c>
      <c r="J5119" s="5">
        <v>20000</v>
      </c>
      <c r="K5119" s="6">
        <f t="shared" si="209"/>
        <v>1.365437366677315</v>
      </c>
    </row>
    <row r="5120" spans="1:11" hidden="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H5120" s="5">
        <v>4075</v>
      </c>
      <c r="I5120" s="6">
        <v>1768.8376470588223</v>
      </c>
      <c r="J5120" s="5">
        <v>12800</v>
      </c>
      <c r="K5120" s="6">
        <f t="shared" si="209"/>
        <v>2.3037727666955785</v>
      </c>
    </row>
    <row r="5121" spans="1:11" hidden="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H5121" s="5">
        <v>4260</v>
      </c>
      <c r="I5121" s="6">
        <v>2263.7999998868127</v>
      </c>
      <c r="J5121" s="5">
        <v>17920</v>
      </c>
      <c r="K5121" s="6">
        <f t="shared" si="209"/>
        <v>1.8817916778041324</v>
      </c>
    </row>
    <row r="5122" spans="1:11" hidden="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H5122" s="5">
        <v>1290</v>
      </c>
      <c r="I5122" s="6">
        <v>994.97117647058747</v>
      </c>
      <c r="J5122" s="5">
        <v>7200</v>
      </c>
      <c r="K5122" s="6">
        <f t="shared" si="209"/>
        <v>1.2965199701321539</v>
      </c>
    </row>
    <row r="5123" spans="1:11" hidden="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H5123" s="5">
        <v>1890</v>
      </c>
      <c r="I5123" s="6">
        <v>994.97117647058747</v>
      </c>
      <c r="J5123" s="5">
        <v>7920</v>
      </c>
      <c r="K5123" s="6">
        <f t="shared" si="209"/>
        <v>1.8995525143796672</v>
      </c>
    </row>
    <row r="5124" spans="1:11" hidden="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H5124" s="5">
        <v>3525</v>
      </c>
      <c r="I5124" s="6">
        <v>2263.7999998868127</v>
      </c>
      <c r="J5124" s="5">
        <v>17920</v>
      </c>
      <c r="K5124" s="6">
        <f t="shared" si="209"/>
        <v>1.5571163531125745</v>
      </c>
    </row>
    <row r="5125" spans="1:11" hidden="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H5125" s="5">
        <v>15090</v>
      </c>
      <c r="I5125" s="6">
        <v>6727.0499997982479</v>
      </c>
      <c r="J5125" s="5">
        <v>49210</v>
      </c>
      <c r="K5125" s="6">
        <f t="shared" si="209"/>
        <v>2.2431823756999822</v>
      </c>
    </row>
    <row r="5126" spans="1:11" hidden="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H5126" s="5">
        <v>1680</v>
      </c>
      <c r="I5126" s="6">
        <v>994.95</v>
      </c>
      <c r="J5126" s="5">
        <v>7200</v>
      </c>
      <c r="K5126" s="6">
        <f t="shared" si="209"/>
        <v>1.6885270616613899</v>
      </c>
    </row>
    <row r="5127" spans="1:11" hidden="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H5127" s="5">
        <v>1700</v>
      </c>
      <c r="I5127" s="6">
        <v>831.6</v>
      </c>
      <c r="J5127" s="5">
        <v>6300</v>
      </c>
      <c r="K5127" s="6">
        <f t="shared" si="209"/>
        <v>2.044252044252044</v>
      </c>
    </row>
    <row r="5128" spans="1:11" hidden="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H5128" s="5">
        <v>2650</v>
      </c>
      <c r="I5128" s="6">
        <v>1267.2</v>
      </c>
      <c r="J5128" s="5">
        <v>9600</v>
      </c>
      <c r="K5128" s="6">
        <f t="shared" si="209"/>
        <v>2.0912247474747474</v>
      </c>
    </row>
    <row r="5129" spans="1:11" hidden="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H5129" s="5">
        <v>390</v>
      </c>
      <c r="I5129" s="6">
        <v>316.8</v>
      </c>
      <c r="J5129" s="5">
        <v>2400</v>
      </c>
      <c r="K5129" s="6">
        <f t="shared" si="209"/>
        <v>1.231060606060606</v>
      </c>
    </row>
    <row r="5130" spans="1:11" hidden="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H5130" s="5">
        <v>6510</v>
      </c>
      <c r="I5130" s="6">
        <v>3603.6</v>
      </c>
      <c r="J5130" s="5">
        <v>27296</v>
      </c>
      <c r="K5130" s="6">
        <f t="shared" si="209"/>
        <v>1.8065268065268065</v>
      </c>
    </row>
    <row r="5131" spans="1:11" hidden="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H5131" s="5">
        <v>4575</v>
      </c>
      <c r="I5131" s="6">
        <v>3682.8</v>
      </c>
      <c r="J5131" s="5">
        <v>27900</v>
      </c>
      <c r="K5131" s="6">
        <f t="shared" si="209"/>
        <v>1.2422613229064841</v>
      </c>
    </row>
    <row r="5132" spans="1:11" hidden="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H5132" s="5">
        <v>4875</v>
      </c>
      <c r="I5132" s="6">
        <v>2376</v>
      </c>
      <c r="J5132" s="5">
        <v>18000</v>
      </c>
      <c r="K5132" s="6">
        <f t="shared" si="209"/>
        <v>2.0517676767676769</v>
      </c>
    </row>
    <row r="5133" spans="1:11" hidden="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H5133" s="5">
        <v>780</v>
      </c>
      <c r="I5133" s="6">
        <v>950.4</v>
      </c>
      <c r="J5133" s="5">
        <v>7200</v>
      </c>
      <c r="K5133" s="6">
        <f t="shared" si="209"/>
        <v>0.82070707070707072</v>
      </c>
    </row>
    <row r="5134" spans="1:11" hidden="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H5134" s="5">
        <v>2500</v>
      </c>
      <c r="I5134" s="6">
        <v>1346.4</v>
      </c>
      <c r="J5134" s="5">
        <v>10200</v>
      </c>
      <c r="K5134" s="6">
        <f t="shared" si="209"/>
        <v>1.8568033273915625</v>
      </c>
    </row>
    <row r="5135" spans="1:11" hidden="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H5135" s="5">
        <v>5100</v>
      </c>
      <c r="I5135" s="6">
        <v>2851.2</v>
      </c>
      <c r="J5135" s="5">
        <v>21600</v>
      </c>
      <c r="K5135" s="6">
        <f t="shared" si="209"/>
        <v>1.7887205387205389</v>
      </c>
    </row>
    <row r="5136" spans="1:11" hidden="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H5136" s="5">
        <v>4050</v>
      </c>
      <c r="I5136" s="6">
        <v>2138.4</v>
      </c>
      <c r="J5136" s="5">
        <v>16200</v>
      </c>
      <c r="K5136" s="6">
        <f t="shared" si="209"/>
        <v>1.8939393939393938</v>
      </c>
    </row>
    <row r="5137" spans="1:11" hidden="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H5137" s="5">
        <v>2175</v>
      </c>
      <c r="I5137" s="6">
        <v>963.6</v>
      </c>
      <c r="J5137" s="5">
        <v>7570</v>
      </c>
      <c r="K5137" s="6">
        <f t="shared" si="209"/>
        <v>2.2571606475716064</v>
      </c>
    </row>
    <row r="5138" spans="1:11" hidden="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H5138" s="5">
        <v>5950</v>
      </c>
      <c r="I5138" s="6">
        <v>3168</v>
      </c>
      <c r="J5138" s="5">
        <v>24000</v>
      </c>
      <c r="K5138" s="6">
        <f t="shared" si="209"/>
        <v>1.8781565656565657</v>
      </c>
    </row>
    <row r="5139" spans="1:11" hidden="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H5139" s="5">
        <v>2040</v>
      </c>
      <c r="I5139" s="6">
        <v>1188</v>
      </c>
      <c r="J5139" s="5">
        <v>9000</v>
      </c>
      <c r="K5139" s="6">
        <f t="shared" si="209"/>
        <v>1.7171717171717171</v>
      </c>
    </row>
    <row r="5140" spans="1:11" hidden="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H5140" s="5">
        <v>3700</v>
      </c>
      <c r="I5140" s="6">
        <v>2732.4</v>
      </c>
      <c r="J5140" s="5">
        <v>20700</v>
      </c>
      <c r="K5140" s="6">
        <f t="shared" si="209"/>
        <v>1.3541209193383106</v>
      </c>
    </row>
    <row r="5141" spans="1:11" hidden="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H5141" s="5">
        <v>1110</v>
      </c>
      <c r="I5141" s="6">
        <v>673.2</v>
      </c>
      <c r="J5141" s="5">
        <v>5100</v>
      </c>
      <c r="K5141" s="6">
        <f t="shared" si="209"/>
        <v>1.6488413547237075</v>
      </c>
    </row>
    <row r="5142" spans="1:11" hidden="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H5142" s="5">
        <v>1650</v>
      </c>
      <c r="I5142" s="6">
        <v>1100.4749999999999</v>
      </c>
      <c r="J5142" s="5">
        <v>8000</v>
      </c>
      <c r="K5142" s="6">
        <f t="shared" si="209"/>
        <v>1.4993525523069584</v>
      </c>
    </row>
    <row r="5143" spans="1:11" hidden="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H5143" s="5">
        <v>1325</v>
      </c>
      <c r="I5143" s="6">
        <v>1287</v>
      </c>
      <c r="J5143" s="5">
        <v>9400</v>
      </c>
      <c r="K5143" s="6">
        <f t="shared" si="209"/>
        <v>1.0295260295260296</v>
      </c>
    </row>
    <row r="5144" spans="1:11" hidden="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H5144" s="5">
        <v>4680</v>
      </c>
      <c r="I5144" s="6">
        <v>2641.14</v>
      </c>
      <c r="J5144" s="5">
        <v>19200</v>
      </c>
      <c r="K5144" s="6">
        <f t="shared" si="209"/>
        <v>1.7719621072718599</v>
      </c>
    </row>
    <row r="5145" spans="1:11" hidden="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H5145" s="5">
        <v>3480</v>
      </c>
      <c r="I5145" s="6">
        <v>2641.14</v>
      </c>
      <c r="J5145" s="5">
        <v>19200</v>
      </c>
      <c r="K5145" s="6">
        <f t="shared" si="209"/>
        <v>1.317612848997024</v>
      </c>
    </row>
    <row r="5146" spans="1:11" hidden="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H5146" s="5">
        <v>2040</v>
      </c>
      <c r="I5146" s="6">
        <v>1430.6174906250001</v>
      </c>
      <c r="J5146" s="5">
        <v>10400</v>
      </c>
      <c r="K5146" s="6">
        <f t="shared" si="209"/>
        <v>1.4259576814685639</v>
      </c>
    </row>
    <row r="5147" spans="1:11" hidden="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H5147" s="5">
        <v>1710</v>
      </c>
      <c r="I5147" s="6">
        <v>1430.6175000000001</v>
      </c>
      <c r="J5147" s="5">
        <v>10400</v>
      </c>
      <c r="K5147" s="6">
        <f t="shared" si="209"/>
        <v>1.1952880486922604</v>
      </c>
    </row>
    <row r="5148" spans="1:11" hidden="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H5148" s="5">
        <v>3870</v>
      </c>
      <c r="I5148" s="6">
        <v>2861.2350000000001</v>
      </c>
      <c r="J5148" s="5">
        <v>20800</v>
      </c>
      <c r="K5148" s="6">
        <f t="shared" si="209"/>
        <v>1.3525627919412422</v>
      </c>
    </row>
    <row r="5149" spans="1:11" hidden="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H5149" s="5">
        <v>4075</v>
      </c>
      <c r="I5149" s="6">
        <v>3071.9505625000002</v>
      </c>
      <c r="J5149" s="5">
        <v>22400</v>
      </c>
      <c r="K5149" s="6">
        <f t="shared" si="209"/>
        <v>1.3265187434148364</v>
      </c>
    </row>
    <row r="5150" spans="1:11" hidden="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H5150" s="5">
        <v>3225</v>
      </c>
      <c r="I5150" s="6">
        <v>1097.125</v>
      </c>
      <c r="J5150" s="5">
        <v>8000</v>
      </c>
      <c r="K5150" s="6">
        <f t="shared" si="209"/>
        <v>2.9395009684402416</v>
      </c>
    </row>
    <row r="5151" spans="1:11" hidden="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H5151" s="5">
        <v>5050</v>
      </c>
      <c r="I5151" s="6">
        <v>2852.5250000000001</v>
      </c>
      <c r="J5151" s="5">
        <v>20800</v>
      </c>
      <c r="K5151" s="6">
        <f t="shared" si="209"/>
        <v>1.770361346526323</v>
      </c>
    </row>
    <row r="5152" spans="1:11" hidden="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H5152" s="5">
        <v>5010</v>
      </c>
      <c r="I5152" s="6">
        <v>2633.1</v>
      </c>
      <c r="J5152" s="5">
        <v>19200</v>
      </c>
      <c r="K5152" s="6">
        <f t="shared" si="209"/>
        <v>1.9027002392617067</v>
      </c>
    </row>
    <row r="5153" spans="1:11" hidden="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H5153" s="5">
        <v>4980</v>
      </c>
      <c r="I5153" s="6">
        <v>2633.1</v>
      </c>
      <c r="J5153" s="5">
        <v>19200</v>
      </c>
      <c r="K5153" s="6">
        <f t="shared" si="209"/>
        <v>1.8913068246553493</v>
      </c>
    </row>
    <row r="5154" spans="1:11" hidden="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H5154" s="5">
        <v>3600</v>
      </c>
      <c r="I5154" s="6">
        <v>2852.5250000000001</v>
      </c>
      <c r="J5154" s="5">
        <v>20800</v>
      </c>
      <c r="K5154" s="6">
        <f t="shared" si="209"/>
        <v>1.2620397717811411</v>
      </c>
    </row>
    <row r="5155" spans="1:11" hidden="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H5155" s="5">
        <v>6900</v>
      </c>
      <c r="I5155" s="6">
        <v>2852.5250000000001</v>
      </c>
      <c r="J5155" s="5">
        <v>20800</v>
      </c>
      <c r="K5155" s="6">
        <f t="shared" si="209"/>
        <v>2.4189095625805206</v>
      </c>
    </row>
    <row r="5156" spans="1:11" hidden="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H5156" s="5">
        <v>3450</v>
      </c>
      <c r="I5156" s="6">
        <v>3071.95</v>
      </c>
      <c r="J5156" s="5">
        <v>22400</v>
      </c>
      <c r="K5156" s="6">
        <f t="shared" si="209"/>
        <v>1.1230651540552419</v>
      </c>
    </row>
    <row r="5157" spans="1:11" hidden="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H5157" s="5">
        <v>3125</v>
      </c>
      <c r="I5157" s="6">
        <v>1645.6875</v>
      </c>
      <c r="J5157" s="5">
        <v>12000</v>
      </c>
      <c r="K5157" s="6">
        <f t="shared" si="209"/>
        <v>1.8989024343929208</v>
      </c>
    </row>
    <row r="5158" spans="1:11" hidden="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H5158" s="5">
        <v>11060</v>
      </c>
      <c r="I5158" s="6">
        <v>4121.4642855494085</v>
      </c>
      <c r="J5158" s="5">
        <v>31200</v>
      </c>
      <c r="K5158" s="6">
        <f t="shared" si="209"/>
        <v>2.6835122746976943</v>
      </c>
    </row>
    <row r="5159" spans="1:11" hidden="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H5159" s="5">
        <v>1290</v>
      </c>
      <c r="I5159" s="6">
        <v>1056.7857142434418</v>
      </c>
      <c r="J5159" s="5">
        <v>8000</v>
      </c>
      <c r="K5159" s="6">
        <f t="shared" si="209"/>
        <v>1.2206826631106737</v>
      </c>
    </row>
    <row r="5160" spans="1:11" hidden="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H5160" s="5">
        <v>10560</v>
      </c>
      <c r="I5160" s="6">
        <v>2641.9642856076484</v>
      </c>
      <c r="J5160" s="5">
        <v>19996</v>
      </c>
      <c r="K5160" s="6">
        <f t="shared" si="209"/>
        <v>3.997026022466164</v>
      </c>
    </row>
    <row r="5161" spans="1:11" hidden="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H5161" s="5">
        <v>1560</v>
      </c>
      <c r="I5161" s="6">
        <v>528.39285712153003</v>
      </c>
      <c r="J5161" s="5">
        <v>4000</v>
      </c>
      <c r="K5161" s="6">
        <f t="shared" si="209"/>
        <v>2.9523487665943238</v>
      </c>
    </row>
    <row r="5162" spans="1:11" hidden="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H5162" s="5">
        <v>4320</v>
      </c>
      <c r="I5162" s="6">
        <v>1902.2142856375078</v>
      </c>
      <c r="J5162" s="5">
        <v>14400</v>
      </c>
      <c r="K5162" s="6">
        <f t="shared" si="209"/>
        <v>2.271037512764865</v>
      </c>
    </row>
    <row r="5163" spans="1:11" hidden="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H5163" s="5">
        <v>1740</v>
      </c>
      <c r="I5163" s="6">
        <v>634.05652706821195</v>
      </c>
      <c r="J5163" s="5">
        <v>4800</v>
      </c>
      <c r="K5163" s="6">
        <f t="shared" si="209"/>
        <v>2.7442348209007719</v>
      </c>
    </row>
    <row r="5164" spans="1:11" hidden="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H5164" s="5">
        <v>13420</v>
      </c>
      <c r="I5164" s="6">
        <v>4487.9999999102474</v>
      </c>
      <c r="J5164" s="5">
        <v>31740</v>
      </c>
      <c r="K5164" s="6">
        <f t="shared" si="209"/>
        <v>2.9901960784911714</v>
      </c>
    </row>
    <row r="5165" spans="1:11" hidden="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H5165" s="5">
        <v>3000</v>
      </c>
      <c r="I5165" s="6">
        <v>1702.8</v>
      </c>
      <c r="J5165" s="5">
        <v>12900</v>
      </c>
      <c r="K5165" s="6">
        <f t="shared" si="209"/>
        <v>1.7618040873854828</v>
      </c>
    </row>
    <row r="5166" spans="1:11" hidden="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H5166" s="5">
        <v>6100</v>
      </c>
      <c r="I5166" s="6">
        <v>3009.6</v>
      </c>
      <c r="J5166" s="5">
        <v>22800</v>
      </c>
      <c r="K5166" s="6">
        <f t="shared" si="209"/>
        <v>2.0268474215842636</v>
      </c>
    </row>
    <row r="5167" spans="1:11" hidden="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H5167" s="5">
        <v>3450</v>
      </c>
      <c r="I5167" s="6">
        <v>1386</v>
      </c>
      <c r="J5167" s="5">
        <v>10500</v>
      </c>
      <c r="K5167" s="6">
        <f t="shared" si="209"/>
        <v>2.4891774891774894</v>
      </c>
    </row>
    <row r="5168" spans="1:11" hidden="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H5168" s="5">
        <v>3510</v>
      </c>
      <c r="I5168" s="6">
        <v>1386</v>
      </c>
      <c r="J5168" s="5">
        <v>10500</v>
      </c>
      <c r="K5168" s="6">
        <f t="shared" si="209"/>
        <v>2.5324675324675323</v>
      </c>
    </row>
    <row r="5169" spans="1:11" hidden="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H5169" s="5">
        <v>1425</v>
      </c>
      <c r="I5169" s="6">
        <v>1029.5999999999999</v>
      </c>
      <c r="J5169" s="5">
        <v>7800</v>
      </c>
      <c r="K5169" s="6">
        <f t="shared" si="209"/>
        <v>1.3840326340326341</v>
      </c>
    </row>
    <row r="5170" spans="1:11" hidden="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H5170" s="5">
        <v>5025</v>
      </c>
      <c r="I5170" s="6">
        <v>2653.2</v>
      </c>
      <c r="J5170" s="5">
        <v>20100</v>
      </c>
      <c r="K5170" s="6">
        <f t="shared" si="209"/>
        <v>1.893939393939394</v>
      </c>
    </row>
    <row r="5171" spans="1:11" hidden="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H5171" s="5">
        <v>4830</v>
      </c>
      <c r="I5171" s="6">
        <v>1768.8</v>
      </c>
      <c r="J5171" s="5">
        <v>13400</v>
      </c>
      <c r="K5171" s="6">
        <f t="shared" ref="K5171:K5233" si="211">+H5171/I5171</f>
        <v>2.7306648575305292</v>
      </c>
    </row>
    <row r="5172" spans="1:11" hidden="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H5172" s="5">
        <v>1725</v>
      </c>
      <c r="I5172" s="6">
        <v>1029.5999999999999</v>
      </c>
      <c r="J5172" s="5">
        <v>7800</v>
      </c>
      <c r="K5172" s="6">
        <f t="shared" si="211"/>
        <v>1.6754079254079255</v>
      </c>
    </row>
    <row r="5173" spans="1:11" hidden="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H5173" s="5">
        <v>3000</v>
      </c>
      <c r="I5173" s="6">
        <v>1346.4</v>
      </c>
      <c r="J5173" s="5">
        <v>10200</v>
      </c>
      <c r="K5173" s="6">
        <f t="shared" si="211"/>
        <v>2.2281639928698751</v>
      </c>
    </row>
    <row r="5174" spans="1:11" hidden="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H5174" s="5">
        <v>1020</v>
      </c>
      <c r="I5174" s="6">
        <v>440.18999062500001</v>
      </c>
      <c r="J5174" s="5">
        <v>3200</v>
      </c>
      <c r="K5174" s="6">
        <f t="shared" si="211"/>
        <v>2.3171812665521125</v>
      </c>
    </row>
    <row r="5175" spans="1:11" hidden="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H5175" s="5">
        <v>2250</v>
      </c>
      <c r="I5175" s="6">
        <v>880.38</v>
      </c>
      <c r="J5175" s="5">
        <v>6400</v>
      </c>
      <c r="K5175" s="6">
        <f t="shared" si="211"/>
        <v>2.5557145777959516</v>
      </c>
    </row>
    <row r="5176" spans="1:11" hidden="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H5176" s="5">
        <v>550</v>
      </c>
      <c r="I5176" s="6">
        <v>330.14249999999998</v>
      </c>
      <c r="J5176" s="5">
        <v>2400</v>
      </c>
      <c r="K5176" s="6">
        <f t="shared" si="211"/>
        <v>1.6659472803410649</v>
      </c>
    </row>
    <row r="5177" spans="1:11" hidden="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H5177" s="5">
        <v>3725</v>
      </c>
      <c r="I5177" s="6">
        <v>1430.6175000000001</v>
      </c>
      <c r="J5177" s="5">
        <v>10400</v>
      </c>
      <c r="K5177" s="6">
        <f t="shared" si="211"/>
        <v>2.6037707493442515</v>
      </c>
    </row>
    <row r="5178" spans="1:11" hidden="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H5178" s="5">
        <v>0</v>
      </c>
      <c r="I5178" s="6">
        <v>220.095</v>
      </c>
      <c r="J5178" s="5">
        <v>1600</v>
      </c>
      <c r="K5178" s="6">
        <f t="shared" si="211"/>
        <v>0</v>
      </c>
    </row>
    <row r="5179" spans="1:11" hidden="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H5179" s="5">
        <v>3020</v>
      </c>
      <c r="I5179" s="6">
        <v>1287.0000000000018</v>
      </c>
      <c r="J5179" s="5">
        <v>9400</v>
      </c>
      <c r="K5179" s="6">
        <f t="shared" si="211"/>
        <v>2.3465423465423432</v>
      </c>
    </row>
    <row r="5180" spans="1:11" hidden="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H5180" s="5">
        <v>5050</v>
      </c>
      <c r="I5180" s="6">
        <v>2641.14</v>
      </c>
      <c r="J5180" s="5">
        <v>19200</v>
      </c>
      <c r="K5180" s="6">
        <f t="shared" si="211"/>
        <v>1.9120531285732676</v>
      </c>
    </row>
    <row r="5181" spans="1:11" hidden="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H5181" s="5">
        <v>2400</v>
      </c>
      <c r="I5181" s="6">
        <v>880.38</v>
      </c>
      <c r="J5181" s="5">
        <v>6400</v>
      </c>
      <c r="K5181" s="6">
        <f t="shared" si="211"/>
        <v>2.7260955496490151</v>
      </c>
    </row>
    <row r="5182" spans="1:11" hidden="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H5182" s="5">
        <v>1460</v>
      </c>
      <c r="I5182" s="6">
        <v>880.38</v>
      </c>
      <c r="J5182" s="5">
        <v>6400</v>
      </c>
      <c r="K5182" s="6">
        <f t="shared" si="211"/>
        <v>1.6583747927031509</v>
      </c>
    </row>
    <row r="5183" spans="1:11" hidden="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H5183" s="5">
        <v>810</v>
      </c>
      <c r="I5183" s="6">
        <v>1755.4</v>
      </c>
      <c r="J5183" s="5">
        <v>12800</v>
      </c>
      <c r="K5183" s="6">
        <f t="shared" si="211"/>
        <v>0.46143329155747975</v>
      </c>
    </row>
    <row r="5184" spans="1:11" hidden="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H5184" s="5">
        <v>5740</v>
      </c>
      <c r="I5184" s="6">
        <v>2413.6749943750001</v>
      </c>
      <c r="J5184" s="5">
        <v>17600</v>
      </c>
      <c r="K5184" s="6">
        <f t="shared" si="211"/>
        <v>2.3781163633782114</v>
      </c>
    </row>
    <row r="5185" spans="1:11" hidden="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H5185" s="5">
        <v>3100</v>
      </c>
      <c r="I5185" s="6">
        <v>1645.6875</v>
      </c>
      <c r="J5185" s="5">
        <v>12000</v>
      </c>
      <c r="K5185" s="6">
        <f t="shared" si="211"/>
        <v>1.8837112149177775</v>
      </c>
    </row>
    <row r="5186" spans="1:11" hidden="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H5186" s="5">
        <v>2520</v>
      </c>
      <c r="I5186" s="6">
        <v>726.32013058333712</v>
      </c>
      <c r="J5186" s="5">
        <v>5712</v>
      </c>
      <c r="K5186" s="6">
        <f t="shared" si="211"/>
        <v>3.4695444803052422</v>
      </c>
    </row>
    <row r="5187" spans="1:11" hidden="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H5187" s="5">
        <v>2940</v>
      </c>
      <c r="I5187" s="6">
        <v>924.39958333667107</v>
      </c>
      <c r="J5187" s="5">
        <v>6720</v>
      </c>
      <c r="K5187" s="6">
        <f t="shared" si="211"/>
        <v>3.1804428009237178</v>
      </c>
    </row>
    <row r="5188" spans="1:11" hidden="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H5188" s="5">
        <v>3680</v>
      </c>
      <c r="I5188" s="6">
        <v>1122.485208333339</v>
      </c>
      <c r="J5188" s="5">
        <v>8160</v>
      </c>
      <c r="K5188" s="6">
        <f t="shared" si="211"/>
        <v>3.2784396379387908</v>
      </c>
    </row>
    <row r="5189" spans="1:11" hidden="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H5189" s="5">
        <v>700</v>
      </c>
      <c r="I5189" s="6">
        <v>396.17125000000198</v>
      </c>
      <c r="J5189" s="5">
        <v>2880</v>
      </c>
      <c r="K5189" s="6">
        <f t="shared" si="211"/>
        <v>1.7669126671862143</v>
      </c>
    </row>
    <row r="5190" spans="1:11" hidden="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H5190" s="5">
        <v>4530</v>
      </c>
      <c r="I5190" s="6">
        <v>1535.9749999999999</v>
      </c>
      <c r="J5190" s="5">
        <v>11200</v>
      </c>
      <c r="K5190" s="6">
        <f t="shared" si="211"/>
        <v>2.9492667523885481</v>
      </c>
    </row>
    <row r="5191" spans="1:11" hidden="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H5191" s="5">
        <v>1960</v>
      </c>
      <c r="I5191" s="6">
        <v>1535.9749999999999</v>
      </c>
      <c r="J5191" s="5">
        <v>11200</v>
      </c>
      <c r="K5191" s="6">
        <f t="shared" si="211"/>
        <v>1.2760624359120429</v>
      </c>
    </row>
    <row r="5192" spans="1:11" hidden="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H5192" s="5">
        <v>960</v>
      </c>
      <c r="I5192" s="6">
        <v>594.25687500000299</v>
      </c>
      <c r="J5192" s="5">
        <v>4320</v>
      </c>
      <c r="K5192" s="6">
        <f t="shared" si="211"/>
        <v>1.6154630099988245</v>
      </c>
    </row>
    <row r="5193" spans="1:11" hidden="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H5193" s="5">
        <v>3060</v>
      </c>
      <c r="I5193" s="6">
        <v>2575.1131250013459</v>
      </c>
      <c r="J5193" s="5">
        <v>18720</v>
      </c>
      <c r="K5193" s="6">
        <f t="shared" si="211"/>
        <v>1.1882973102389047</v>
      </c>
    </row>
    <row r="5194" spans="1:11" hidden="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H5194" s="5">
        <v>1980</v>
      </c>
      <c r="I5194" s="6">
        <v>528.37931032368999</v>
      </c>
      <c r="J5194" s="5">
        <v>4000</v>
      </c>
      <c r="K5194" s="6">
        <f t="shared" ref="K5194:K5200" si="212">IFERROR(H5194/I5194,"")</f>
        <v>3.7473079685634056</v>
      </c>
    </row>
    <row r="5195" spans="1:11" hidden="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H5195" s="5">
        <v>5925</v>
      </c>
      <c r="I5195" s="6">
        <v>2272.0310343918732</v>
      </c>
      <c r="J5195" s="5">
        <v>17200</v>
      </c>
      <c r="K5195" s="6">
        <f t="shared" si="212"/>
        <v>2.6077988858043359</v>
      </c>
    </row>
    <row r="5196" spans="1:11" hidden="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H5196" s="5">
        <v>4560</v>
      </c>
      <c r="I5196" s="6">
        <v>1162.4344827121224</v>
      </c>
      <c r="J5196" s="5">
        <v>8800</v>
      </c>
      <c r="K5196" s="6">
        <f t="shared" si="212"/>
        <v>3.9228017301765528</v>
      </c>
    </row>
    <row r="5197" spans="1:11" hidden="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H5197" s="5">
        <v>1470</v>
      </c>
      <c r="I5197" s="6">
        <v>1162.4344827121181</v>
      </c>
      <c r="J5197" s="5">
        <v>8800</v>
      </c>
      <c r="K5197" s="6">
        <f t="shared" si="212"/>
        <v>1.2645873998595514</v>
      </c>
    </row>
    <row r="5198" spans="1:11" hidden="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H5198" s="5">
        <v>2490</v>
      </c>
      <c r="I5198" s="6">
        <v>1056.7586206473827</v>
      </c>
      <c r="J5198" s="5">
        <v>8000</v>
      </c>
      <c r="K5198" s="6">
        <f t="shared" si="212"/>
        <v>2.3562618287178929</v>
      </c>
    </row>
    <row r="5199" spans="1:11" hidden="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H5199" s="5">
        <v>1680</v>
      </c>
      <c r="I5199" s="6">
        <v>1109.596551679753</v>
      </c>
      <c r="J5199" s="5">
        <v>8400</v>
      </c>
      <c r="K5199" s="6">
        <f t="shared" si="212"/>
        <v>1.5140638256821786</v>
      </c>
    </row>
    <row r="5200" spans="1:11" hidden="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H5200" s="5">
        <v>6750</v>
      </c>
      <c r="I5200" s="6">
        <v>1902.1655171652881</v>
      </c>
      <c r="J5200" s="5">
        <v>14400</v>
      </c>
      <c r="K5200" s="6">
        <f t="shared" si="212"/>
        <v>3.5485870914426112</v>
      </c>
    </row>
    <row r="5201" spans="1:11" hidden="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H5201" s="5">
        <v>2025</v>
      </c>
      <c r="I5201" s="6">
        <v>951.10714281909407</v>
      </c>
      <c r="J5201" s="5">
        <v>7200</v>
      </c>
      <c r="K5201" s="6">
        <f t="shared" si="211"/>
        <v>2.1290976682162994</v>
      </c>
    </row>
    <row r="5202" spans="1:11" hidden="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H5202" s="5">
        <v>10440</v>
      </c>
      <c r="I5202" s="6">
        <v>3804.4285712763772</v>
      </c>
      <c r="J5202" s="5">
        <v>28800</v>
      </c>
      <c r="K5202" s="6">
        <f t="shared" si="211"/>
        <v>2.7441703279232295</v>
      </c>
    </row>
    <row r="5203" spans="1:11" hidden="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H5203" s="5">
        <v>5790</v>
      </c>
      <c r="I5203" s="6">
        <v>2641.8965516184649</v>
      </c>
      <c r="J5203" s="5">
        <v>20000</v>
      </c>
      <c r="K5203" s="6">
        <f t="shared" si="211"/>
        <v>2.1916073876749489</v>
      </c>
    </row>
    <row r="5204" spans="1:11" hidden="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H5204" s="5">
        <v>7890</v>
      </c>
      <c r="I5204" s="6">
        <v>3592.9793102010913</v>
      </c>
      <c r="J5204" s="5">
        <v>26044</v>
      </c>
      <c r="K5204" s="6">
        <f t="shared" si="211"/>
        <v>2.1959491883515505</v>
      </c>
    </row>
    <row r="5205" spans="1:11" hidden="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H5205" s="5">
        <v>2300</v>
      </c>
      <c r="I5205" s="6">
        <v>1268.1103447768633</v>
      </c>
      <c r="J5205" s="5">
        <v>9600</v>
      </c>
      <c r="K5205" s="6">
        <f t="shared" si="211"/>
        <v>1.8137222911817725</v>
      </c>
    </row>
    <row r="5206" spans="1:11" hidden="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H5206" s="5">
        <v>850</v>
      </c>
      <c r="I5206" s="6">
        <v>528.37931032368999</v>
      </c>
      <c r="J5206" s="5">
        <v>4000</v>
      </c>
      <c r="K5206" s="6">
        <f t="shared" si="211"/>
        <v>1.6086928147873205</v>
      </c>
    </row>
    <row r="5207" spans="1:11" hidden="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H5207" s="5">
        <v>3570</v>
      </c>
      <c r="I5207" s="6">
        <v>1162.4344827121247</v>
      </c>
      <c r="J5207" s="5">
        <v>8800</v>
      </c>
      <c r="K5207" s="6">
        <f t="shared" si="211"/>
        <v>3.0711408282303214</v>
      </c>
    </row>
    <row r="5208" spans="1:11" hidden="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H5208" s="5">
        <v>1440</v>
      </c>
      <c r="I5208" s="6">
        <v>528.3915024419166</v>
      </c>
      <c r="J5208" s="5">
        <v>4000</v>
      </c>
      <c r="K5208" s="6">
        <f t="shared" si="211"/>
        <v>2.7252520022467466</v>
      </c>
    </row>
    <row r="5209" spans="1:11" hidden="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H5209" s="5">
        <v>6990</v>
      </c>
      <c r="I5209" s="6">
        <v>3910.1071427007282</v>
      </c>
      <c r="J5209" s="5">
        <v>29260</v>
      </c>
      <c r="K5209" s="6">
        <f t="shared" si="211"/>
        <v>1.7876747988987269</v>
      </c>
    </row>
    <row r="5210" spans="1:11" hidden="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H5210" s="5">
        <v>3200</v>
      </c>
      <c r="I5210" s="6">
        <v>1902.2142856381945</v>
      </c>
      <c r="J5210" s="5">
        <v>14400</v>
      </c>
      <c r="K5210" s="6">
        <f t="shared" si="211"/>
        <v>1.6822500094548483</v>
      </c>
    </row>
    <row r="5211" spans="1:11" hidden="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H5211" s="5">
        <v>2640</v>
      </c>
      <c r="I5211" s="6">
        <v>1162.4642856677858</v>
      </c>
      <c r="J5211" s="5">
        <v>8800</v>
      </c>
      <c r="K5211" s="6">
        <f t="shared" si="211"/>
        <v>2.2710375127640443</v>
      </c>
    </row>
    <row r="5212" spans="1:11" hidden="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H5212" s="5">
        <v>1470</v>
      </c>
      <c r="I5212" s="6">
        <v>317.03571427303262</v>
      </c>
      <c r="J5212" s="5">
        <v>2400</v>
      </c>
      <c r="K5212" s="6">
        <f t="shared" si="211"/>
        <v>4.6367015885599221</v>
      </c>
    </row>
    <row r="5213" spans="1:11" hidden="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H5213" s="5">
        <v>1025</v>
      </c>
      <c r="I5213" s="6">
        <v>951.10714281875391</v>
      </c>
      <c r="J5213" s="5">
        <v>7200</v>
      </c>
      <c r="K5213" s="6">
        <f t="shared" si="211"/>
        <v>1.0776914123074011</v>
      </c>
    </row>
    <row r="5214" spans="1:11" hidden="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H5214" s="5">
        <v>1750</v>
      </c>
      <c r="I5214" s="6">
        <v>898.26785710660101</v>
      </c>
      <c r="J5214" s="5">
        <v>6800</v>
      </c>
      <c r="K5214" s="6">
        <f t="shared" si="211"/>
        <v>1.9481939447737808</v>
      </c>
    </row>
    <row r="5215" spans="1:11" hidden="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H5215" s="5">
        <v>2300</v>
      </c>
      <c r="I5215" s="6">
        <v>1162.4642856673661</v>
      </c>
      <c r="J5215" s="5">
        <v>8800</v>
      </c>
      <c r="K5215" s="6">
        <f t="shared" si="211"/>
        <v>1.9785554088481774</v>
      </c>
    </row>
    <row r="5216" spans="1:11" hidden="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H5216" s="5">
        <v>2250</v>
      </c>
      <c r="I5216" s="6">
        <v>686.91071425798896</v>
      </c>
      <c r="J5216" s="5">
        <v>5200</v>
      </c>
      <c r="K5216" s="6">
        <f t="shared" si="211"/>
        <v>3.2755348741800936</v>
      </c>
    </row>
    <row r="5217" spans="1:11" hidden="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H5217" s="5">
        <v>1275</v>
      </c>
      <c r="I5217" s="6">
        <v>845.428571394752</v>
      </c>
      <c r="J5217" s="5">
        <v>6400</v>
      </c>
      <c r="K5217" s="6">
        <f t="shared" si="211"/>
        <v>1.5081108483198757</v>
      </c>
    </row>
    <row r="5218" spans="1:11" hidden="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H5218" s="5">
        <v>8200</v>
      </c>
      <c r="I5218" s="6">
        <v>3910.1071427007355</v>
      </c>
      <c r="J5218" s="5">
        <v>29600</v>
      </c>
      <c r="K5218" s="6">
        <f t="shared" si="211"/>
        <v>2.0971292347595898</v>
      </c>
    </row>
    <row r="5219" spans="1:11" hidden="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H5219" s="5">
        <v>9175</v>
      </c>
      <c r="I5219" s="6">
        <v>4015.7857141250793</v>
      </c>
      <c r="J5219" s="5">
        <v>30400</v>
      </c>
      <c r="K5219" s="6">
        <f t="shared" si="211"/>
        <v>2.2847334626765465</v>
      </c>
    </row>
    <row r="5220" spans="1:11" hidden="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H5220" s="5">
        <v>10950</v>
      </c>
      <c r="I5220" s="6">
        <v>2747.5751230427709</v>
      </c>
      <c r="J5220" s="5">
        <v>20800</v>
      </c>
      <c r="K5220" s="6">
        <f t="shared" si="211"/>
        <v>3.985332342022935</v>
      </c>
    </row>
    <row r="5221" spans="1:11" hidden="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H5221" s="5">
        <v>1440</v>
      </c>
      <c r="I5221" s="6">
        <v>1056.75862064738</v>
      </c>
      <c r="J5221" s="5">
        <v>9600</v>
      </c>
      <c r="K5221" s="6">
        <f t="shared" si="211"/>
        <v>1.3626574431139657</v>
      </c>
    </row>
    <row r="5222" spans="1:11" hidden="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H5222" s="5">
        <v>475</v>
      </c>
      <c r="I5222" s="6">
        <v>369.86551722658481</v>
      </c>
      <c r="J5222" s="5">
        <v>3080</v>
      </c>
      <c r="K5222" s="6">
        <f t="shared" si="211"/>
        <v>1.2842505664268462</v>
      </c>
    </row>
    <row r="5223" spans="1:11" hidden="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H5223" s="5">
        <v>12840</v>
      </c>
      <c r="I5223" s="6">
        <v>3592.9793102011122</v>
      </c>
      <c r="J5223" s="5">
        <v>27820</v>
      </c>
      <c r="K5223" s="6">
        <f t="shared" si="211"/>
        <v>3.5736359414998407</v>
      </c>
    </row>
    <row r="5224" spans="1:11" hidden="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H5224" s="5">
        <v>3210</v>
      </c>
      <c r="I5224" s="6">
        <v>1585.2222221588099</v>
      </c>
      <c r="J5224" s="5">
        <v>11490</v>
      </c>
      <c r="K5224" s="6">
        <f t="shared" si="211"/>
        <v>2.0249526881023105</v>
      </c>
    </row>
    <row r="5225" spans="1:11" hidden="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H5225" s="5">
        <v>5190</v>
      </c>
      <c r="I5225" s="6">
        <v>2219.311111022334</v>
      </c>
      <c r="J5225" s="5">
        <v>16800</v>
      </c>
      <c r="K5225" s="6">
        <f t="shared" si="211"/>
        <v>2.3385635183024012</v>
      </c>
    </row>
    <row r="5226" spans="1:11" hidden="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H5226" s="5">
        <v>6475</v>
      </c>
      <c r="I5226" s="6">
        <v>2959.0814813631118</v>
      </c>
      <c r="J5226" s="5">
        <v>22400</v>
      </c>
      <c r="K5226" s="6">
        <f t="shared" si="211"/>
        <v>2.1881790145965385</v>
      </c>
    </row>
    <row r="5227" spans="1:11" hidden="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H5227" s="5">
        <v>0</v>
      </c>
      <c r="I5227" s="6">
        <v>1796.5851851133182</v>
      </c>
      <c r="J5227" s="5">
        <v>13600</v>
      </c>
      <c r="K5227" s="6">
        <f t="shared" si="211"/>
        <v>0</v>
      </c>
    </row>
    <row r="5228" spans="1:11" hidden="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H5228" s="5">
        <v>3300</v>
      </c>
      <c r="I5228" s="6">
        <v>1912.3542857142861</v>
      </c>
      <c r="J5228" s="5">
        <v>16320</v>
      </c>
      <c r="K5228" s="6">
        <f t="shared" si="211"/>
        <v>1.7256216720153466</v>
      </c>
    </row>
    <row r="5229" spans="1:11" hidden="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H5229" s="5">
        <v>3360</v>
      </c>
      <c r="I5229" s="6">
        <v>2812.2857142428579</v>
      </c>
      <c r="J5229" s="5">
        <v>20000</v>
      </c>
      <c r="K5229" s="6">
        <f t="shared" si="211"/>
        <v>1.1947576958426507</v>
      </c>
    </row>
    <row r="5230" spans="1:11" hidden="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H5230" s="5">
        <v>4200</v>
      </c>
      <c r="I5230" s="6">
        <v>1768.8376470588223</v>
      </c>
      <c r="J5230" s="5">
        <v>12800</v>
      </c>
      <c r="K5230" s="6">
        <f t="shared" si="211"/>
        <v>2.3744406429745837</v>
      </c>
    </row>
    <row r="5231" spans="1:11" hidden="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H5231" s="5">
        <v>4660</v>
      </c>
      <c r="I5231" s="6">
        <v>2263.7999998868127</v>
      </c>
      <c r="J5231" s="5">
        <v>17920</v>
      </c>
      <c r="K5231" s="6">
        <f t="shared" si="211"/>
        <v>2.0584857320580414</v>
      </c>
    </row>
    <row r="5232" spans="1:11" hidden="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H5232" s="5">
        <v>1200</v>
      </c>
      <c r="I5232" s="6">
        <v>994.97117647058747</v>
      </c>
      <c r="J5232" s="5">
        <v>7200</v>
      </c>
      <c r="K5232" s="6">
        <f t="shared" si="211"/>
        <v>1.2060650884950268</v>
      </c>
    </row>
    <row r="5233" spans="1:11" hidden="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H5233" s="5">
        <v>1560</v>
      </c>
      <c r="I5233" s="6">
        <v>994.97117647058747</v>
      </c>
      <c r="J5233" s="5">
        <v>7920</v>
      </c>
      <c r="K5233" s="6">
        <f t="shared" si="211"/>
        <v>1.5678846150435348</v>
      </c>
    </row>
    <row r="5234" spans="1:11" hidden="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H5234" s="5">
        <v>4575</v>
      </c>
      <c r="I5234" s="6">
        <v>2263.7999998868127</v>
      </c>
      <c r="J5234" s="5">
        <v>17920</v>
      </c>
      <c r="K5234" s="6">
        <f t="shared" ref="K5234:K5297" si="214">+H5234/I5234</f>
        <v>2.0209382455290861</v>
      </c>
    </row>
    <row r="5235" spans="1:11" hidden="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H5235" s="5">
        <v>19320</v>
      </c>
      <c r="I5235" s="6">
        <v>6727.0499997982479</v>
      </c>
      <c r="J5235" s="5">
        <v>49210</v>
      </c>
      <c r="K5235" s="6">
        <f t="shared" si="214"/>
        <v>2.8719869780333771</v>
      </c>
    </row>
    <row r="5236" spans="1:11" hidden="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H5236" s="5">
        <v>1590</v>
      </c>
      <c r="I5236" s="6">
        <v>994.95</v>
      </c>
      <c r="J5236" s="5">
        <v>7200</v>
      </c>
      <c r="K5236" s="6">
        <f t="shared" si="214"/>
        <v>1.5980702547866725</v>
      </c>
    </row>
    <row r="5237" spans="1:11" hidden="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H5237" s="5">
        <v>2000</v>
      </c>
      <c r="I5237" s="6">
        <v>831.6</v>
      </c>
      <c r="J5237" s="5">
        <v>6300</v>
      </c>
      <c r="K5237" s="6">
        <f t="shared" si="214"/>
        <v>2.405002405002405</v>
      </c>
    </row>
    <row r="5238" spans="1:11" hidden="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H5238" s="5">
        <v>3050</v>
      </c>
      <c r="I5238" s="6">
        <v>1267.2</v>
      </c>
      <c r="J5238" s="5">
        <v>9600</v>
      </c>
      <c r="K5238" s="6">
        <f t="shared" si="214"/>
        <v>2.4068813131313131</v>
      </c>
    </row>
    <row r="5239" spans="1:11" hidden="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H5239" s="5">
        <v>390</v>
      </c>
      <c r="I5239" s="6">
        <v>316.8</v>
      </c>
      <c r="J5239" s="5">
        <v>2400</v>
      </c>
      <c r="K5239" s="6">
        <f t="shared" si="214"/>
        <v>1.231060606060606</v>
      </c>
    </row>
    <row r="5240" spans="1:11" hidden="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H5240" s="5">
        <v>9720</v>
      </c>
      <c r="I5240" s="6">
        <v>3603.6</v>
      </c>
      <c r="J5240" s="5">
        <v>27296</v>
      </c>
      <c r="K5240" s="6">
        <f t="shared" si="214"/>
        <v>2.6973026973026974</v>
      </c>
    </row>
    <row r="5241" spans="1:11" hidden="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H5241" s="5">
        <v>5925</v>
      </c>
      <c r="I5241" s="6">
        <v>3682.8</v>
      </c>
      <c r="J5241" s="5">
        <v>27900</v>
      </c>
      <c r="K5241" s="6">
        <f t="shared" si="214"/>
        <v>1.6088302378624959</v>
      </c>
    </row>
    <row r="5242" spans="1:11" hidden="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H5242" s="5">
        <v>4300</v>
      </c>
      <c r="I5242" s="6">
        <v>2376</v>
      </c>
      <c r="J5242" s="5">
        <v>18000</v>
      </c>
      <c r="K5242" s="6">
        <f t="shared" si="214"/>
        <v>1.8097643097643097</v>
      </c>
    </row>
    <row r="5243" spans="1:11" hidden="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H5243" s="5">
        <v>960</v>
      </c>
      <c r="I5243" s="6">
        <v>950.4</v>
      </c>
      <c r="J5243" s="5">
        <v>7200</v>
      </c>
      <c r="K5243" s="6">
        <f t="shared" si="214"/>
        <v>1.0101010101010102</v>
      </c>
    </row>
    <row r="5244" spans="1:11" hidden="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H5244" s="5">
        <v>3100</v>
      </c>
      <c r="I5244" s="6">
        <v>1346.4</v>
      </c>
      <c r="J5244" s="5">
        <v>10200</v>
      </c>
      <c r="K5244" s="6">
        <f t="shared" si="214"/>
        <v>2.3024361259655377</v>
      </c>
    </row>
    <row r="5245" spans="1:11" hidden="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H5245" s="5">
        <v>5400</v>
      </c>
      <c r="I5245" s="6">
        <v>2851.2</v>
      </c>
      <c r="J5245" s="5">
        <v>21600</v>
      </c>
      <c r="K5245" s="6">
        <f t="shared" si="214"/>
        <v>1.893939393939394</v>
      </c>
    </row>
    <row r="5246" spans="1:11" hidden="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H5246" s="5">
        <v>4500</v>
      </c>
      <c r="I5246" s="6">
        <v>2138.4</v>
      </c>
      <c r="J5246" s="5">
        <v>16200</v>
      </c>
      <c r="K5246" s="6">
        <f t="shared" si="214"/>
        <v>2.1043771043771042</v>
      </c>
    </row>
    <row r="5247" spans="1:11" hidden="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H5247" s="5">
        <v>2500</v>
      </c>
      <c r="I5247" s="6">
        <v>963.6</v>
      </c>
      <c r="J5247" s="5">
        <v>7570</v>
      </c>
      <c r="K5247" s="6">
        <f t="shared" si="214"/>
        <v>2.5944375259443753</v>
      </c>
    </row>
    <row r="5248" spans="1:11" hidden="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H5248" s="5">
        <v>7325</v>
      </c>
      <c r="I5248" s="6">
        <v>3168</v>
      </c>
      <c r="J5248" s="5">
        <v>24000</v>
      </c>
      <c r="K5248" s="6">
        <f t="shared" si="214"/>
        <v>2.3121843434343434</v>
      </c>
    </row>
    <row r="5249" spans="1:11" hidden="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H5249" s="5">
        <v>2640</v>
      </c>
      <c r="I5249" s="6">
        <v>1188</v>
      </c>
      <c r="J5249" s="5">
        <v>9000</v>
      </c>
      <c r="K5249" s="6">
        <f t="shared" si="214"/>
        <v>2.2222222222222223</v>
      </c>
    </row>
    <row r="5250" spans="1:11" hidden="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H5250" s="5">
        <v>5275</v>
      </c>
      <c r="I5250" s="6">
        <v>2732.4</v>
      </c>
      <c r="J5250" s="5">
        <v>20700</v>
      </c>
      <c r="K5250" s="6">
        <f t="shared" si="214"/>
        <v>1.9305372566242132</v>
      </c>
    </row>
    <row r="5251" spans="1:11" hidden="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H5251" s="5">
        <v>1290</v>
      </c>
      <c r="I5251" s="6">
        <v>673.2</v>
      </c>
      <c r="J5251" s="5">
        <v>5100</v>
      </c>
      <c r="K5251" s="6">
        <f t="shared" si="214"/>
        <v>1.9162210338680925</v>
      </c>
    </row>
    <row r="5252" spans="1:11" hidden="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H5252" s="5">
        <v>2125</v>
      </c>
      <c r="I5252" s="6">
        <v>1100.4749999999999</v>
      </c>
      <c r="J5252" s="5">
        <v>8000</v>
      </c>
      <c r="K5252" s="6">
        <f t="shared" si="214"/>
        <v>1.9309843476680526</v>
      </c>
    </row>
    <row r="5253" spans="1:11" hidden="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H5253" s="5">
        <v>1750</v>
      </c>
      <c r="I5253" s="6">
        <v>1287</v>
      </c>
      <c r="J5253" s="5">
        <v>9400</v>
      </c>
      <c r="K5253" s="6">
        <f t="shared" si="214"/>
        <v>1.3597513597513597</v>
      </c>
    </row>
    <row r="5254" spans="1:11" hidden="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H5254" s="5">
        <v>5520</v>
      </c>
      <c r="I5254" s="6">
        <v>2641.14</v>
      </c>
      <c r="J5254" s="5">
        <v>19200</v>
      </c>
      <c r="K5254" s="6">
        <f t="shared" si="214"/>
        <v>2.0900065880642451</v>
      </c>
    </row>
    <row r="5255" spans="1:11" hidden="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H5255" s="5">
        <v>4860</v>
      </c>
      <c r="I5255" s="6">
        <v>2641.14</v>
      </c>
      <c r="J5255" s="5">
        <v>19200</v>
      </c>
      <c r="K5255" s="6">
        <f t="shared" si="214"/>
        <v>1.8401144960130853</v>
      </c>
    </row>
    <row r="5256" spans="1:11" hidden="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H5256" s="5">
        <v>3330</v>
      </c>
      <c r="I5256" s="6">
        <v>1430.6174906250001</v>
      </c>
      <c r="J5256" s="5">
        <v>10400</v>
      </c>
      <c r="K5256" s="6">
        <f t="shared" si="214"/>
        <v>2.3276662153383909</v>
      </c>
    </row>
    <row r="5257" spans="1:11" hidden="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H5257" s="5">
        <v>2070</v>
      </c>
      <c r="I5257" s="6">
        <v>1430.6175000000001</v>
      </c>
      <c r="J5257" s="5">
        <v>10400</v>
      </c>
      <c r="K5257" s="6">
        <f t="shared" si="214"/>
        <v>1.4469276378906311</v>
      </c>
    </row>
    <row r="5258" spans="1:11" hidden="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H5258" s="5">
        <v>4710</v>
      </c>
      <c r="I5258" s="6">
        <v>2861.2350000000001</v>
      </c>
      <c r="J5258" s="5">
        <v>20800</v>
      </c>
      <c r="K5258" s="6">
        <f t="shared" si="214"/>
        <v>1.6461423126726744</v>
      </c>
    </row>
    <row r="5259" spans="1:11" hidden="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H5259" s="5">
        <v>4700</v>
      </c>
      <c r="I5259" s="6">
        <v>3071.9505625000002</v>
      </c>
      <c r="J5259" s="5">
        <v>22400</v>
      </c>
      <c r="K5259" s="6">
        <f t="shared" si="214"/>
        <v>1.5299725384171119</v>
      </c>
    </row>
    <row r="5260" spans="1:11" hidden="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H5260" s="5">
        <v>3700</v>
      </c>
      <c r="I5260" s="6">
        <v>1097.125</v>
      </c>
      <c r="J5260" s="5">
        <v>8000</v>
      </c>
      <c r="K5260" s="6">
        <f t="shared" si="214"/>
        <v>3.3724507234818275</v>
      </c>
    </row>
    <row r="5261" spans="1:11" hidden="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H5261" s="5">
        <v>5300</v>
      </c>
      <c r="I5261" s="6">
        <v>2852.5250000000001</v>
      </c>
      <c r="J5261" s="5">
        <v>20800</v>
      </c>
      <c r="K5261" s="6">
        <f t="shared" si="214"/>
        <v>1.8580029973444578</v>
      </c>
    </row>
    <row r="5262" spans="1:11" hidden="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H5262" s="5">
        <v>4320</v>
      </c>
      <c r="I5262" s="6">
        <v>2633.1</v>
      </c>
      <c r="J5262" s="5">
        <v>19200</v>
      </c>
      <c r="K5262" s="6">
        <f t="shared" si="214"/>
        <v>1.6406517033154837</v>
      </c>
    </row>
    <row r="5263" spans="1:11" hidden="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H5263" s="5">
        <v>3990</v>
      </c>
      <c r="I5263" s="6">
        <v>2633.1</v>
      </c>
      <c r="J5263" s="5">
        <v>19200</v>
      </c>
      <c r="K5263" s="6">
        <f t="shared" si="214"/>
        <v>1.5153241426455508</v>
      </c>
    </row>
    <row r="5264" spans="1:11" hidden="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H5264" s="5">
        <v>6060</v>
      </c>
      <c r="I5264" s="6">
        <v>2852.5250000000001</v>
      </c>
      <c r="J5264" s="5">
        <v>20800</v>
      </c>
      <c r="K5264" s="6">
        <f t="shared" si="214"/>
        <v>2.1244336158315877</v>
      </c>
    </row>
    <row r="5265" spans="1:11" hidden="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H5265" s="5">
        <v>7680</v>
      </c>
      <c r="I5265" s="6">
        <v>2852.5250000000001</v>
      </c>
      <c r="J5265" s="5">
        <v>20800</v>
      </c>
      <c r="K5265" s="6">
        <f t="shared" si="214"/>
        <v>2.6923515131331013</v>
      </c>
    </row>
    <row r="5266" spans="1:11" hidden="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H5266" s="5">
        <v>3375</v>
      </c>
      <c r="I5266" s="6">
        <v>3071.95</v>
      </c>
      <c r="J5266" s="5">
        <v>22400</v>
      </c>
      <c r="K5266" s="6">
        <f t="shared" si="214"/>
        <v>1.0986506941844758</v>
      </c>
    </row>
    <row r="5267" spans="1:11" hidden="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H5267" s="5">
        <v>3125</v>
      </c>
      <c r="I5267" s="6">
        <v>1645.6875</v>
      </c>
      <c r="J5267" s="5">
        <v>12000</v>
      </c>
      <c r="K5267" s="6">
        <f t="shared" si="214"/>
        <v>1.8989024343929208</v>
      </c>
    </row>
    <row r="5268" spans="1:11" hidden="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H5268" s="5">
        <v>13880</v>
      </c>
      <c r="I5268" s="6">
        <v>4121.4642855494085</v>
      </c>
      <c r="J5268" s="5">
        <v>31200</v>
      </c>
      <c r="K5268" s="6">
        <f t="shared" si="214"/>
        <v>3.3677351150817354</v>
      </c>
    </row>
    <row r="5269" spans="1:11" hidden="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H5269" s="5">
        <v>2085</v>
      </c>
      <c r="I5269" s="6">
        <v>1056.7857142434418</v>
      </c>
      <c r="J5269" s="5">
        <v>8000</v>
      </c>
      <c r="K5269" s="6">
        <f t="shared" si="214"/>
        <v>1.9729638392137634</v>
      </c>
    </row>
    <row r="5270" spans="1:11" hidden="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H5270" s="5">
        <v>8190</v>
      </c>
      <c r="I5270" s="6">
        <v>2641.9642856076484</v>
      </c>
      <c r="J5270" s="5">
        <v>19996</v>
      </c>
      <c r="K5270" s="6">
        <f t="shared" si="214"/>
        <v>3.099966204924042</v>
      </c>
    </row>
    <row r="5271" spans="1:11" hidden="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H5271" s="5">
        <v>2420</v>
      </c>
      <c r="I5271" s="6">
        <v>528.39285712153003</v>
      </c>
      <c r="J5271" s="5">
        <v>4000</v>
      </c>
      <c r="K5271" s="6">
        <f t="shared" si="214"/>
        <v>4.579925650742477</v>
      </c>
    </row>
    <row r="5272" spans="1:11" hidden="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H5272" s="5">
        <v>6150</v>
      </c>
      <c r="I5272" s="6">
        <v>1902.2142856375078</v>
      </c>
      <c r="J5272" s="5">
        <v>14400</v>
      </c>
      <c r="K5272" s="6">
        <f t="shared" si="214"/>
        <v>3.2330742369222034</v>
      </c>
    </row>
    <row r="5273" spans="1:11" hidden="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H5273" s="5">
        <v>1460</v>
      </c>
      <c r="I5273" s="6">
        <v>634.05652706821195</v>
      </c>
      <c r="J5273" s="5">
        <v>4800</v>
      </c>
      <c r="K5273" s="6">
        <f t="shared" si="214"/>
        <v>2.3026338152385786</v>
      </c>
    </row>
    <row r="5274" spans="1:11" hidden="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H5274" s="5">
        <v>16620</v>
      </c>
      <c r="I5274" s="6">
        <v>4487.9999999102474</v>
      </c>
      <c r="J5274" s="5">
        <v>31740</v>
      </c>
      <c r="K5274" s="6">
        <f t="shared" si="214"/>
        <v>3.7032085562237906</v>
      </c>
    </row>
    <row r="5275" spans="1:11" hidden="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H5275" s="5">
        <v>4250</v>
      </c>
      <c r="I5275" s="6">
        <v>1702.8</v>
      </c>
      <c r="J5275" s="5">
        <v>12900</v>
      </c>
      <c r="K5275" s="6">
        <f t="shared" si="214"/>
        <v>2.4958891237961005</v>
      </c>
    </row>
    <row r="5276" spans="1:11" hidden="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H5276" s="5">
        <v>5800</v>
      </c>
      <c r="I5276" s="6">
        <v>3009.6</v>
      </c>
      <c r="J5276" s="5">
        <v>22800</v>
      </c>
      <c r="K5276" s="6">
        <f t="shared" si="214"/>
        <v>1.9271664008506115</v>
      </c>
    </row>
    <row r="5277" spans="1:11" hidden="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H5277" s="5">
        <v>4080</v>
      </c>
      <c r="I5277" s="6">
        <v>1386</v>
      </c>
      <c r="J5277" s="5">
        <v>10500</v>
      </c>
      <c r="K5277" s="6">
        <f t="shared" si="214"/>
        <v>2.9437229437229435</v>
      </c>
    </row>
    <row r="5278" spans="1:11" hidden="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H5278" s="5">
        <v>3840</v>
      </c>
      <c r="I5278" s="6">
        <v>1386</v>
      </c>
      <c r="J5278" s="5">
        <v>10500</v>
      </c>
      <c r="K5278" s="6">
        <f t="shared" si="214"/>
        <v>2.7705627705627704</v>
      </c>
    </row>
    <row r="5279" spans="1:11" hidden="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H5279" s="5">
        <v>1075</v>
      </c>
      <c r="I5279" s="6">
        <v>1029.5999999999999</v>
      </c>
      <c r="J5279" s="5">
        <v>7800</v>
      </c>
      <c r="K5279" s="6">
        <f t="shared" si="214"/>
        <v>1.0440947940947942</v>
      </c>
    </row>
    <row r="5280" spans="1:11" hidden="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H5280" s="5">
        <v>4100</v>
      </c>
      <c r="I5280" s="6">
        <v>2653.2</v>
      </c>
      <c r="J5280" s="5">
        <v>20100</v>
      </c>
      <c r="K5280" s="6">
        <f t="shared" si="214"/>
        <v>1.5453037841097543</v>
      </c>
    </row>
    <row r="5281" spans="1:11" hidden="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H5281" s="5">
        <v>5220</v>
      </c>
      <c r="I5281" s="6">
        <v>1768.8</v>
      </c>
      <c r="J5281" s="5">
        <v>13400</v>
      </c>
      <c r="K5281" s="6">
        <f t="shared" si="214"/>
        <v>2.9511533242876529</v>
      </c>
    </row>
    <row r="5282" spans="1:11" hidden="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H5282" s="5">
        <v>2310</v>
      </c>
      <c r="I5282" s="6">
        <v>1029.5999999999999</v>
      </c>
      <c r="J5282" s="5">
        <v>7800</v>
      </c>
      <c r="K5282" s="6">
        <f t="shared" si="214"/>
        <v>2.2435897435897436</v>
      </c>
    </row>
    <row r="5283" spans="1:11" hidden="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H5283" s="5">
        <v>3900</v>
      </c>
      <c r="I5283" s="6">
        <v>1346.4</v>
      </c>
      <c r="J5283" s="5">
        <v>10200</v>
      </c>
      <c r="K5283" s="6">
        <f t="shared" si="214"/>
        <v>2.8966131907308377</v>
      </c>
    </row>
    <row r="5284" spans="1:11" hidden="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H5284" s="5">
        <v>810</v>
      </c>
      <c r="I5284" s="6">
        <v>440.18999062500001</v>
      </c>
      <c r="J5284" s="5">
        <v>3200</v>
      </c>
      <c r="K5284" s="6">
        <f t="shared" si="214"/>
        <v>1.840114535203148</v>
      </c>
    </row>
    <row r="5285" spans="1:11" hidden="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H5285" s="5">
        <v>2200</v>
      </c>
      <c r="I5285" s="6">
        <v>880.38</v>
      </c>
      <c r="J5285" s="5">
        <v>6400</v>
      </c>
      <c r="K5285" s="6">
        <f t="shared" si="214"/>
        <v>2.4989209205115972</v>
      </c>
    </row>
    <row r="5286" spans="1:11" hidden="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H5286" s="5">
        <v>950</v>
      </c>
      <c r="I5286" s="6">
        <v>330.14249999999998</v>
      </c>
      <c r="J5286" s="5">
        <v>2400</v>
      </c>
      <c r="K5286" s="6">
        <f t="shared" si="214"/>
        <v>2.8775453024072939</v>
      </c>
    </row>
    <row r="5287" spans="1:11" hidden="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H5287" s="5">
        <v>3250</v>
      </c>
      <c r="I5287" s="6">
        <v>1430.6175000000001</v>
      </c>
      <c r="J5287" s="5">
        <v>10400</v>
      </c>
      <c r="K5287" s="6">
        <f t="shared" si="214"/>
        <v>2.2717462913741793</v>
      </c>
    </row>
    <row r="5288" spans="1:11" hidden="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H5288" s="5">
        <v>0</v>
      </c>
      <c r="I5288" s="6">
        <v>220.095</v>
      </c>
      <c r="J5288" s="5">
        <v>1600</v>
      </c>
      <c r="K5288" s="6">
        <f t="shared" si="214"/>
        <v>0</v>
      </c>
    </row>
    <row r="5289" spans="1:11" hidden="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H5289" s="5">
        <v>2260</v>
      </c>
      <c r="I5289" s="6">
        <v>1287.0000000000018</v>
      </c>
      <c r="J5289" s="5">
        <v>9400</v>
      </c>
      <c r="K5289" s="6">
        <f t="shared" si="214"/>
        <v>1.7560217560217535</v>
      </c>
    </row>
    <row r="5290" spans="1:11" hidden="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H5290" s="5">
        <v>6725</v>
      </c>
      <c r="I5290" s="6">
        <v>2641.14</v>
      </c>
      <c r="J5290" s="5">
        <v>19200</v>
      </c>
      <c r="K5290" s="6">
        <f t="shared" si="214"/>
        <v>2.5462489682485594</v>
      </c>
    </row>
    <row r="5291" spans="1:11" hidden="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H5291" s="5">
        <v>2190</v>
      </c>
      <c r="I5291" s="6">
        <v>880.38</v>
      </c>
      <c r="J5291" s="5">
        <v>6400</v>
      </c>
      <c r="K5291" s="6">
        <f t="shared" si="214"/>
        <v>2.4875621890547266</v>
      </c>
    </row>
    <row r="5292" spans="1:11" hidden="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H5292" s="5">
        <v>1380</v>
      </c>
      <c r="I5292" s="6">
        <v>880.38</v>
      </c>
      <c r="J5292" s="5">
        <v>6400</v>
      </c>
      <c r="K5292" s="6">
        <f t="shared" si="214"/>
        <v>1.5675049410481838</v>
      </c>
    </row>
    <row r="5293" spans="1:11" hidden="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H5293" s="5">
        <v>700</v>
      </c>
      <c r="I5293" s="6">
        <v>1755.4</v>
      </c>
      <c r="J5293" s="5">
        <v>12800</v>
      </c>
      <c r="K5293" s="6">
        <f t="shared" si="214"/>
        <v>0.39876951122251336</v>
      </c>
    </row>
    <row r="5294" spans="1:11" hidden="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H5294" s="5">
        <v>7660</v>
      </c>
      <c r="I5294" s="6">
        <v>2413.6749943750001</v>
      </c>
      <c r="J5294" s="5">
        <v>17600</v>
      </c>
      <c r="K5294" s="6">
        <f t="shared" si="214"/>
        <v>3.1735838577486235</v>
      </c>
    </row>
    <row r="5295" spans="1:11" hidden="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H5295" s="5">
        <v>4540</v>
      </c>
      <c r="I5295" s="6">
        <v>1645.6875</v>
      </c>
      <c r="J5295" s="5">
        <v>12000</v>
      </c>
      <c r="K5295" s="6">
        <f t="shared" si="214"/>
        <v>2.7587254566860353</v>
      </c>
    </row>
    <row r="5296" spans="1:11" hidden="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H5296" s="5">
        <v>2840</v>
      </c>
      <c r="I5296" s="6">
        <v>726.32013058333712</v>
      </c>
      <c r="J5296" s="5">
        <v>5712</v>
      </c>
      <c r="K5296" s="6">
        <f t="shared" si="214"/>
        <v>3.9101215571693997</v>
      </c>
    </row>
    <row r="5297" spans="1:11" hidden="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H5297" s="5">
        <v>2340</v>
      </c>
      <c r="I5297" s="6">
        <v>924.39958333667107</v>
      </c>
      <c r="J5297" s="5">
        <v>6720</v>
      </c>
      <c r="K5297" s="6">
        <f t="shared" si="214"/>
        <v>2.5313728415515304</v>
      </c>
    </row>
    <row r="5298" spans="1:11" hidden="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H5298" s="5">
        <v>4980</v>
      </c>
      <c r="I5298" s="6">
        <v>1122.485208333339</v>
      </c>
      <c r="J5298" s="5">
        <v>8160</v>
      </c>
      <c r="K5298" s="6">
        <f t="shared" ref="K5298:K5360" si="216">+H5298/I5298</f>
        <v>4.4365840752541246</v>
      </c>
    </row>
    <row r="5299" spans="1:11" hidden="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H5299" s="5">
        <v>560</v>
      </c>
      <c r="I5299" s="6">
        <v>396.17125000000198</v>
      </c>
      <c r="J5299" s="5">
        <v>2880</v>
      </c>
      <c r="K5299" s="6">
        <f t="shared" si="216"/>
        <v>1.4135301337489714</v>
      </c>
    </row>
    <row r="5300" spans="1:11" hidden="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H5300" s="5">
        <v>6360</v>
      </c>
      <c r="I5300" s="6">
        <v>1535.9749999999999</v>
      </c>
      <c r="J5300" s="5">
        <v>11200</v>
      </c>
      <c r="K5300" s="6">
        <f t="shared" si="216"/>
        <v>4.1406923940819356</v>
      </c>
    </row>
    <row r="5301" spans="1:11" hidden="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H5301" s="5">
        <v>2440</v>
      </c>
      <c r="I5301" s="6">
        <v>1535.9749999999999</v>
      </c>
      <c r="J5301" s="5">
        <v>11200</v>
      </c>
      <c r="K5301" s="6">
        <f t="shared" si="216"/>
        <v>1.5885675222578493</v>
      </c>
    </row>
    <row r="5302" spans="1:11" hidden="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H5302" s="5">
        <v>1470</v>
      </c>
      <c r="I5302" s="6">
        <v>594.25687500000299</v>
      </c>
      <c r="J5302" s="5">
        <v>4320</v>
      </c>
      <c r="K5302" s="6">
        <f t="shared" si="216"/>
        <v>2.4736777340607001</v>
      </c>
    </row>
    <row r="5303" spans="1:11" hidden="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H5303" s="5">
        <v>4060</v>
      </c>
      <c r="I5303" s="6">
        <v>2575.1131250013459</v>
      </c>
      <c r="J5303" s="5">
        <v>18720</v>
      </c>
      <c r="K5303" s="6">
        <f t="shared" si="216"/>
        <v>1.5766297645653442</v>
      </c>
    </row>
    <row r="5304" spans="1:11" hidden="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H5304" s="5">
        <v>1680</v>
      </c>
      <c r="I5304" s="6">
        <v>528.37931032368999</v>
      </c>
      <c r="J5304" s="5">
        <v>4000</v>
      </c>
      <c r="K5304" s="6">
        <f t="shared" ref="K5304:K5310" si="217">IFERROR(H5304/I5304,"")</f>
        <v>3.1795340339325864</v>
      </c>
    </row>
    <row r="5305" spans="1:11" hidden="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H5305" s="5">
        <v>5150</v>
      </c>
      <c r="I5305" s="6">
        <v>2272.0310343918732</v>
      </c>
      <c r="J5305" s="5">
        <v>17200</v>
      </c>
      <c r="K5305" s="6">
        <f t="shared" si="217"/>
        <v>2.2666943901927983</v>
      </c>
    </row>
    <row r="5306" spans="1:11" hidden="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H5306" s="5">
        <v>2970</v>
      </c>
      <c r="I5306" s="6">
        <v>1162.4344827121224</v>
      </c>
      <c r="J5306" s="5">
        <v>8800</v>
      </c>
      <c r="K5306" s="6">
        <f t="shared" si="217"/>
        <v>2.5549827058386758</v>
      </c>
    </row>
    <row r="5307" spans="1:11" hidden="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H5307" s="5">
        <v>1190</v>
      </c>
      <c r="I5307" s="6">
        <v>1162.4344827121181</v>
      </c>
      <c r="J5307" s="5">
        <v>8800</v>
      </c>
      <c r="K5307" s="6">
        <f t="shared" si="217"/>
        <v>1.0237136094101129</v>
      </c>
    </row>
    <row r="5308" spans="1:11" hidden="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H5308" s="5">
        <v>2160</v>
      </c>
      <c r="I5308" s="6">
        <v>1056.7586206473827</v>
      </c>
      <c r="J5308" s="5">
        <v>8000</v>
      </c>
      <c r="K5308" s="6">
        <f t="shared" si="217"/>
        <v>2.0439861646709434</v>
      </c>
    </row>
    <row r="5309" spans="1:11" hidden="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H5309" s="5">
        <v>1980</v>
      </c>
      <c r="I5309" s="6">
        <v>1109.596551679753</v>
      </c>
      <c r="J5309" s="5">
        <v>8400</v>
      </c>
      <c r="K5309" s="6">
        <f t="shared" si="217"/>
        <v>1.7844323659825676</v>
      </c>
    </row>
    <row r="5310" spans="1:11" hidden="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H5310" s="5">
        <v>4400</v>
      </c>
      <c r="I5310" s="6">
        <v>1902.1655171652881</v>
      </c>
      <c r="J5310" s="5">
        <v>14400</v>
      </c>
      <c r="K5310" s="6">
        <f t="shared" si="217"/>
        <v>2.3131530670144427</v>
      </c>
    </row>
    <row r="5311" spans="1:11" hidden="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H5311" s="5">
        <v>2000</v>
      </c>
      <c r="I5311" s="6">
        <v>951.10714281909407</v>
      </c>
      <c r="J5311" s="5">
        <v>7200</v>
      </c>
      <c r="K5311" s="6">
        <f t="shared" si="216"/>
        <v>2.1028125118185672</v>
      </c>
    </row>
    <row r="5312" spans="1:11" hidden="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H5312" s="5">
        <v>7950</v>
      </c>
      <c r="I5312" s="6">
        <v>3804.4285712763772</v>
      </c>
      <c r="J5312" s="5">
        <v>28800</v>
      </c>
      <c r="K5312" s="6">
        <f t="shared" si="216"/>
        <v>2.0896699336197009</v>
      </c>
    </row>
    <row r="5313" spans="1:11" hidden="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H5313" s="5">
        <v>2940</v>
      </c>
      <c r="I5313" s="6">
        <v>2641.8965516184649</v>
      </c>
      <c r="J5313" s="5">
        <v>20000</v>
      </c>
      <c r="K5313" s="6">
        <f t="shared" si="216"/>
        <v>1.112836911876399</v>
      </c>
    </row>
    <row r="5314" spans="1:11" hidden="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H5314" s="5">
        <v>5850</v>
      </c>
      <c r="I5314" s="6">
        <v>3592.9793102010913</v>
      </c>
      <c r="J5314" s="5">
        <v>26044</v>
      </c>
      <c r="K5314" s="6">
        <f t="shared" si="216"/>
        <v>1.6281752537207312</v>
      </c>
    </row>
    <row r="5315" spans="1:11" hidden="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H5315" s="5">
        <v>2425</v>
      </c>
      <c r="I5315" s="6">
        <v>1268.1103447768633</v>
      </c>
      <c r="J5315" s="5">
        <v>9600</v>
      </c>
      <c r="K5315" s="6">
        <f t="shared" si="216"/>
        <v>1.912294154832956</v>
      </c>
    </row>
    <row r="5316" spans="1:11" hidden="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H5316" s="5">
        <v>1150</v>
      </c>
      <c r="I5316" s="6">
        <v>528.37931032368999</v>
      </c>
      <c r="J5316" s="5">
        <v>4000</v>
      </c>
      <c r="K5316" s="6">
        <f t="shared" si="216"/>
        <v>2.1764667494181396</v>
      </c>
    </row>
    <row r="5317" spans="1:11" hidden="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H5317" s="5">
        <v>2190</v>
      </c>
      <c r="I5317" s="6">
        <v>1162.4344827121247</v>
      </c>
      <c r="J5317" s="5">
        <v>8800</v>
      </c>
      <c r="K5317" s="6">
        <f t="shared" si="216"/>
        <v>1.883977146729525</v>
      </c>
    </row>
    <row r="5318" spans="1:11" hidden="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H5318" s="5">
        <v>2190</v>
      </c>
      <c r="I5318" s="6">
        <v>528.3915024419166</v>
      </c>
      <c r="J5318" s="5">
        <v>4000</v>
      </c>
      <c r="K5318" s="6">
        <f t="shared" si="216"/>
        <v>4.1446540867502604</v>
      </c>
    </row>
    <row r="5319" spans="1:11" hidden="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H5319" s="5">
        <v>4470</v>
      </c>
      <c r="I5319" s="6">
        <v>3910.1071427007282</v>
      </c>
      <c r="J5319" s="5">
        <v>29260</v>
      </c>
      <c r="K5319" s="6">
        <f t="shared" si="216"/>
        <v>1.1431911804116321</v>
      </c>
    </row>
    <row r="5320" spans="1:11" hidden="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H5320" s="5">
        <v>4400</v>
      </c>
      <c r="I5320" s="6">
        <v>1902.2142856381945</v>
      </c>
      <c r="J5320" s="5">
        <v>14400</v>
      </c>
      <c r="K5320" s="6">
        <f t="shared" si="216"/>
        <v>2.3130937630004165</v>
      </c>
    </row>
    <row r="5321" spans="1:11" hidden="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H5321" s="5">
        <v>1950</v>
      </c>
      <c r="I5321" s="6">
        <v>1162.4642856677858</v>
      </c>
      <c r="J5321" s="5">
        <v>8800</v>
      </c>
      <c r="K5321" s="6">
        <f t="shared" si="216"/>
        <v>1.6774708901098057</v>
      </c>
    </row>
    <row r="5322" spans="1:11" hidden="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H5322" s="5">
        <v>510</v>
      </c>
      <c r="I5322" s="6">
        <v>317.03571427303262</v>
      </c>
      <c r="J5322" s="5">
        <v>2400</v>
      </c>
      <c r="K5322" s="6">
        <f t="shared" si="216"/>
        <v>1.6086515715411975</v>
      </c>
    </row>
    <row r="5323" spans="1:11" hidden="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H5323" s="5">
        <v>1875</v>
      </c>
      <c r="I5323" s="6">
        <v>951.10714281875391</v>
      </c>
      <c r="J5323" s="5">
        <v>7200</v>
      </c>
      <c r="K5323" s="6">
        <f t="shared" si="216"/>
        <v>1.9713867298306118</v>
      </c>
    </row>
    <row r="5324" spans="1:11" hidden="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H5324" s="5">
        <v>1725</v>
      </c>
      <c r="I5324" s="6">
        <v>898.26785710660101</v>
      </c>
      <c r="J5324" s="5">
        <v>6800</v>
      </c>
      <c r="K5324" s="6">
        <f t="shared" si="216"/>
        <v>1.920362602705584</v>
      </c>
    </row>
    <row r="5325" spans="1:11" hidden="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H5325" s="5">
        <v>3375</v>
      </c>
      <c r="I5325" s="6">
        <v>1162.4642856673661</v>
      </c>
      <c r="J5325" s="5">
        <v>8800</v>
      </c>
      <c r="K5325" s="6">
        <f t="shared" si="216"/>
        <v>2.9033150021141734</v>
      </c>
    </row>
    <row r="5326" spans="1:11" hidden="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H5326" s="5">
        <v>3270</v>
      </c>
      <c r="I5326" s="6">
        <v>686.91071425798896</v>
      </c>
      <c r="J5326" s="5">
        <v>5200</v>
      </c>
      <c r="K5326" s="6">
        <f t="shared" si="216"/>
        <v>4.7604440171417357</v>
      </c>
    </row>
    <row r="5327" spans="1:11" hidden="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H5327" s="5">
        <v>1975</v>
      </c>
      <c r="I5327" s="6">
        <v>845.428571394752</v>
      </c>
      <c r="J5327" s="5">
        <v>6400</v>
      </c>
      <c r="K5327" s="6">
        <f t="shared" si="216"/>
        <v>2.3360932748484347</v>
      </c>
    </row>
    <row r="5328" spans="1:11" hidden="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H5328" s="5">
        <v>6775</v>
      </c>
      <c r="I5328" s="6">
        <v>3910.1071427007355</v>
      </c>
      <c r="J5328" s="5">
        <v>29600</v>
      </c>
      <c r="K5328" s="6">
        <f t="shared" si="216"/>
        <v>1.7326890933531978</v>
      </c>
    </row>
    <row r="5329" spans="1:11" hidden="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H5329" s="5">
        <v>6025</v>
      </c>
      <c r="I5329" s="6">
        <v>4015.7857141250793</v>
      </c>
      <c r="J5329" s="5">
        <v>30400</v>
      </c>
      <c r="K5329" s="6">
        <f t="shared" si="216"/>
        <v>1.5003290585968603</v>
      </c>
    </row>
    <row r="5330" spans="1:11" hidden="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H5330" s="5">
        <v>12600</v>
      </c>
      <c r="I5330" s="6">
        <v>2747.5751230427709</v>
      </c>
      <c r="J5330" s="5">
        <v>20800</v>
      </c>
      <c r="K5330" s="6">
        <f t="shared" si="216"/>
        <v>4.5858618730126928</v>
      </c>
    </row>
    <row r="5331" spans="1:11" hidden="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H5331" s="5">
        <v>1170</v>
      </c>
      <c r="I5331" s="6">
        <v>1056.75862064738</v>
      </c>
      <c r="J5331" s="5">
        <v>9600</v>
      </c>
      <c r="K5331" s="6">
        <f t="shared" si="216"/>
        <v>1.1071591725300971</v>
      </c>
    </row>
    <row r="5332" spans="1:11" hidden="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H5332" s="5">
        <v>325</v>
      </c>
      <c r="I5332" s="6">
        <v>369.86551722658481</v>
      </c>
      <c r="J5332" s="5">
        <v>3080</v>
      </c>
      <c r="K5332" s="6">
        <f t="shared" si="216"/>
        <v>0.87869775597626321</v>
      </c>
    </row>
    <row r="5333" spans="1:11" hidden="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H5333" s="5">
        <v>15330</v>
      </c>
      <c r="I5333" s="6">
        <v>3592.9793102011122</v>
      </c>
      <c r="J5333" s="5">
        <v>27820</v>
      </c>
      <c r="K5333" s="6">
        <f t="shared" si="216"/>
        <v>4.2666541264168663</v>
      </c>
    </row>
    <row r="5334" spans="1:11" hidden="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H5334" s="5">
        <v>2550</v>
      </c>
      <c r="I5334" s="6">
        <v>1585.2222221588099</v>
      </c>
      <c r="J5334" s="5">
        <v>11490</v>
      </c>
      <c r="K5334" s="6">
        <f t="shared" si="216"/>
        <v>1.6086072755952934</v>
      </c>
    </row>
    <row r="5335" spans="1:11" hidden="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H5335" s="5">
        <v>5130</v>
      </c>
      <c r="I5335" s="6">
        <v>2219.311111022334</v>
      </c>
      <c r="J5335" s="5">
        <v>16800</v>
      </c>
      <c r="K5335" s="6">
        <f t="shared" si="216"/>
        <v>2.3115281019058416</v>
      </c>
    </row>
    <row r="5336" spans="1:11" hidden="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H5336" s="5">
        <v>6200</v>
      </c>
      <c r="I5336" s="6">
        <v>2959.0814813631118</v>
      </c>
      <c r="J5336" s="5">
        <v>22400</v>
      </c>
      <c r="K5336" s="6">
        <f t="shared" si="216"/>
        <v>2.0952447707333652</v>
      </c>
    </row>
    <row r="5337" spans="1:11" hidden="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H5337" s="5">
        <v>0</v>
      </c>
      <c r="I5337" s="6">
        <v>1796.5851851133182</v>
      </c>
      <c r="J5337" s="5">
        <v>13600</v>
      </c>
      <c r="K5337" s="6">
        <f t="shared" si="216"/>
        <v>0</v>
      </c>
    </row>
    <row r="5338" spans="1:11" hidden="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H5338" s="5">
        <v>3675</v>
      </c>
      <c r="I5338" s="6">
        <v>1912.3542857142861</v>
      </c>
      <c r="J5338" s="5">
        <v>16320</v>
      </c>
      <c r="K5338" s="6">
        <f t="shared" si="216"/>
        <v>1.9217150438352721</v>
      </c>
    </row>
    <row r="5339" spans="1:11" hidden="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H5339" s="5">
        <v>2550</v>
      </c>
      <c r="I5339" s="6">
        <v>2812.2857142428579</v>
      </c>
      <c r="J5339" s="5">
        <v>20000</v>
      </c>
      <c r="K5339" s="6">
        <f t="shared" si="216"/>
        <v>0.90673575130915451</v>
      </c>
    </row>
    <row r="5340" spans="1:11" hidden="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H5340" s="5">
        <v>4200</v>
      </c>
      <c r="I5340" s="6">
        <v>1768.8376470588223</v>
      </c>
      <c r="J5340" s="5">
        <v>12800</v>
      </c>
      <c r="K5340" s="6">
        <f t="shared" si="216"/>
        <v>2.3744406429745837</v>
      </c>
    </row>
    <row r="5341" spans="1:11" hidden="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H5341" s="5">
        <v>8200</v>
      </c>
      <c r="I5341" s="6">
        <v>2263.7999998868127</v>
      </c>
      <c r="J5341" s="5">
        <v>17920</v>
      </c>
      <c r="K5341" s="6">
        <f t="shared" si="216"/>
        <v>3.6222281122051374</v>
      </c>
    </row>
    <row r="5342" spans="1:11" hidden="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H5342" s="5">
        <v>1050</v>
      </c>
      <c r="I5342" s="6">
        <v>994.97117647058747</v>
      </c>
      <c r="J5342" s="5">
        <v>7200</v>
      </c>
      <c r="K5342" s="6">
        <f t="shared" si="216"/>
        <v>1.0553069524331484</v>
      </c>
    </row>
    <row r="5343" spans="1:11" hidden="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H5343" s="5">
        <v>1920</v>
      </c>
      <c r="I5343" s="6">
        <v>994.97117647058747</v>
      </c>
      <c r="J5343" s="5">
        <v>7920</v>
      </c>
      <c r="K5343" s="6">
        <f t="shared" si="216"/>
        <v>1.9297041415920428</v>
      </c>
    </row>
    <row r="5344" spans="1:11" hidden="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H5344" s="5">
        <v>4825</v>
      </c>
      <c r="I5344" s="6">
        <v>2263.7999998868127</v>
      </c>
      <c r="J5344" s="5">
        <v>17920</v>
      </c>
      <c r="K5344" s="6">
        <f t="shared" si="216"/>
        <v>2.1313720294377791</v>
      </c>
    </row>
    <row r="5345" spans="1:11" hidden="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H5345" s="5">
        <v>15930</v>
      </c>
      <c r="I5345" s="6">
        <v>6727.0499997982479</v>
      </c>
      <c r="J5345" s="5">
        <v>49210</v>
      </c>
      <c r="K5345" s="6">
        <f t="shared" si="216"/>
        <v>2.3680513747449119</v>
      </c>
    </row>
    <row r="5346" spans="1:11" hidden="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H5346" s="5">
        <v>1830</v>
      </c>
      <c r="I5346" s="6">
        <v>994.95</v>
      </c>
      <c r="J5346" s="5">
        <v>7200</v>
      </c>
      <c r="K5346" s="6">
        <f t="shared" si="216"/>
        <v>1.8392884064525854</v>
      </c>
    </row>
    <row r="5347" spans="1:11" hidden="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H5347" s="5">
        <v>1700</v>
      </c>
      <c r="I5347" s="6">
        <v>831.6</v>
      </c>
      <c r="J5347" s="5">
        <v>6300</v>
      </c>
      <c r="K5347" s="6">
        <f t="shared" si="216"/>
        <v>2.044252044252044</v>
      </c>
    </row>
    <row r="5348" spans="1:11" hidden="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H5348" s="5">
        <v>2825</v>
      </c>
      <c r="I5348" s="6">
        <v>1267.2</v>
      </c>
      <c r="J5348" s="5">
        <v>9600</v>
      </c>
      <c r="K5348" s="6">
        <f t="shared" si="216"/>
        <v>2.2293244949494948</v>
      </c>
    </row>
    <row r="5349" spans="1:11" hidden="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H5349" s="5">
        <v>330</v>
      </c>
      <c r="I5349" s="6">
        <v>316.8</v>
      </c>
      <c r="J5349" s="5">
        <v>2400</v>
      </c>
      <c r="K5349" s="6">
        <f t="shared" si="216"/>
        <v>1.0416666666666665</v>
      </c>
    </row>
    <row r="5350" spans="1:11" hidden="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H5350" s="5">
        <v>14760</v>
      </c>
      <c r="I5350" s="6">
        <v>3603.6</v>
      </c>
      <c r="J5350" s="5">
        <v>27296</v>
      </c>
      <c r="K5350" s="6">
        <f t="shared" si="216"/>
        <v>4.0959040959040962</v>
      </c>
    </row>
    <row r="5351" spans="1:11" hidden="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H5351" s="5">
        <v>6575</v>
      </c>
      <c r="I5351" s="6">
        <v>3682.8</v>
      </c>
      <c r="J5351" s="5">
        <v>27900</v>
      </c>
      <c r="K5351" s="6">
        <f t="shared" si="216"/>
        <v>1.7853263821005756</v>
      </c>
    </row>
    <row r="5352" spans="1:11" hidden="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H5352" s="5">
        <v>3450</v>
      </c>
      <c r="I5352" s="6">
        <v>2376</v>
      </c>
      <c r="J5352" s="5">
        <v>18000</v>
      </c>
      <c r="K5352" s="6">
        <f t="shared" si="216"/>
        <v>1.452020202020202</v>
      </c>
    </row>
    <row r="5353" spans="1:11" hidden="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H5353" s="5">
        <v>1530</v>
      </c>
      <c r="I5353" s="6">
        <v>950.4</v>
      </c>
      <c r="J5353" s="5">
        <v>7200</v>
      </c>
      <c r="K5353" s="6">
        <f t="shared" si="216"/>
        <v>1.6098484848484849</v>
      </c>
    </row>
    <row r="5354" spans="1:11" hidden="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H5354" s="5">
        <v>2625</v>
      </c>
      <c r="I5354" s="6">
        <v>1346.4</v>
      </c>
      <c r="J5354" s="5">
        <v>10200</v>
      </c>
      <c r="K5354" s="6">
        <f t="shared" si="216"/>
        <v>1.9496434937611407</v>
      </c>
    </row>
    <row r="5355" spans="1:11" hidden="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H5355" s="5">
        <v>4950</v>
      </c>
      <c r="I5355" s="6">
        <v>2851.2</v>
      </c>
      <c r="J5355" s="5">
        <v>21600</v>
      </c>
      <c r="K5355" s="6">
        <f t="shared" si="216"/>
        <v>1.7361111111111112</v>
      </c>
    </row>
    <row r="5356" spans="1:11" hidden="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H5356" s="5">
        <v>4050</v>
      </c>
      <c r="I5356" s="6">
        <v>2138.4</v>
      </c>
      <c r="J5356" s="5">
        <v>16200</v>
      </c>
      <c r="K5356" s="6">
        <f t="shared" si="216"/>
        <v>1.8939393939393938</v>
      </c>
    </row>
    <row r="5357" spans="1:11" hidden="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H5357" s="5">
        <v>3075</v>
      </c>
      <c r="I5357" s="6">
        <v>963.6</v>
      </c>
      <c r="J5357" s="5">
        <v>7570</v>
      </c>
      <c r="K5357" s="6">
        <f t="shared" si="216"/>
        <v>3.1911581569115817</v>
      </c>
    </row>
    <row r="5358" spans="1:11" hidden="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H5358" s="5">
        <v>6625</v>
      </c>
      <c r="I5358" s="6">
        <v>3168</v>
      </c>
      <c r="J5358" s="5">
        <v>24000</v>
      </c>
      <c r="K5358" s="6">
        <f t="shared" si="216"/>
        <v>2.0912247474747474</v>
      </c>
    </row>
    <row r="5359" spans="1:11" hidden="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H5359" s="5">
        <v>2310</v>
      </c>
      <c r="I5359" s="6">
        <v>1188</v>
      </c>
      <c r="J5359" s="5">
        <v>9000</v>
      </c>
      <c r="K5359" s="6">
        <f t="shared" si="216"/>
        <v>1.9444444444444444</v>
      </c>
    </row>
    <row r="5360" spans="1:11" hidden="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H5360" s="5">
        <v>5275</v>
      </c>
      <c r="I5360" s="6">
        <v>2732.4</v>
      </c>
      <c r="J5360" s="5">
        <v>20700</v>
      </c>
      <c r="K5360" s="6">
        <f t="shared" si="216"/>
        <v>1.9305372566242132</v>
      </c>
    </row>
    <row r="5361" spans="1:11" hidden="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H5361" s="5">
        <v>750</v>
      </c>
      <c r="I5361" s="6">
        <v>673.2</v>
      </c>
      <c r="J5361" s="5">
        <v>5100</v>
      </c>
      <c r="K5361" s="6">
        <f t="shared" ref="K5361:K5424" si="219">+H5361/I5361</f>
        <v>1.1140819964349375</v>
      </c>
    </row>
    <row r="5362" spans="1:11" hidden="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H5362" s="5">
        <v>1900</v>
      </c>
      <c r="I5362" s="6">
        <v>1100.4749999999999</v>
      </c>
      <c r="J5362" s="5">
        <v>8000</v>
      </c>
      <c r="K5362" s="6">
        <f t="shared" si="219"/>
        <v>1.7265271814443763</v>
      </c>
    </row>
    <row r="5363" spans="1:11" hidden="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H5363" s="5">
        <v>1925</v>
      </c>
      <c r="I5363" s="6">
        <v>1287</v>
      </c>
      <c r="J5363" s="5">
        <v>9400</v>
      </c>
      <c r="K5363" s="6">
        <f t="shared" si="219"/>
        <v>1.4957264957264957</v>
      </c>
    </row>
    <row r="5364" spans="1:11" hidden="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H5364" s="5">
        <v>9330</v>
      </c>
      <c r="I5364" s="6">
        <v>2641.14</v>
      </c>
      <c r="J5364" s="5">
        <v>19200</v>
      </c>
      <c r="K5364" s="6">
        <f t="shared" si="219"/>
        <v>3.5325654830868491</v>
      </c>
    </row>
    <row r="5365" spans="1:11" hidden="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H5365" s="5">
        <v>4230</v>
      </c>
      <c r="I5365" s="6">
        <v>2641.14</v>
      </c>
      <c r="J5365" s="5">
        <v>19200</v>
      </c>
      <c r="K5365" s="6">
        <f t="shared" si="219"/>
        <v>1.6015811354187965</v>
      </c>
    </row>
    <row r="5366" spans="1:11" hidden="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H5366" s="5">
        <v>5010</v>
      </c>
      <c r="I5366" s="6">
        <v>1430.6174906250001</v>
      </c>
      <c r="J5366" s="5">
        <v>10400</v>
      </c>
      <c r="K5366" s="6">
        <f t="shared" si="219"/>
        <v>3.5019843059595614</v>
      </c>
    </row>
    <row r="5367" spans="1:11" hidden="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H5367" s="5">
        <v>2430</v>
      </c>
      <c r="I5367" s="6">
        <v>1430.6175000000001</v>
      </c>
      <c r="J5367" s="5">
        <v>10400</v>
      </c>
      <c r="K5367" s="6">
        <f t="shared" si="219"/>
        <v>1.6985672270890018</v>
      </c>
    </row>
    <row r="5368" spans="1:11" hidden="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H5368" s="5">
        <v>3600</v>
      </c>
      <c r="I5368" s="6">
        <v>2861.2350000000001</v>
      </c>
      <c r="J5368" s="5">
        <v>20800</v>
      </c>
      <c r="K5368" s="6">
        <f t="shared" si="219"/>
        <v>1.2581979459918531</v>
      </c>
    </row>
    <row r="5369" spans="1:11" hidden="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H5369" s="5">
        <v>5675</v>
      </c>
      <c r="I5369" s="6">
        <v>3071.9505625000002</v>
      </c>
      <c r="J5369" s="5">
        <v>22400</v>
      </c>
      <c r="K5369" s="6">
        <f t="shared" si="219"/>
        <v>1.8473604586206618</v>
      </c>
    </row>
    <row r="5370" spans="1:11" hidden="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H5370" s="5">
        <v>3475</v>
      </c>
      <c r="I5370" s="6">
        <v>1097.125</v>
      </c>
      <c r="J5370" s="5">
        <v>8000</v>
      </c>
      <c r="K5370" s="6">
        <f t="shared" si="219"/>
        <v>3.167369260567392</v>
      </c>
    </row>
    <row r="5371" spans="1:11" hidden="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H5371" s="5">
        <v>4775</v>
      </c>
      <c r="I5371" s="6">
        <v>2852.5250000000001</v>
      </c>
      <c r="J5371" s="5">
        <v>20800</v>
      </c>
      <c r="K5371" s="6">
        <f t="shared" si="219"/>
        <v>1.6739555306263749</v>
      </c>
    </row>
    <row r="5372" spans="1:11" hidden="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H5372" s="5">
        <v>3960</v>
      </c>
      <c r="I5372" s="6">
        <v>2633.1</v>
      </c>
      <c r="J5372" s="5">
        <v>19200</v>
      </c>
      <c r="K5372" s="6">
        <f t="shared" si="219"/>
        <v>1.5039307280391934</v>
      </c>
    </row>
    <row r="5373" spans="1:11" hidden="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H5373" s="5">
        <v>3930</v>
      </c>
      <c r="I5373" s="6">
        <v>2633.1</v>
      </c>
      <c r="J5373" s="5">
        <v>19200</v>
      </c>
      <c r="K5373" s="6">
        <f t="shared" si="219"/>
        <v>1.4925373134328359</v>
      </c>
    </row>
    <row r="5374" spans="1:11" hidden="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H5374" s="5">
        <v>6120</v>
      </c>
      <c r="I5374" s="6">
        <v>2852.5250000000001</v>
      </c>
      <c r="J5374" s="5">
        <v>20800</v>
      </c>
      <c r="K5374" s="6">
        <f t="shared" si="219"/>
        <v>2.1454676120279399</v>
      </c>
    </row>
    <row r="5375" spans="1:11" hidden="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H5375" s="5">
        <v>4560</v>
      </c>
      <c r="I5375" s="6">
        <v>2852.5250000000001</v>
      </c>
      <c r="J5375" s="5">
        <v>20800</v>
      </c>
      <c r="K5375" s="6">
        <f t="shared" si="219"/>
        <v>1.598583710922779</v>
      </c>
    </row>
    <row r="5376" spans="1:11" hidden="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H5376" s="5">
        <v>4000</v>
      </c>
      <c r="I5376" s="6">
        <v>3071.95</v>
      </c>
      <c r="J5376" s="5">
        <v>22400</v>
      </c>
      <c r="K5376" s="6">
        <f t="shared" si="219"/>
        <v>1.3021045264408602</v>
      </c>
    </row>
    <row r="5377" spans="1:11" hidden="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H5377" s="5">
        <v>3475</v>
      </c>
      <c r="I5377" s="6">
        <v>1645.6875</v>
      </c>
      <c r="J5377" s="5">
        <v>12000</v>
      </c>
      <c r="K5377" s="6">
        <f t="shared" si="219"/>
        <v>2.1115795070449281</v>
      </c>
    </row>
    <row r="5378" spans="1:11" hidden="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H5378" s="5">
        <v>9480</v>
      </c>
      <c r="I5378" s="6">
        <v>4121.4642855494085</v>
      </c>
      <c r="J5378" s="5">
        <v>31200</v>
      </c>
      <c r="K5378" s="6">
        <f t="shared" si="219"/>
        <v>2.3001533783123094</v>
      </c>
    </row>
    <row r="5379" spans="1:11" hidden="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H5379" s="5">
        <v>1755</v>
      </c>
      <c r="I5379" s="6">
        <v>1056.7857142434418</v>
      </c>
      <c r="J5379" s="5">
        <v>8000</v>
      </c>
      <c r="K5379" s="6">
        <f t="shared" si="219"/>
        <v>1.6606961812087073</v>
      </c>
    </row>
    <row r="5380" spans="1:11" hidden="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H5380" s="5">
        <v>9840</v>
      </c>
      <c r="I5380" s="6">
        <v>2641.9642856076484</v>
      </c>
      <c r="J5380" s="5">
        <v>19996</v>
      </c>
      <c r="K5380" s="6">
        <f t="shared" si="219"/>
        <v>3.7245015209343801</v>
      </c>
    </row>
    <row r="5381" spans="1:11" hidden="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H5381" s="5">
        <v>1620</v>
      </c>
      <c r="I5381" s="6">
        <v>528.39285712153003</v>
      </c>
      <c r="J5381" s="5">
        <v>4000</v>
      </c>
      <c r="K5381" s="6">
        <f t="shared" si="219"/>
        <v>3.0659006422325672</v>
      </c>
    </row>
    <row r="5382" spans="1:11" hidden="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H5382" s="5">
        <v>5790</v>
      </c>
      <c r="I5382" s="6">
        <v>1902.2142856375078</v>
      </c>
      <c r="J5382" s="5">
        <v>14400</v>
      </c>
      <c r="K5382" s="6">
        <f t="shared" si="219"/>
        <v>3.0438211108584645</v>
      </c>
    </row>
    <row r="5383" spans="1:11" hidden="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H5383" s="5">
        <v>1100</v>
      </c>
      <c r="I5383" s="6">
        <v>634.05652706821195</v>
      </c>
      <c r="J5383" s="5">
        <v>4800</v>
      </c>
      <c r="K5383" s="6">
        <f t="shared" si="219"/>
        <v>1.7348610936729016</v>
      </c>
    </row>
    <row r="5384" spans="1:11" hidden="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H5384" s="5">
        <v>17840</v>
      </c>
      <c r="I5384" s="6">
        <v>4487.9999999102474</v>
      </c>
      <c r="J5384" s="5">
        <v>31740</v>
      </c>
      <c r="K5384" s="6">
        <f t="shared" si="219"/>
        <v>3.9750445633593516</v>
      </c>
    </row>
    <row r="5385" spans="1:11" hidden="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H5385" s="5">
        <v>4625</v>
      </c>
      <c r="I5385" s="6">
        <v>1702.8</v>
      </c>
      <c r="J5385" s="5">
        <v>12900</v>
      </c>
      <c r="K5385" s="6">
        <f t="shared" si="219"/>
        <v>2.7161146347192862</v>
      </c>
    </row>
    <row r="5386" spans="1:11" hidden="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H5386" s="5">
        <v>6080</v>
      </c>
      <c r="I5386" s="6">
        <v>3009.6</v>
      </c>
      <c r="J5386" s="5">
        <v>22800</v>
      </c>
      <c r="K5386" s="6">
        <f t="shared" si="219"/>
        <v>2.0202020202020203</v>
      </c>
    </row>
    <row r="5387" spans="1:11" hidden="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H5387" s="5">
        <v>4590</v>
      </c>
      <c r="I5387" s="6">
        <v>1386</v>
      </c>
      <c r="J5387" s="5">
        <v>10500</v>
      </c>
      <c r="K5387" s="6">
        <f t="shared" si="219"/>
        <v>3.3116883116883118</v>
      </c>
    </row>
    <row r="5388" spans="1:11" hidden="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H5388" s="5">
        <v>4170</v>
      </c>
      <c r="I5388" s="6">
        <v>1386</v>
      </c>
      <c r="J5388" s="5">
        <v>10500</v>
      </c>
      <c r="K5388" s="6">
        <f t="shared" si="219"/>
        <v>3.0086580086580086</v>
      </c>
    </row>
    <row r="5389" spans="1:11" hidden="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H5389" s="5">
        <v>900</v>
      </c>
      <c r="I5389" s="6">
        <v>1029.5999999999999</v>
      </c>
      <c r="J5389" s="5">
        <v>7800</v>
      </c>
      <c r="K5389" s="6">
        <f t="shared" si="219"/>
        <v>0.87412587412587417</v>
      </c>
    </row>
    <row r="5390" spans="1:11" hidden="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H5390" s="5">
        <v>3425</v>
      </c>
      <c r="I5390" s="6">
        <v>2653.2</v>
      </c>
      <c r="J5390" s="5">
        <v>20100</v>
      </c>
      <c r="K5390" s="6">
        <f t="shared" si="219"/>
        <v>1.290894014774612</v>
      </c>
    </row>
    <row r="5391" spans="1:11" hidden="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H5391" s="5">
        <v>4890</v>
      </c>
      <c r="I5391" s="6">
        <v>1768.8</v>
      </c>
      <c r="J5391" s="5">
        <v>13400</v>
      </c>
      <c r="K5391" s="6">
        <f t="shared" si="219"/>
        <v>2.7645861601085482</v>
      </c>
    </row>
    <row r="5392" spans="1:11" hidden="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H5392" s="5">
        <v>2100</v>
      </c>
      <c r="I5392" s="6">
        <v>1029.5999999999999</v>
      </c>
      <c r="J5392" s="5">
        <v>7800</v>
      </c>
      <c r="K5392" s="6">
        <f t="shared" si="219"/>
        <v>2.0396270396270397</v>
      </c>
    </row>
    <row r="5393" spans="1:11" hidden="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H5393" s="5">
        <v>4325</v>
      </c>
      <c r="I5393" s="6">
        <v>1346.4</v>
      </c>
      <c r="J5393" s="5">
        <v>10200</v>
      </c>
      <c r="K5393" s="6">
        <f t="shared" si="219"/>
        <v>3.2122697563874034</v>
      </c>
    </row>
    <row r="5394" spans="1:11" hidden="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H5394" s="5">
        <v>1170</v>
      </c>
      <c r="I5394" s="6">
        <v>440.18999062500001</v>
      </c>
      <c r="J5394" s="5">
        <v>3200</v>
      </c>
      <c r="K5394" s="6">
        <f t="shared" si="219"/>
        <v>2.6579432175156583</v>
      </c>
    </row>
    <row r="5395" spans="1:11" hidden="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H5395" s="5">
        <v>2450</v>
      </c>
      <c r="I5395" s="6">
        <v>880.38</v>
      </c>
      <c r="J5395" s="5">
        <v>6400</v>
      </c>
      <c r="K5395" s="6">
        <f t="shared" si="219"/>
        <v>2.7828892069333695</v>
      </c>
    </row>
    <row r="5396" spans="1:11" hidden="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H5396" s="5">
        <v>1000</v>
      </c>
      <c r="I5396" s="6">
        <v>330.14249999999998</v>
      </c>
      <c r="J5396" s="5">
        <v>2400</v>
      </c>
      <c r="K5396" s="6">
        <f t="shared" si="219"/>
        <v>3.0289950551655727</v>
      </c>
    </row>
    <row r="5397" spans="1:11" hidden="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H5397" s="5">
        <v>3600</v>
      </c>
      <c r="I5397" s="6">
        <v>1430.6175000000001</v>
      </c>
      <c r="J5397" s="5">
        <v>10400</v>
      </c>
      <c r="K5397" s="6">
        <f t="shared" si="219"/>
        <v>2.5163958919837062</v>
      </c>
    </row>
    <row r="5398" spans="1:11" hidden="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H5398" s="5">
        <v>0</v>
      </c>
      <c r="I5398" s="6">
        <v>220.095</v>
      </c>
      <c r="J5398" s="5">
        <v>1600</v>
      </c>
      <c r="K5398" s="6">
        <f t="shared" si="219"/>
        <v>0</v>
      </c>
    </row>
    <row r="5399" spans="1:11" hidden="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H5399" s="5">
        <v>2640</v>
      </c>
      <c r="I5399" s="6">
        <v>1287.0000000000018</v>
      </c>
      <c r="J5399" s="5">
        <v>9400</v>
      </c>
      <c r="K5399" s="6">
        <f t="shared" si="219"/>
        <v>2.0512820512820484</v>
      </c>
    </row>
    <row r="5400" spans="1:11" hidden="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H5400" s="5">
        <v>5200</v>
      </c>
      <c r="I5400" s="6">
        <v>2641.14</v>
      </c>
      <c r="J5400" s="5">
        <v>19200</v>
      </c>
      <c r="K5400" s="6">
        <f t="shared" si="219"/>
        <v>1.9688467858576222</v>
      </c>
    </row>
    <row r="5401" spans="1:11" hidden="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H5401" s="5">
        <v>2010</v>
      </c>
      <c r="I5401" s="6">
        <v>880.38</v>
      </c>
      <c r="J5401" s="5">
        <v>6400</v>
      </c>
      <c r="K5401" s="6">
        <f t="shared" si="219"/>
        <v>2.2831050228310503</v>
      </c>
    </row>
    <row r="5402" spans="1:11" hidden="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H5402" s="5">
        <v>1260</v>
      </c>
      <c r="I5402" s="6">
        <v>880.38</v>
      </c>
      <c r="J5402" s="5">
        <v>6400</v>
      </c>
      <c r="K5402" s="6">
        <f t="shared" si="219"/>
        <v>1.431200163565733</v>
      </c>
    </row>
    <row r="5403" spans="1:11" hidden="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H5403" s="5">
        <v>460</v>
      </c>
      <c r="I5403" s="6">
        <v>1755.4</v>
      </c>
      <c r="J5403" s="5">
        <v>12800</v>
      </c>
      <c r="K5403" s="6">
        <f t="shared" si="219"/>
        <v>0.26204853594622307</v>
      </c>
    </row>
    <row r="5404" spans="1:11" hidden="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H5404" s="5">
        <v>6760</v>
      </c>
      <c r="I5404" s="6">
        <v>2413.6749943750001</v>
      </c>
      <c r="J5404" s="5">
        <v>17600</v>
      </c>
      <c r="K5404" s="6">
        <f t="shared" si="219"/>
        <v>2.8007084697624927</v>
      </c>
    </row>
    <row r="5405" spans="1:11" hidden="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H5405" s="5">
        <v>3840</v>
      </c>
      <c r="I5405" s="6">
        <v>1645.6875</v>
      </c>
      <c r="J5405" s="5">
        <v>12000</v>
      </c>
      <c r="K5405" s="6">
        <f t="shared" si="219"/>
        <v>2.3333713113820211</v>
      </c>
    </row>
    <row r="5406" spans="1:11" hidden="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H5406" s="5">
        <v>3440</v>
      </c>
      <c r="I5406" s="6">
        <v>726.32013058333712</v>
      </c>
      <c r="J5406" s="5">
        <v>5712</v>
      </c>
      <c r="K5406" s="6">
        <f t="shared" si="219"/>
        <v>4.7362035762896957</v>
      </c>
    </row>
    <row r="5407" spans="1:11" hidden="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H5407" s="5">
        <v>2130</v>
      </c>
      <c r="I5407" s="6">
        <v>924.39958333667107</v>
      </c>
      <c r="J5407" s="5">
        <v>6720</v>
      </c>
      <c r="K5407" s="6">
        <f t="shared" si="219"/>
        <v>2.3041983557712649</v>
      </c>
    </row>
    <row r="5408" spans="1:11" hidden="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H5408" s="5">
        <v>3280</v>
      </c>
      <c r="I5408" s="6">
        <v>1122.485208333339</v>
      </c>
      <c r="J5408" s="5">
        <v>8160</v>
      </c>
      <c r="K5408" s="6">
        <f t="shared" si="219"/>
        <v>2.9220875033802267</v>
      </c>
    </row>
    <row r="5409" spans="1:11" hidden="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H5409" s="5">
        <v>500</v>
      </c>
      <c r="I5409" s="6">
        <v>396.17125000000198</v>
      </c>
      <c r="J5409" s="5">
        <v>2880</v>
      </c>
      <c r="K5409" s="6">
        <f t="shared" si="219"/>
        <v>1.2620804765615816</v>
      </c>
    </row>
    <row r="5410" spans="1:11" hidden="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H5410" s="5">
        <v>5070</v>
      </c>
      <c r="I5410" s="6">
        <v>1535.9749999999999</v>
      </c>
      <c r="J5410" s="5">
        <v>11200</v>
      </c>
      <c r="K5410" s="6">
        <f t="shared" si="219"/>
        <v>3.3008349745275805</v>
      </c>
    </row>
    <row r="5411" spans="1:11" hidden="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H5411" s="5">
        <v>2700</v>
      </c>
      <c r="I5411" s="6">
        <v>1535.9749999999999</v>
      </c>
      <c r="J5411" s="5">
        <v>11200</v>
      </c>
      <c r="K5411" s="6">
        <f t="shared" si="219"/>
        <v>1.7578411106951612</v>
      </c>
    </row>
    <row r="5412" spans="1:11" hidden="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H5412" s="5">
        <v>1740</v>
      </c>
      <c r="I5412" s="6">
        <v>594.25687500000299</v>
      </c>
      <c r="J5412" s="5">
        <v>4320</v>
      </c>
      <c r="K5412" s="6">
        <f t="shared" si="219"/>
        <v>2.9280267056228695</v>
      </c>
    </row>
    <row r="5413" spans="1:11" hidden="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H5413" s="5">
        <v>7340</v>
      </c>
      <c r="I5413" s="6">
        <v>2575.1131250013459</v>
      </c>
      <c r="J5413" s="5">
        <v>18720</v>
      </c>
      <c r="K5413" s="6">
        <f t="shared" si="219"/>
        <v>2.8503602147560656</v>
      </c>
    </row>
    <row r="5414" spans="1:11" hidden="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H5414" s="5">
        <v>1230</v>
      </c>
      <c r="I5414" s="6">
        <v>528.37931032368999</v>
      </c>
      <c r="J5414" s="5">
        <v>4000</v>
      </c>
      <c r="K5414" s="6">
        <f t="shared" ref="K5414:K5420" si="221">IFERROR(H5414/I5414,"")</f>
        <v>2.3278731319863581</v>
      </c>
    </row>
    <row r="5415" spans="1:11" hidden="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H5415" s="5">
        <v>5425</v>
      </c>
      <c r="I5415" s="6">
        <v>2272.0310343918732</v>
      </c>
      <c r="J5415" s="5">
        <v>17200</v>
      </c>
      <c r="K5415" s="6">
        <f t="shared" si="221"/>
        <v>2.3877314692807632</v>
      </c>
    </row>
    <row r="5416" spans="1:11" hidden="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H5416" s="5">
        <v>2730</v>
      </c>
      <c r="I5416" s="6">
        <v>1162.4344827121224</v>
      </c>
      <c r="J5416" s="5">
        <v>8800</v>
      </c>
      <c r="K5416" s="6">
        <f t="shared" si="221"/>
        <v>2.3485194568820154</v>
      </c>
    </row>
    <row r="5417" spans="1:11" hidden="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H5417" s="5">
        <v>770</v>
      </c>
      <c r="I5417" s="6">
        <v>1162.4344827121181</v>
      </c>
      <c r="J5417" s="5">
        <v>8800</v>
      </c>
      <c r="K5417" s="6">
        <f t="shared" si="221"/>
        <v>0.66240292373595544</v>
      </c>
    </row>
    <row r="5418" spans="1:11" hidden="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H5418" s="5">
        <v>2160</v>
      </c>
      <c r="I5418" s="6">
        <v>1056.7586206473827</v>
      </c>
      <c r="J5418" s="5">
        <v>8000</v>
      </c>
      <c r="K5418" s="6">
        <f t="shared" si="221"/>
        <v>2.0439861646709434</v>
      </c>
    </row>
    <row r="5419" spans="1:11" hidden="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H5419" s="5">
        <v>1950</v>
      </c>
      <c r="I5419" s="6">
        <v>1109.596551679753</v>
      </c>
      <c r="J5419" s="5">
        <v>8400</v>
      </c>
      <c r="K5419" s="6">
        <f t="shared" si="221"/>
        <v>1.7573955119525286</v>
      </c>
    </row>
    <row r="5420" spans="1:11" hidden="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H5420" s="5">
        <v>4075</v>
      </c>
      <c r="I5420" s="6">
        <v>1902.1655171652881</v>
      </c>
      <c r="J5420" s="5">
        <v>14400</v>
      </c>
      <c r="K5420" s="6">
        <f t="shared" si="221"/>
        <v>2.1422951700190578</v>
      </c>
    </row>
    <row r="5421" spans="1:11" hidden="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H5421" s="5">
        <v>1425</v>
      </c>
      <c r="I5421" s="6">
        <v>951.10714281909407</v>
      </c>
      <c r="J5421" s="5">
        <v>7200</v>
      </c>
      <c r="K5421" s="6">
        <f t="shared" si="219"/>
        <v>1.4982539146707292</v>
      </c>
    </row>
    <row r="5422" spans="1:11" hidden="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H5422" s="5">
        <v>7260</v>
      </c>
      <c r="I5422" s="6">
        <v>3804.4285712763772</v>
      </c>
      <c r="J5422" s="5">
        <v>28800</v>
      </c>
      <c r="K5422" s="6">
        <f t="shared" si="219"/>
        <v>1.9083023544753495</v>
      </c>
    </row>
    <row r="5423" spans="1:11" hidden="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H5423" s="5">
        <v>3870</v>
      </c>
      <c r="I5423" s="6">
        <v>2641.8965516184649</v>
      </c>
      <c r="J5423" s="5">
        <v>20000</v>
      </c>
      <c r="K5423" s="6">
        <f t="shared" si="219"/>
        <v>1.4648567513475048</v>
      </c>
    </row>
    <row r="5424" spans="1:11" hidden="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H5424" s="5">
        <v>9120</v>
      </c>
      <c r="I5424" s="6">
        <v>3592.9793102010913</v>
      </c>
      <c r="J5424" s="5">
        <v>26044</v>
      </c>
      <c r="K5424" s="6">
        <f t="shared" si="219"/>
        <v>2.5382834724671914</v>
      </c>
    </row>
    <row r="5425" spans="1:11" hidden="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H5425" s="5">
        <v>2400</v>
      </c>
      <c r="I5425" s="6">
        <v>1268.1103447768633</v>
      </c>
      <c r="J5425" s="5">
        <v>9600</v>
      </c>
      <c r="K5425" s="6">
        <f t="shared" ref="K5425:K5487" si="222">+H5425/I5425</f>
        <v>1.8925797821027193</v>
      </c>
    </row>
    <row r="5426" spans="1:11" hidden="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H5426" s="5">
        <v>775</v>
      </c>
      <c r="I5426" s="6">
        <v>528.37931032368999</v>
      </c>
      <c r="J5426" s="5">
        <v>4000</v>
      </c>
      <c r="K5426" s="6">
        <f t="shared" si="222"/>
        <v>1.4667493311296158</v>
      </c>
    </row>
    <row r="5427" spans="1:11" hidden="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H5427" s="5">
        <v>2100</v>
      </c>
      <c r="I5427" s="6">
        <v>1162.4344827121247</v>
      </c>
      <c r="J5427" s="5">
        <v>8800</v>
      </c>
      <c r="K5427" s="6">
        <f t="shared" si="222"/>
        <v>1.8065534283707774</v>
      </c>
    </row>
    <row r="5428" spans="1:11" hidden="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H5428" s="5">
        <v>1620</v>
      </c>
      <c r="I5428" s="6">
        <v>528.3915024419166</v>
      </c>
      <c r="J5428" s="5">
        <v>4000</v>
      </c>
      <c r="K5428" s="6">
        <f t="shared" si="222"/>
        <v>3.0659085025275901</v>
      </c>
    </row>
    <row r="5429" spans="1:11" hidden="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H5429" s="5">
        <v>9120</v>
      </c>
      <c r="I5429" s="6">
        <v>3910.1071427007282</v>
      </c>
      <c r="J5429" s="5">
        <v>29260</v>
      </c>
      <c r="K5429" s="6">
        <f t="shared" si="222"/>
        <v>2.332416905000914</v>
      </c>
    </row>
    <row r="5430" spans="1:11" hidden="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H5430" s="5">
        <v>3900</v>
      </c>
      <c r="I5430" s="6">
        <v>1902.2142856381945</v>
      </c>
      <c r="J5430" s="5">
        <v>14400</v>
      </c>
      <c r="K5430" s="6">
        <f t="shared" si="222"/>
        <v>2.0502421990230961</v>
      </c>
    </row>
    <row r="5431" spans="1:11" hidden="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H5431" s="5">
        <v>2640</v>
      </c>
      <c r="I5431" s="6">
        <v>1162.4642856677858</v>
      </c>
      <c r="J5431" s="5">
        <v>8800</v>
      </c>
      <c r="K5431" s="6">
        <f t="shared" si="222"/>
        <v>2.2710375127640443</v>
      </c>
    </row>
    <row r="5432" spans="1:11" hidden="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H5432" s="5">
        <v>660</v>
      </c>
      <c r="I5432" s="6">
        <v>317.03571427303262</v>
      </c>
      <c r="J5432" s="5">
        <v>2400</v>
      </c>
      <c r="K5432" s="6">
        <f t="shared" si="222"/>
        <v>2.0817843867003734</v>
      </c>
    </row>
    <row r="5433" spans="1:11" hidden="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H5433" s="5">
        <v>1400</v>
      </c>
      <c r="I5433" s="6">
        <v>951.10714281875391</v>
      </c>
      <c r="J5433" s="5">
        <v>7200</v>
      </c>
      <c r="K5433" s="6">
        <f t="shared" si="222"/>
        <v>1.4719687582735235</v>
      </c>
    </row>
    <row r="5434" spans="1:11" hidden="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H5434" s="5">
        <v>1575</v>
      </c>
      <c r="I5434" s="6">
        <v>898.26785710660101</v>
      </c>
      <c r="J5434" s="5">
        <v>6800</v>
      </c>
      <c r="K5434" s="6">
        <f t="shared" si="222"/>
        <v>1.7533745502964029</v>
      </c>
    </row>
    <row r="5435" spans="1:11" hidden="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H5435" s="5">
        <v>2575</v>
      </c>
      <c r="I5435" s="6">
        <v>1162.4642856673661</v>
      </c>
      <c r="J5435" s="5">
        <v>8800</v>
      </c>
      <c r="K5435" s="6">
        <f t="shared" si="222"/>
        <v>2.215121816427851</v>
      </c>
    </row>
    <row r="5436" spans="1:11" hidden="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H5436" s="5">
        <v>3720</v>
      </c>
      <c r="I5436" s="6">
        <v>686.91071425798896</v>
      </c>
      <c r="J5436" s="5">
        <v>5200</v>
      </c>
      <c r="K5436" s="6">
        <f t="shared" si="222"/>
        <v>5.4155509919777547</v>
      </c>
    </row>
    <row r="5437" spans="1:11" hidden="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H5437" s="5">
        <v>2150</v>
      </c>
      <c r="I5437" s="6">
        <v>845.428571394752</v>
      </c>
      <c r="J5437" s="5">
        <v>6400</v>
      </c>
      <c r="K5437" s="6">
        <f t="shared" si="222"/>
        <v>2.5430888814805748</v>
      </c>
    </row>
    <row r="5438" spans="1:11" hidden="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H5438" s="5">
        <v>6950</v>
      </c>
      <c r="I5438" s="6">
        <v>3910.1071427007355</v>
      </c>
      <c r="J5438" s="5">
        <v>29600</v>
      </c>
      <c r="K5438" s="6">
        <f t="shared" si="222"/>
        <v>1.7774449001925792</v>
      </c>
    </row>
    <row r="5439" spans="1:11" hidden="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H5439" s="5">
        <v>6950</v>
      </c>
      <c r="I5439" s="6">
        <v>4015.7857141250793</v>
      </c>
      <c r="J5439" s="5">
        <v>30400</v>
      </c>
      <c r="K5439" s="6">
        <f t="shared" si="222"/>
        <v>1.7306700343980379</v>
      </c>
    </row>
    <row r="5440" spans="1:11" hidden="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H5440" s="5">
        <v>6810</v>
      </c>
      <c r="I5440" s="6">
        <v>2747.5751230427709</v>
      </c>
      <c r="J5440" s="5">
        <v>20800</v>
      </c>
      <c r="K5440" s="6">
        <f t="shared" si="222"/>
        <v>2.4785491551759073</v>
      </c>
    </row>
    <row r="5441" spans="1:11" hidden="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H5441" s="5">
        <v>960</v>
      </c>
      <c r="I5441" s="6">
        <v>1056.75862064738</v>
      </c>
      <c r="J5441" s="5">
        <v>9600</v>
      </c>
      <c r="K5441" s="6">
        <f t="shared" si="222"/>
        <v>0.90843829540931043</v>
      </c>
    </row>
    <row r="5442" spans="1:11" hidden="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H5442" s="5">
        <v>375</v>
      </c>
      <c r="I5442" s="6">
        <v>369.86551722658481</v>
      </c>
      <c r="J5442" s="5">
        <v>3080</v>
      </c>
      <c r="K5442" s="6">
        <f t="shared" si="222"/>
        <v>1.0138820261264576</v>
      </c>
    </row>
    <row r="5443" spans="1:11" hidden="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H5443" s="5">
        <v>20820</v>
      </c>
      <c r="I5443" s="6">
        <v>3592.9793102011122</v>
      </c>
      <c r="J5443" s="5">
        <v>27820</v>
      </c>
      <c r="K5443" s="6">
        <f t="shared" si="222"/>
        <v>5.7946339799086202</v>
      </c>
    </row>
    <row r="5444" spans="1:11" hidden="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H5444" s="5">
        <v>3900</v>
      </c>
      <c r="I5444" s="6">
        <v>1585.2222221588099</v>
      </c>
      <c r="J5444" s="5">
        <v>11490</v>
      </c>
      <c r="K5444" s="6">
        <f t="shared" si="222"/>
        <v>2.4602228920869194</v>
      </c>
    </row>
    <row r="5445" spans="1:11" hidden="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H5445" s="5">
        <v>5790</v>
      </c>
      <c r="I5445" s="6">
        <v>2219.311111022334</v>
      </c>
      <c r="J5445" s="5">
        <v>16800</v>
      </c>
      <c r="K5445" s="6">
        <f t="shared" si="222"/>
        <v>2.6089176822679967</v>
      </c>
    </row>
    <row r="5446" spans="1:11" hidden="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H5446" s="5">
        <v>6875</v>
      </c>
      <c r="I5446" s="6">
        <v>2959.0814813631118</v>
      </c>
      <c r="J5446" s="5">
        <v>22400</v>
      </c>
      <c r="K5446" s="6">
        <f t="shared" si="222"/>
        <v>2.3233560965793365</v>
      </c>
    </row>
    <row r="5447" spans="1:11" hidden="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H5447" s="5">
        <v>0</v>
      </c>
      <c r="I5447" s="6">
        <v>1796.5851851133182</v>
      </c>
      <c r="J5447" s="5">
        <v>13600</v>
      </c>
      <c r="K5447" s="6">
        <f t="shared" si="222"/>
        <v>0</v>
      </c>
    </row>
    <row r="5448" spans="1:11" hidden="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H5448" s="5">
        <v>3175</v>
      </c>
      <c r="I5448" s="6">
        <v>1912.3542857142861</v>
      </c>
      <c r="J5448" s="5">
        <v>16320</v>
      </c>
      <c r="K5448" s="6">
        <f t="shared" si="222"/>
        <v>1.6602572147420378</v>
      </c>
    </row>
    <row r="5449" spans="1:11" hidden="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H5449" s="5">
        <v>4860</v>
      </c>
      <c r="I5449" s="6">
        <v>2812.2857142428579</v>
      </c>
      <c r="J5449" s="5">
        <v>20000</v>
      </c>
      <c r="K5449" s="6">
        <f t="shared" si="222"/>
        <v>1.7281316672009768</v>
      </c>
    </row>
    <row r="5450" spans="1:11" hidden="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H5450" s="5">
        <v>2950</v>
      </c>
      <c r="I5450" s="6">
        <v>1768.8376470588223</v>
      </c>
      <c r="J5450" s="5">
        <v>12800</v>
      </c>
      <c r="K5450" s="6">
        <f t="shared" si="222"/>
        <v>1.6677618801845291</v>
      </c>
    </row>
    <row r="5451" spans="1:11" hidden="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H5451" s="5">
        <v>9520</v>
      </c>
      <c r="I5451" s="6">
        <v>2263.7999998868127</v>
      </c>
      <c r="J5451" s="5">
        <v>17920</v>
      </c>
      <c r="K5451" s="6">
        <f t="shared" si="222"/>
        <v>4.2053184912430375</v>
      </c>
    </row>
    <row r="5452" spans="1:11" hidden="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H5452" s="5">
        <v>1200</v>
      </c>
      <c r="I5452" s="6">
        <v>994.97117647058747</v>
      </c>
      <c r="J5452" s="5">
        <v>7200</v>
      </c>
      <c r="K5452" s="6">
        <f t="shared" si="222"/>
        <v>1.2060650884950268</v>
      </c>
    </row>
    <row r="5453" spans="1:11" hidden="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H5453" s="5">
        <v>1740</v>
      </c>
      <c r="I5453" s="6">
        <v>994.97117647058747</v>
      </c>
      <c r="J5453" s="5">
        <v>7920</v>
      </c>
      <c r="K5453" s="6">
        <f t="shared" si="222"/>
        <v>1.7487943783177888</v>
      </c>
    </row>
    <row r="5454" spans="1:11" hidden="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H5454" s="5">
        <v>4300</v>
      </c>
      <c r="I5454" s="6">
        <v>2263.7999998868127</v>
      </c>
      <c r="J5454" s="5">
        <v>17920</v>
      </c>
      <c r="K5454" s="6">
        <f t="shared" si="222"/>
        <v>1.8994610832295233</v>
      </c>
    </row>
    <row r="5455" spans="1:11" hidden="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H5455" s="5">
        <v>16020</v>
      </c>
      <c r="I5455" s="6">
        <v>6727.0499997982479</v>
      </c>
      <c r="J5455" s="5">
        <v>49210</v>
      </c>
      <c r="K5455" s="6">
        <f t="shared" si="222"/>
        <v>2.3814301960711544</v>
      </c>
    </row>
    <row r="5456" spans="1:11" hidden="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H5456" s="5">
        <v>1440</v>
      </c>
      <c r="I5456" s="6">
        <v>994.95</v>
      </c>
      <c r="J5456" s="5">
        <v>7200</v>
      </c>
      <c r="K5456" s="6">
        <f t="shared" si="222"/>
        <v>1.447308909995477</v>
      </c>
    </row>
    <row r="5457" spans="1:11" hidden="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H5457" s="5">
        <v>1200</v>
      </c>
      <c r="I5457" s="6">
        <v>831.6</v>
      </c>
      <c r="J5457" s="5">
        <v>6300</v>
      </c>
      <c r="K5457" s="6">
        <f t="shared" si="222"/>
        <v>1.4430014430014431</v>
      </c>
    </row>
    <row r="5458" spans="1:11" hidden="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H5458" s="5">
        <v>3475</v>
      </c>
      <c r="I5458" s="6">
        <v>1267.2</v>
      </c>
      <c r="J5458" s="5">
        <v>9600</v>
      </c>
      <c r="K5458" s="6">
        <f t="shared" si="222"/>
        <v>2.7422664141414139</v>
      </c>
    </row>
    <row r="5459" spans="1:11" hidden="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H5459" s="5">
        <v>240</v>
      </c>
      <c r="I5459" s="6">
        <v>316.8</v>
      </c>
      <c r="J5459" s="5">
        <v>2400</v>
      </c>
      <c r="K5459" s="6">
        <f t="shared" si="222"/>
        <v>0.75757575757575757</v>
      </c>
    </row>
    <row r="5460" spans="1:11" hidden="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H5460" s="5">
        <v>16590</v>
      </c>
      <c r="I5460" s="6">
        <v>3603.6</v>
      </c>
      <c r="J5460" s="5">
        <v>27296</v>
      </c>
      <c r="K5460" s="6">
        <f t="shared" si="222"/>
        <v>4.6037296037296036</v>
      </c>
    </row>
    <row r="5461" spans="1:11" hidden="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H5461" s="5">
        <v>4550</v>
      </c>
      <c r="I5461" s="6">
        <v>3682.8</v>
      </c>
      <c r="J5461" s="5">
        <v>27900</v>
      </c>
      <c r="K5461" s="6">
        <f t="shared" si="222"/>
        <v>1.235473009666558</v>
      </c>
    </row>
    <row r="5462" spans="1:11" hidden="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H5462" s="5">
        <v>3175</v>
      </c>
      <c r="I5462" s="6">
        <v>2376</v>
      </c>
      <c r="J5462" s="5">
        <v>18000</v>
      </c>
      <c r="K5462" s="6">
        <f t="shared" si="222"/>
        <v>1.3362794612794613</v>
      </c>
    </row>
    <row r="5463" spans="1:11" hidden="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H5463" s="5">
        <v>1560</v>
      </c>
      <c r="I5463" s="6">
        <v>950.4</v>
      </c>
      <c r="J5463" s="5">
        <v>7200</v>
      </c>
      <c r="K5463" s="6">
        <f t="shared" si="222"/>
        <v>1.6414141414141414</v>
      </c>
    </row>
    <row r="5464" spans="1:11" hidden="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H5464" s="5">
        <v>3625</v>
      </c>
      <c r="I5464" s="6">
        <v>1346.4</v>
      </c>
      <c r="J5464" s="5">
        <v>10200</v>
      </c>
      <c r="K5464" s="6">
        <f t="shared" si="222"/>
        <v>2.6923648247177656</v>
      </c>
    </row>
    <row r="5465" spans="1:11" hidden="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H5465" s="5">
        <v>5250</v>
      </c>
      <c r="I5465" s="6">
        <v>2851.2</v>
      </c>
      <c r="J5465" s="5">
        <v>21600</v>
      </c>
      <c r="K5465" s="6">
        <f t="shared" si="222"/>
        <v>1.8413299663299665</v>
      </c>
    </row>
    <row r="5466" spans="1:11" hidden="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H5466" s="5">
        <v>2925</v>
      </c>
      <c r="I5466" s="6">
        <v>2138.4</v>
      </c>
      <c r="J5466" s="5">
        <v>16200</v>
      </c>
      <c r="K5466" s="6">
        <f t="shared" si="222"/>
        <v>1.3678451178451179</v>
      </c>
    </row>
    <row r="5467" spans="1:11" hidden="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H5467" s="5">
        <v>1850</v>
      </c>
      <c r="I5467" s="6">
        <v>963.6</v>
      </c>
      <c r="J5467" s="5">
        <v>7570</v>
      </c>
      <c r="K5467" s="6">
        <f t="shared" si="222"/>
        <v>1.9198837691988377</v>
      </c>
    </row>
    <row r="5468" spans="1:11" hidden="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H5468" s="5">
        <v>6975</v>
      </c>
      <c r="I5468" s="6">
        <v>3168</v>
      </c>
      <c r="J5468" s="5">
        <v>24000</v>
      </c>
      <c r="K5468" s="6">
        <f t="shared" si="222"/>
        <v>2.2017045454545454</v>
      </c>
    </row>
    <row r="5469" spans="1:11" hidden="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H5469" s="5">
        <v>2220</v>
      </c>
      <c r="I5469" s="6">
        <v>1188</v>
      </c>
      <c r="J5469" s="5">
        <v>9000</v>
      </c>
      <c r="K5469" s="6">
        <f t="shared" si="222"/>
        <v>1.8686868686868687</v>
      </c>
    </row>
    <row r="5470" spans="1:11" hidden="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H5470" s="5">
        <v>5200</v>
      </c>
      <c r="I5470" s="6">
        <v>2732.4</v>
      </c>
      <c r="J5470" s="5">
        <v>20700</v>
      </c>
      <c r="K5470" s="6">
        <f t="shared" si="222"/>
        <v>1.9030888596105986</v>
      </c>
    </row>
    <row r="5471" spans="1:11" hidden="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H5471" s="5">
        <v>930</v>
      </c>
      <c r="I5471" s="6">
        <v>673.2</v>
      </c>
      <c r="J5471" s="5">
        <v>5100</v>
      </c>
      <c r="K5471" s="6">
        <f t="shared" si="222"/>
        <v>1.3814616755793225</v>
      </c>
    </row>
    <row r="5472" spans="1:11" hidden="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H5472" s="5">
        <v>1750</v>
      </c>
      <c r="I5472" s="6">
        <v>1100.4749999999999</v>
      </c>
      <c r="J5472" s="5">
        <v>8000</v>
      </c>
      <c r="K5472" s="6">
        <f t="shared" si="222"/>
        <v>1.5902224039619257</v>
      </c>
    </row>
    <row r="5473" spans="1:11" hidden="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H5473" s="5">
        <v>3025</v>
      </c>
      <c r="I5473" s="6">
        <v>1287</v>
      </c>
      <c r="J5473" s="5">
        <v>9400</v>
      </c>
      <c r="K5473" s="6">
        <f t="shared" si="222"/>
        <v>2.3504273504273505</v>
      </c>
    </row>
    <row r="5474" spans="1:11" hidden="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H5474" s="5">
        <v>7710</v>
      </c>
      <c r="I5474" s="6">
        <v>2641.14</v>
      </c>
      <c r="J5474" s="5">
        <v>19200</v>
      </c>
      <c r="K5474" s="6">
        <f t="shared" si="222"/>
        <v>2.9191939844158208</v>
      </c>
    </row>
    <row r="5475" spans="1:11" hidden="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H5475" s="5">
        <v>4050</v>
      </c>
      <c r="I5475" s="6">
        <v>2641.14</v>
      </c>
      <c r="J5475" s="5">
        <v>19200</v>
      </c>
      <c r="K5475" s="6">
        <f t="shared" si="222"/>
        <v>1.5334287466775711</v>
      </c>
    </row>
    <row r="5476" spans="1:11" hidden="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H5476" s="5">
        <v>3540</v>
      </c>
      <c r="I5476" s="6">
        <v>1430.6174906250001</v>
      </c>
      <c r="J5476" s="5">
        <v>10400</v>
      </c>
      <c r="K5476" s="6">
        <f t="shared" si="222"/>
        <v>2.4744559766660372</v>
      </c>
    </row>
    <row r="5477" spans="1:11" hidden="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H5477" s="5">
        <v>2790</v>
      </c>
      <c r="I5477" s="6">
        <v>1430.6175000000001</v>
      </c>
      <c r="J5477" s="5">
        <v>10400</v>
      </c>
      <c r="K5477" s="6">
        <f t="shared" si="222"/>
        <v>1.9502068162873722</v>
      </c>
    </row>
    <row r="5478" spans="1:11" hidden="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H5478" s="5">
        <v>4290</v>
      </c>
      <c r="I5478" s="6">
        <v>2861.2350000000001</v>
      </c>
      <c r="J5478" s="5">
        <v>20800</v>
      </c>
      <c r="K5478" s="6">
        <f t="shared" si="222"/>
        <v>1.4993525523069582</v>
      </c>
    </row>
    <row r="5479" spans="1:11" hidden="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H5479" s="5">
        <v>5250</v>
      </c>
      <c r="I5479" s="6">
        <v>3071.9505625000002</v>
      </c>
      <c r="J5479" s="5">
        <v>22400</v>
      </c>
      <c r="K5479" s="6">
        <f t="shared" si="222"/>
        <v>1.7090118780191144</v>
      </c>
    </row>
    <row r="5480" spans="1:11" hidden="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H5480" s="5">
        <v>4625</v>
      </c>
      <c r="I5480" s="6">
        <v>1097.125</v>
      </c>
      <c r="J5480" s="5">
        <v>8000</v>
      </c>
      <c r="K5480" s="6">
        <f t="shared" si="222"/>
        <v>4.2155634043522845</v>
      </c>
    </row>
    <row r="5481" spans="1:11" hidden="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H5481" s="5">
        <v>6800</v>
      </c>
      <c r="I5481" s="6">
        <v>2852.5250000000001</v>
      </c>
      <c r="J5481" s="5">
        <v>20800</v>
      </c>
      <c r="K5481" s="6">
        <f t="shared" si="222"/>
        <v>2.3838529022532668</v>
      </c>
    </row>
    <row r="5482" spans="1:11" hidden="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H5482" s="5">
        <v>4920</v>
      </c>
      <c r="I5482" s="6">
        <v>2633.1</v>
      </c>
      <c r="J5482" s="5">
        <v>19200</v>
      </c>
      <c r="K5482" s="6">
        <f t="shared" si="222"/>
        <v>1.8685199954426341</v>
      </c>
    </row>
    <row r="5483" spans="1:11" hidden="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H5483" s="5">
        <v>5340</v>
      </c>
      <c r="I5483" s="6">
        <v>2633.1</v>
      </c>
      <c r="J5483" s="5">
        <v>19200</v>
      </c>
      <c r="K5483" s="6">
        <f t="shared" si="222"/>
        <v>2.0280277999316394</v>
      </c>
    </row>
    <row r="5484" spans="1:11" hidden="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H5484" s="5">
        <v>10920</v>
      </c>
      <c r="I5484" s="6">
        <v>2852.5250000000001</v>
      </c>
      <c r="J5484" s="5">
        <v>20800</v>
      </c>
      <c r="K5484" s="6">
        <f t="shared" si="222"/>
        <v>3.8281873077361284</v>
      </c>
    </row>
    <row r="5485" spans="1:11" hidden="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H5485" s="5">
        <v>5940</v>
      </c>
      <c r="I5485" s="6">
        <v>2852.5250000000001</v>
      </c>
      <c r="J5485" s="5">
        <v>20800</v>
      </c>
      <c r="K5485" s="6">
        <f t="shared" si="222"/>
        <v>2.082365623438883</v>
      </c>
    </row>
    <row r="5486" spans="1:11" hidden="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H5486" s="5">
        <v>4400</v>
      </c>
      <c r="I5486" s="6">
        <v>3071.95</v>
      </c>
      <c r="J5486" s="5">
        <v>22400</v>
      </c>
      <c r="K5486" s="6">
        <f t="shared" si="222"/>
        <v>1.4323149790849461</v>
      </c>
    </row>
    <row r="5487" spans="1:11" hidden="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H5487" s="5">
        <v>3125</v>
      </c>
      <c r="I5487" s="6">
        <v>1645.6875</v>
      </c>
      <c r="J5487" s="5">
        <v>12000</v>
      </c>
      <c r="K5487" s="6">
        <f t="shared" si="222"/>
        <v>1.8989024343929208</v>
      </c>
    </row>
    <row r="5488" spans="1:11" hidden="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H5488" s="5">
        <v>8380</v>
      </c>
      <c r="I5488" s="6">
        <v>4121.4642855494085</v>
      </c>
      <c r="J5488" s="5">
        <v>31200</v>
      </c>
      <c r="K5488" s="6">
        <f t="shared" ref="K5488:K5523" si="224">+H5488/I5488</f>
        <v>2.0332579441199528</v>
      </c>
    </row>
    <row r="5489" spans="1:11" hidden="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H5489" s="5">
        <v>2190</v>
      </c>
      <c r="I5489" s="6">
        <v>1056.7857142434418</v>
      </c>
      <c r="J5489" s="5">
        <v>8000</v>
      </c>
      <c r="K5489" s="6">
        <f t="shared" si="224"/>
        <v>2.0723217303971904</v>
      </c>
    </row>
    <row r="5490" spans="1:11" hidden="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H5490" s="5">
        <v>9480</v>
      </c>
      <c r="I5490" s="6">
        <v>2641.9642856076484</v>
      </c>
      <c r="J5490" s="5">
        <v>19996</v>
      </c>
      <c r="K5490" s="6">
        <f t="shared" si="224"/>
        <v>3.5882392701684882</v>
      </c>
    </row>
    <row r="5491" spans="1:11" hidden="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H5491" s="5">
        <v>1400</v>
      </c>
      <c r="I5491" s="6">
        <v>528.39285712153003</v>
      </c>
      <c r="J5491" s="5">
        <v>4000</v>
      </c>
      <c r="K5491" s="6">
        <f t="shared" si="224"/>
        <v>2.6495437648923419</v>
      </c>
    </row>
    <row r="5492" spans="1:11" hidden="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H5492" s="5">
        <v>4350</v>
      </c>
      <c r="I5492" s="6">
        <v>1902.2142856375078</v>
      </c>
      <c r="J5492" s="5">
        <v>14400</v>
      </c>
      <c r="K5492" s="6">
        <f t="shared" si="224"/>
        <v>2.2868086066035098</v>
      </c>
    </row>
    <row r="5493" spans="1:11" hidden="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H5493" s="5">
        <v>1060</v>
      </c>
      <c r="I5493" s="6">
        <v>634.05652706821195</v>
      </c>
      <c r="J5493" s="5">
        <v>4800</v>
      </c>
      <c r="K5493" s="6">
        <f t="shared" si="224"/>
        <v>1.6717752357211599</v>
      </c>
    </row>
    <row r="5494" spans="1:11" hidden="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H5494" s="5">
        <v>14080</v>
      </c>
      <c r="I5494" s="6">
        <v>4487.9999999102474</v>
      </c>
      <c r="J5494" s="5">
        <v>31740</v>
      </c>
      <c r="K5494" s="6">
        <f t="shared" si="224"/>
        <v>3.1372549020235243</v>
      </c>
    </row>
    <row r="5495" spans="1:11" hidden="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H5495" s="5">
        <v>4125</v>
      </c>
      <c r="I5495" s="6">
        <v>1702.8</v>
      </c>
      <c r="J5495" s="5">
        <v>12900</v>
      </c>
      <c r="K5495" s="6">
        <f t="shared" si="224"/>
        <v>2.4224806201550386</v>
      </c>
    </row>
    <row r="5496" spans="1:11" hidden="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H5496" s="5">
        <v>4040</v>
      </c>
      <c r="I5496" s="6">
        <v>3009.6</v>
      </c>
      <c r="J5496" s="5">
        <v>22800</v>
      </c>
      <c r="K5496" s="6">
        <f t="shared" si="224"/>
        <v>1.3423710792131844</v>
      </c>
    </row>
    <row r="5497" spans="1:11" hidden="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H5497" s="5">
        <v>4140</v>
      </c>
      <c r="I5497" s="6">
        <v>1386</v>
      </c>
      <c r="J5497" s="5">
        <v>10500</v>
      </c>
      <c r="K5497" s="6">
        <f t="shared" si="224"/>
        <v>2.9870129870129869</v>
      </c>
    </row>
    <row r="5498" spans="1:11" hidden="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H5498" s="5">
        <v>3960</v>
      </c>
      <c r="I5498" s="6">
        <v>1386</v>
      </c>
      <c r="J5498" s="5">
        <v>10500</v>
      </c>
      <c r="K5498" s="6">
        <f t="shared" si="224"/>
        <v>2.8571428571428572</v>
      </c>
    </row>
    <row r="5499" spans="1:11" hidden="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H5499" s="5">
        <v>1400</v>
      </c>
      <c r="I5499" s="6">
        <v>1029.5999999999999</v>
      </c>
      <c r="J5499" s="5">
        <v>7800</v>
      </c>
      <c r="K5499" s="6">
        <f t="shared" si="224"/>
        <v>1.35975135975136</v>
      </c>
    </row>
    <row r="5500" spans="1:11" hidden="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H5500" s="5">
        <v>2450</v>
      </c>
      <c r="I5500" s="6">
        <v>2653.2</v>
      </c>
      <c r="J5500" s="5">
        <v>20100</v>
      </c>
      <c r="K5500" s="6">
        <f t="shared" si="224"/>
        <v>0.92341323684607268</v>
      </c>
    </row>
    <row r="5501" spans="1:11" hidden="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H5501" s="5">
        <v>5010</v>
      </c>
      <c r="I5501" s="6">
        <v>1768.8</v>
      </c>
      <c r="J5501" s="5">
        <v>13400</v>
      </c>
      <c r="K5501" s="6">
        <f t="shared" si="224"/>
        <v>2.8324287652645861</v>
      </c>
    </row>
    <row r="5502" spans="1:11" hidden="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H5502" s="5">
        <v>1575</v>
      </c>
      <c r="I5502" s="6">
        <v>1029.5999999999999</v>
      </c>
      <c r="J5502" s="5">
        <v>7800</v>
      </c>
      <c r="K5502" s="6">
        <f t="shared" si="224"/>
        <v>1.5297202797202798</v>
      </c>
    </row>
    <row r="5503" spans="1:11" hidden="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H5503" s="5">
        <v>3550</v>
      </c>
      <c r="I5503" s="6">
        <v>1346.4</v>
      </c>
      <c r="J5503" s="5">
        <v>10200</v>
      </c>
      <c r="K5503" s="6">
        <f t="shared" si="224"/>
        <v>2.6366607248960188</v>
      </c>
    </row>
    <row r="5504" spans="1:11" hidden="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H5504" s="5">
        <v>1170</v>
      </c>
      <c r="I5504" s="6">
        <v>440.18999062500001</v>
      </c>
      <c r="J5504" s="5">
        <v>3200</v>
      </c>
      <c r="K5504" s="6">
        <f t="shared" si="224"/>
        <v>2.6579432175156583</v>
      </c>
    </row>
    <row r="5505" spans="1:11" hidden="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H5505" s="5">
        <v>2250</v>
      </c>
      <c r="I5505" s="6">
        <v>880.38</v>
      </c>
      <c r="J5505" s="5">
        <v>6400</v>
      </c>
      <c r="K5505" s="6">
        <f t="shared" si="224"/>
        <v>2.5557145777959516</v>
      </c>
    </row>
    <row r="5506" spans="1:11" hidden="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H5506" s="5">
        <v>650</v>
      </c>
      <c r="I5506" s="6">
        <v>330.14249999999998</v>
      </c>
      <c r="J5506" s="5">
        <v>2400</v>
      </c>
      <c r="K5506" s="6">
        <f t="shared" si="224"/>
        <v>1.9688467858576222</v>
      </c>
    </row>
    <row r="5507" spans="1:11" hidden="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H5507" s="5">
        <v>3300</v>
      </c>
      <c r="I5507" s="6">
        <v>1430.6175000000001</v>
      </c>
      <c r="J5507" s="5">
        <v>10400</v>
      </c>
      <c r="K5507" s="6">
        <f t="shared" si="224"/>
        <v>2.3066962343183972</v>
      </c>
    </row>
    <row r="5508" spans="1:11" hidden="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H5508" s="5">
        <v>0</v>
      </c>
      <c r="I5508" s="6">
        <v>220.095</v>
      </c>
      <c r="J5508" s="5">
        <v>1600</v>
      </c>
      <c r="K5508" s="6">
        <f t="shared" si="224"/>
        <v>0</v>
      </c>
    </row>
    <row r="5509" spans="1:11" hidden="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H5509" s="5">
        <v>2100</v>
      </c>
      <c r="I5509" s="6">
        <v>1287.0000000000018</v>
      </c>
      <c r="J5509" s="5">
        <v>9400</v>
      </c>
      <c r="K5509" s="6">
        <f t="shared" si="224"/>
        <v>1.6317016317016293</v>
      </c>
    </row>
    <row r="5510" spans="1:11" hidden="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H5510" s="5">
        <v>5925</v>
      </c>
      <c r="I5510" s="6">
        <v>2641.14</v>
      </c>
      <c r="J5510" s="5">
        <v>19200</v>
      </c>
      <c r="K5510" s="6">
        <f t="shared" si="224"/>
        <v>2.2433494627320023</v>
      </c>
    </row>
    <row r="5511" spans="1:11" hidden="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H5511" s="5">
        <v>1620</v>
      </c>
      <c r="I5511" s="6">
        <v>880.38</v>
      </c>
      <c r="J5511" s="5">
        <v>6400</v>
      </c>
      <c r="K5511" s="6">
        <f t="shared" si="224"/>
        <v>1.8401144960130853</v>
      </c>
    </row>
    <row r="5512" spans="1:11" hidden="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H5512" s="5">
        <v>1200</v>
      </c>
      <c r="I5512" s="6">
        <v>880.38</v>
      </c>
      <c r="J5512" s="5">
        <v>6400</v>
      </c>
      <c r="K5512" s="6">
        <f t="shared" si="224"/>
        <v>1.3630477748245076</v>
      </c>
    </row>
    <row r="5513" spans="1:11" hidden="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H5513" s="5">
        <v>30</v>
      </c>
      <c r="I5513" s="6">
        <v>1755.4</v>
      </c>
      <c r="J5513" s="5">
        <v>12800</v>
      </c>
      <c r="K5513" s="6">
        <f t="shared" si="224"/>
        <v>1.7090121909536286E-2</v>
      </c>
    </row>
    <row r="5514" spans="1:11" hidden="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H5514" s="5">
        <v>6740</v>
      </c>
      <c r="I5514" s="6">
        <v>2413.6749943750001</v>
      </c>
      <c r="J5514" s="5">
        <v>17600</v>
      </c>
      <c r="K5514" s="6">
        <f t="shared" si="224"/>
        <v>2.7924223500294678</v>
      </c>
    </row>
    <row r="5515" spans="1:11" hidden="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H5515" s="5">
        <v>3640</v>
      </c>
      <c r="I5515" s="6">
        <v>1645.6875</v>
      </c>
      <c r="J5515" s="5">
        <v>12000</v>
      </c>
      <c r="K5515" s="6">
        <f t="shared" si="224"/>
        <v>2.2118415555808744</v>
      </c>
    </row>
    <row r="5516" spans="1:11" hidden="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H5516" s="5">
        <v>2580</v>
      </c>
      <c r="I5516" s="6">
        <v>726.32013058333712</v>
      </c>
      <c r="J5516" s="5">
        <v>5712</v>
      </c>
      <c r="K5516" s="6">
        <f t="shared" si="224"/>
        <v>3.5521526822172715</v>
      </c>
    </row>
    <row r="5517" spans="1:11" hidden="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H5517" s="5">
        <v>1890</v>
      </c>
      <c r="I5517" s="6">
        <v>924.39958333667107</v>
      </c>
      <c r="J5517" s="5">
        <v>6720</v>
      </c>
      <c r="K5517" s="6">
        <f t="shared" si="224"/>
        <v>2.04457037202239</v>
      </c>
    </row>
    <row r="5518" spans="1:11" hidden="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H5518" s="5">
        <v>1520</v>
      </c>
      <c r="I5518" s="6">
        <v>1122.485208333339</v>
      </c>
      <c r="J5518" s="5">
        <v>8160</v>
      </c>
      <c r="K5518" s="6">
        <f t="shared" si="224"/>
        <v>1.3541381113225441</v>
      </c>
    </row>
    <row r="5519" spans="1:11" hidden="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H5519" s="5">
        <v>440</v>
      </c>
      <c r="I5519" s="6">
        <v>396.17125000000198</v>
      </c>
      <c r="J5519" s="5">
        <v>2880</v>
      </c>
      <c r="K5519" s="6">
        <f t="shared" si="224"/>
        <v>1.1106308193741918</v>
      </c>
    </row>
    <row r="5520" spans="1:11" hidden="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H5520" s="5">
        <v>3630</v>
      </c>
      <c r="I5520" s="6">
        <v>1535.9749999999999</v>
      </c>
      <c r="J5520" s="5">
        <v>11200</v>
      </c>
      <c r="K5520" s="6">
        <f t="shared" si="224"/>
        <v>2.3633197154901611</v>
      </c>
    </row>
    <row r="5521" spans="1:11" hidden="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H5521" s="5">
        <v>2060</v>
      </c>
      <c r="I5521" s="6">
        <v>1535.9749999999999</v>
      </c>
      <c r="J5521" s="5">
        <v>11200</v>
      </c>
      <c r="K5521" s="6">
        <f t="shared" si="224"/>
        <v>1.341167662234086</v>
      </c>
    </row>
    <row r="5522" spans="1:11" hidden="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H5522" s="5">
        <v>930</v>
      </c>
      <c r="I5522" s="6">
        <v>594.25687500000299</v>
      </c>
      <c r="J5522" s="5">
        <v>4320</v>
      </c>
      <c r="K5522" s="6">
        <f t="shared" si="224"/>
        <v>1.5649797909363612</v>
      </c>
    </row>
    <row r="5523" spans="1:11" hidden="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H5523" s="5">
        <v>4240</v>
      </c>
      <c r="I5523" s="6">
        <v>2575.1131250013459</v>
      </c>
      <c r="J5523" s="5">
        <v>18720</v>
      </c>
      <c r="K5523" s="6">
        <f t="shared" si="224"/>
        <v>1.6465296063441035</v>
      </c>
    </row>
    <row r="5524" spans="1:11" hidden="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H5524" s="5">
        <v>990</v>
      </c>
      <c r="I5524" s="6">
        <v>528.37931032368999</v>
      </c>
      <c r="J5524" s="5">
        <v>4000</v>
      </c>
      <c r="K5524" s="6">
        <f t="shared" ref="K5524:K5530" si="226">IFERROR(H5524/I5524,"")</f>
        <v>1.8736539842817028</v>
      </c>
    </row>
    <row r="5525" spans="1:11" hidden="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H5525" s="5">
        <v>4925</v>
      </c>
      <c r="I5525" s="6">
        <v>2272.0310343918732</v>
      </c>
      <c r="J5525" s="5">
        <v>17200</v>
      </c>
      <c r="K5525" s="6">
        <f t="shared" si="226"/>
        <v>2.1676640527571909</v>
      </c>
    </row>
    <row r="5526" spans="1:11" hidden="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H5526" s="5">
        <v>1740</v>
      </c>
      <c r="I5526" s="6">
        <v>1162.4344827121224</v>
      </c>
      <c r="J5526" s="5">
        <v>8800</v>
      </c>
      <c r="K5526" s="6">
        <f t="shared" si="226"/>
        <v>1.4968585549357898</v>
      </c>
    </row>
    <row r="5527" spans="1:11" hidden="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H5527" s="5">
        <v>770</v>
      </c>
      <c r="I5527" s="6">
        <v>1162.4344827121181</v>
      </c>
      <c r="J5527" s="5">
        <v>8800</v>
      </c>
      <c r="K5527" s="6">
        <f t="shared" si="226"/>
        <v>0.66240292373595544</v>
      </c>
    </row>
    <row r="5528" spans="1:11" hidden="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H5528" s="5">
        <v>1920</v>
      </c>
      <c r="I5528" s="6">
        <v>1056.7586206473827</v>
      </c>
      <c r="J5528" s="5">
        <v>8000</v>
      </c>
      <c r="K5528" s="6">
        <f t="shared" si="226"/>
        <v>1.8168765908186162</v>
      </c>
    </row>
    <row r="5529" spans="1:11" hidden="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H5529" s="5">
        <v>1590</v>
      </c>
      <c r="I5529" s="6">
        <v>1109.596551679753</v>
      </c>
      <c r="J5529" s="5">
        <v>8400</v>
      </c>
      <c r="K5529" s="6">
        <f t="shared" si="226"/>
        <v>1.4329532635920619</v>
      </c>
    </row>
    <row r="5530" spans="1:11" hidden="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H5530" s="5">
        <v>3050</v>
      </c>
      <c r="I5530" s="6">
        <v>1902.1655171652881</v>
      </c>
      <c r="J5530" s="5">
        <v>14400</v>
      </c>
      <c r="K5530" s="6">
        <f t="shared" si="226"/>
        <v>1.6034356487259207</v>
      </c>
    </row>
    <row r="5531" spans="1:11" hidden="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H5531" s="5">
        <v>2225</v>
      </c>
      <c r="I5531" s="6">
        <v>951.10714281909407</v>
      </c>
      <c r="J5531" s="5">
        <v>7200</v>
      </c>
      <c r="K5531" s="6">
        <f t="shared" ref="K5531:K5593" si="227">+H5531/I5531</f>
        <v>2.3393789193981562</v>
      </c>
    </row>
    <row r="5532" spans="1:11" hidden="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H5532" s="5">
        <v>6450</v>
      </c>
      <c r="I5532" s="6">
        <v>3804.4285712763772</v>
      </c>
      <c r="J5532" s="5">
        <v>28800</v>
      </c>
      <c r="K5532" s="6">
        <f t="shared" si="227"/>
        <v>1.6953925876537195</v>
      </c>
    </row>
    <row r="5533" spans="1:11" hidden="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H5533" s="5">
        <v>4410</v>
      </c>
      <c r="I5533" s="6">
        <v>2641.8965516184649</v>
      </c>
      <c r="J5533" s="5">
        <v>20000</v>
      </c>
      <c r="K5533" s="6">
        <f t="shared" si="227"/>
        <v>1.6692553678145985</v>
      </c>
    </row>
    <row r="5534" spans="1:11" hidden="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H5534" s="5">
        <v>12300</v>
      </c>
      <c r="I5534" s="6">
        <v>3592.9793102010913</v>
      </c>
      <c r="J5534" s="5">
        <v>26044</v>
      </c>
      <c r="K5534" s="6">
        <f t="shared" si="227"/>
        <v>3.4233428411564093</v>
      </c>
    </row>
    <row r="5535" spans="1:11" hidden="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H5535" s="5">
        <v>2175</v>
      </c>
      <c r="I5535" s="6">
        <v>1268.1103447768633</v>
      </c>
      <c r="J5535" s="5">
        <v>9600</v>
      </c>
      <c r="K5535" s="6">
        <f t="shared" si="227"/>
        <v>1.7151504275305893</v>
      </c>
    </row>
    <row r="5536" spans="1:11" hidden="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H5536" s="5">
        <v>675</v>
      </c>
      <c r="I5536" s="6">
        <v>528.37931032368999</v>
      </c>
      <c r="J5536" s="5">
        <v>4000</v>
      </c>
      <c r="K5536" s="6">
        <f t="shared" si="227"/>
        <v>1.2774913529193428</v>
      </c>
    </row>
    <row r="5537" spans="1:11" hidden="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H5537" s="5">
        <v>1950</v>
      </c>
      <c r="I5537" s="6">
        <v>1162.4344827121247</v>
      </c>
      <c r="J5537" s="5">
        <v>8800</v>
      </c>
      <c r="K5537" s="6">
        <f t="shared" si="227"/>
        <v>1.6775138977728647</v>
      </c>
    </row>
    <row r="5538" spans="1:11" hidden="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H5538" s="5">
        <v>1200</v>
      </c>
      <c r="I5538" s="6">
        <v>528.3915024419166</v>
      </c>
      <c r="J5538" s="5">
        <v>4000</v>
      </c>
      <c r="K5538" s="6">
        <f t="shared" si="227"/>
        <v>2.2710433352056225</v>
      </c>
    </row>
    <row r="5539" spans="1:11" hidden="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H5539" s="5">
        <v>12300</v>
      </c>
      <c r="I5539" s="6">
        <v>3910.1071427007282</v>
      </c>
      <c r="J5539" s="5">
        <v>29260</v>
      </c>
      <c r="K5539" s="6">
        <f t="shared" si="227"/>
        <v>3.1456938521393907</v>
      </c>
    </row>
    <row r="5540" spans="1:11" hidden="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H5540" s="5">
        <v>3625</v>
      </c>
      <c r="I5540" s="6">
        <v>1902.2142856381945</v>
      </c>
      <c r="J5540" s="5">
        <v>14400</v>
      </c>
      <c r="K5540" s="6">
        <f t="shared" si="227"/>
        <v>1.9056738388355703</v>
      </c>
    </row>
    <row r="5541" spans="1:11" hidden="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H5541" s="5">
        <v>2100</v>
      </c>
      <c r="I5541" s="6">
        <v>1162.4642856677858</v>
      </c>
      <c r="J5541" s="5">
        <v>8800</v>
      </c>
      <c r="K5541" s="6">
        <f t="shared" si="227"/>
        <v>1.8065071124259444</v>
      </c>
    </row>
    <row r="5542" spans="1:11" hidden="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H5542" s="5">
        <v>690</v>
      </c>
      <c r="I5542" s="6">
        <v>317.03571427303262</v>
      </c>
      <c r="J5542" s="5">
        <v>2400</v>
      </c>
      <c r="K5542" s="6">
        <f t="shared" si="227"/>
        <v>2.1764109497322086</v>
      </c>
    </row>
    <row r="5543" spans="1:11" hidden="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H5543" s="5">
        <v>1000</v>
      </c>
      <c r="I5543" s="6">
        <v>951.10714281875391</v>
      </c>
      <c r="J5543" s="5">
        <v>7200</v>
      </c>
      <c r="K5543" s="6">
        <f t="shared" si="227"/>
        <v>1.0514062559096597</v>
      </c>
    </row>
    <row r="5544" spans="1:11" hidden="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H5544" s="5">
        <v>1100</v>
      </c>
      <c r="I5544" s="6">
        <v>898.26785710660101</v>
      </c>
      <c r="J5544" s="5">
        <v>6800</v>
      </c>
      <c r="K5544" s="6">
        <f t="shared" si="227"/>
        <v>1.2245790510006622</v>
      </c>
    </row>
    <row r="5545" spans="1:11" hidden="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H5545" s="5">
        <v>1925</v>
      </c>
      <c r="I5545" s="6">
        <v>1162.4642856673661</v>
      </c>
      <c r="J5545" s="5">
        <v>8800</v>
      </c>
      <c r="K5545" s="6">
        <f t="shared" si="227"/>
        <v>1.6559648530577138</v>
      </c>
    </row>
    <row r="5546" spans="1:11" hidden="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H5546" s="5">
        <v>1800</v>
      </c>
      <c r="I5546" s="6">
        <v>686.91071425798896</v>
      </c>
      <c r="J5546" s="5">
        <v>5200</v>
      </c>
      <c r="K5546" s="6">
        <f t="shared" si="227"/>
        <v>2.6204278993440746</v>
      </c>
    </row>
    <row r="5547" spans="1:11" hidden="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H5547" s="5">
        <v>2100</v>
      </c>
      <c r="I5547" s="6">
        <v>845.428571394752</v>
      </c>
      <c r="J5547" s="5">
        <v>6400</v>
      </c>
      <c r="K5547" s="6">
        <f t="shared" si="227"/>
        <v>2.4839472795856774</v>
      </c>
    </row>
    <row r="5548" spans="1:11" hidden="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H5548" s="5">
        <v>5675</v>
      </c>
      <c r="I5548" s="6">
        <v>3910.1071427007355</v>
      </c>
      <c r="J5548" s="5">
        <v>29600</v>
      </c>
      <c r="K5548" s="6">
        <f t="shared" si="227"/>
        <v>1.4513668789342284</v>
      </c>
    </row>
    <row r="5549" spans="1:11" hidden="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H5549" s="5">
        <v>7425</v>
      </c>
      <c r="I5549" s="6">
        <v>4015.7857141250793</v>
      </c>
      <c r="J5549" s="5">
        <v>30400</v>
      </c>
      <c r="K5549" s="6">
        <f t="shared" si="227"/>
        <v>1.8489532381878317</v>
      </c>
    </row>
    <row r="5550" spans="1:11" hidden="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H5550" s="5">
        <v>5640</v>
      </c>
      <c r="I5550" s="6">
        <v>2747.5751230427709</v>
      </c>
      <c r="J5550" s="5">
        <v>20800</v>
      </c>
      <c r="K5550" s="6">
        <f t="shared" si="227"/>
        <v>2.0527191241104434</v>
      </c>
    </row>
    <row r="5551" spans="1:11" hidden="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H5551" s="5">
        <v>1500</v>
      </c>
      <c r="I5551" s="6">
        <v>1056.75862064738</v>
      </c>
      <c r="J5551" s="5">
        <v>9600</v>
      </c>
      <c r="K5551" s="6">
        <f t="shared" si="227"/>
        <v>1.4194348365770475</v>
      </c>
    </row>
    <row r="5552" spans="1:11" hidden="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H5552" s="5">
        <v>450</v>
      </c>
      <c r="I5552" s="6">
        <v>369.86551722658481</v>
      </c>
      <c r="J5552" s="5">
        <v>3080</v>
      </c>
      <c r="K5552" s="6">
        <f t="shared" si="227"/>
        <v>1.216658431351749</v>
      </c>
    </row>
    <row r="5553" spans="1:11" hidden="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H5553" s="5">
        <v>13290</v>
      </c>
      <c r="I5553" s="6">
        <v>3592.9793102011122</v>
      </c>
      <c r="J5553" s="5">
        <v>27820</v>
      </c>
      <c r="K5553" s="6">
        <f t="shared" si="227"/>
        <v>3.6988801917860501</v>
      </c>
    </row>
    <row r="5554" spans="1:11" hidden="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H5554" s="5">
        <v>4140</v>
      </c>
      <c r="I5554" s="6">
        <v>1585.2222221588099</v>
      </c>
      <c r="J5554" s="5">
        <v>11490</v>
      </c>
      <c r="K5554" s="6">
        <f t="shared" si="227"/>
        <v>2.6116212239076528</v>
      </c>
    </row>
    <row r="5555" spans="1:11" hidden="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H5555" s="5">
        <v>3270</v>
      </c>
      <c r="I5555" s="6">
        <v>2219.311111022334</v>
      </c>
      <c r="J5555" s="5">
        <v>16800</v>
      </c>
      <c r="K5555" s="6">
        <f t="shared" si="227"/>
        <v>1.4734301936124954</v>
      </c>
    </row>
    <row r="5556" spans="1:11" hidden="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H5556" s="5">
        <v>3800</v>
      </c>
      <c r="I5556" s="6">
        <v>2959.0814813631118</v>
      </c>
      <c r="J5556" s="5">
        <v>22400</v>
      </c>
      <c r="K5556" s="6">
        <f t="shared" si="227"/>
        <v>1.2841822788365787</v>
      </c>
    </row>
    <row r="5557" spans="1:11" hidden="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H5557" s="5">
        <v>360</v>
      </c>
      <c r="I5557" s="6">
        <v>1796.5851851133182</v>
      </c>
      <c r="J5557" s="5">
        <v>13600</v>
      </c>
      <c r="K5557" s="6">
        <f t="shared" si="227"/>
        <v>0.20038014505685312</v>
      </c>
    </row>
    <row r="5558" spans="1:11" hidden="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H5558" s="5">
        <v>1750</v>
      </c>
      <c r="I5558" s="6">
        <v>1912.3542857142861</v>
      </c>
      <c r="J5558" s="5">
        <v>16320</v>
      </c>
      <c r="K5558" s="6">
        <f t="shared" si="227"/>
        <v>0.91510240182632008</v>
      </c>
    </row>
    <row r="5559" spans="1:11" hidden="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H5559" s="5">
        <v>3510</v>
      </c>
      <c r="I5559" s="6">
        <v>2812.2857142428579</v>
      </c>
      <c r="J5559" s="5">
        <v>20000</v>
      </c>
      <c r="K5559" s="6">
        <f t="shared" si="227"/>
        <v>1.2480950929784833</v>
      </c>
    </row>
    <row r="5560" spans="1:11" hidden="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H5560" s="5">
        <v>3650</v>
      </c>
      <c r="I5560" s="6">
        <v>1768.8376470588223</v>
      </c>
      <c r="J5560" s="5">
        <v>12800</v>
      </c>
      <c r="K5560" s="6">
        <f t="shared" si="227"/>
        <v>2.0635019873469598</v>
      </c>
    </row>
    <row r="5561" spans="1:11" hidden="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H5561" s="5">
        <v>4160</v>
      </c>
      <c r="I5561" s="6">
        <v>2263.7999998868127</v>
      </c>
      <c r="J5561" s="5">
        <v>17920</v>
      </c>
      <c r="K5561" s="6">
        <f t="shared" si="227"/>
        <v>1.837618164240655</v>
      </c>
    </row>
    <row r="5562" spans="1:11" hidden="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H5562" s="5">
        <v>930</v>
      </c>
      <c r="I5562" s="6">
        <v>994.97117647058747</v>
      </c>
      <c r="J5562" s="5">
        <v>7200</v>
      </c>
      <c r="K5562" s="6">
        <f t="shared" si="227"/>
        <v>0.93470044358364579</v>
      </c>
    </row>
    <row r="5563" spans="1:11" hidden="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H5563" s="5">
        <v>1020</v>
      </c>
      <c r="I5563" s="6">
        <v>994.97117647058747</v>
      </c>
      <c r="J5563" s="5">
        <v>7920</v>
      </c>
      <c r="K5563" s="6">
        <f t="shared" si="227"/>
        <v>1.0251553252207728</v>
      </c>
    </row>
    <row r="5564" spans="1:11" hidden="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H5564" s="5">
        <v>3375</v>
      </c>
      <c r="I5564" s="6">
        <v>2263.7999998868127</v>
      </c>
      <c r="J5564" s="5">
        <v>17920</v>
      </c>
      <c r="K5564" s="6">
        <f t="shared" si="227"/>
        <v>1.4908560827673585</v>
      </c>
    </row>
    <row r="5565" spans="1:11" hidden="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H5565" s="5">
        <v>12420</v>
      </c>
      <c r="I5565" s="6">
        <v>6727.0499997982479</v>
      </c>
      <c r="J5565" s="5">
        <v>49210</v>
      </c>
      <c r="K5565" s="6">
        <f t="shared" si="227"/>
        <v>1.8462773430214567</v>
      </c>
    </row>
    <row r="5566" spans="1:11" hidden="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H5566" s="5">
        <v>1380</v>
      </c>
      <c r="I5566" s="6">
        <v>994.95</v>
      </c>
      <c r="J5566" s="5">
        <v>7200</v>
      </c>
      <c r="K5566" s="6">
        <f t="shared" si="227"/>
        <v>1.3870043720789988</v>
      </c>
    </row>
    <row r="5567" spans="1:11" hidden="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H5567" s="5">
        <v>1175</v>
      </c>
      <c r="I5567" s="6">
        <v>831.6</v>
      </c>
      <c r="J5567" s="5">
        <v>6300</v>
      </c>
      <c r="K5567" s="6">
        <f t="shared" si="227"/>
        <v>1.4129389129389129</v>
      </c>
    </row>
    <row r="5568" spans="1:11" hidden="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H5568" s="5">
        <v>3325</v>
      </c>
      <c r="I5568" s="6">
        <v>1267.2</v>
      </c>
      <c r="J5568" s="5">
        <v>9600</v>
      </c>
      <c r="K5568" s="6">
        <f t="shared" si="227"/>
        <v>2.623895202020202</v>
      </c>
    </row>
    <row r="5569" spans="1:11" hidden="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H5569" s="5">
        <v>300</v>
      </c>
      <c r="I5569" s="6">
        <v>316.8</v>
      </c>
      <c r="J5569" s="5">
        <v>2400</v>
      </c>
      <c r="K5569" s="6">
        <f t="shared" si="227"/>
        <v>0.94696969696969691</v>
      </c>
    </row>
    <row r="5570" spans="1:11" hidden="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H5570" s="5">
        <v>9090</v>
      </c>
      <c r="I5570" s="6">
        <v>3603.6</v>
      </c>
      <c r="J5570" s="5">
        <v>27296</v>
      </c>
      <c r="K5570" s="6">
        <f t="shared" si="227"/>
        <v>2.5224775224775224</v>
      </c>
    </row>
    <row r="5571" spans="1:11" hidden="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H5571" s="5">
        <v>3600</v>
      </c>
      <c r="I5571" s="6">
        <v>3682.8</v>
      </c>
      <c r="J5571" s="5">
        <v>27900</v>
      </c>
      <c r="K5571" s="6">
        <f t="shared" si="227"/>
        <v>0.97751710654936452</v>
      </c>
    </row>
    <row r="5572" spans="1:11" hidden="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H5572" s="5">
        <v>2975</v>
      </c>
      <c r="I5572" s="6">
        <v>2376</v>
      </c>
      <c r="J5572" s="5">
        <v>18000</v>
      </c>
      <c r="K5572" s="6">
        <f t="shared" si="227"/>
        <v>1.2521043771043772</v>
      </c>
    </row>
    <row r="5573" spans="1:11" hidden="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H5573" s="5">
        <v>1050</v>
      </c>
      <c r="I5573" s="6">
        <v>950.4</v>
      </c>
      <c r="J5573" s="5">
        <v>7200</v>
      </c>
      <c r="K5573" s="6">
        <f t="shared" si="227"/>
        <v>1.1047979797979799</v>
      </c>
    </row>
    <row r="5574" spans="1:11" hidden="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H5574" s="5">
        <v>1575</v>
      </c>
      <c r="I5574" s="6">
        <v>1346.4</v>
      </c>
      <c r="J5574" s="5">
        <v>10200</v>
      </c>
      <c r="K5574" s="6">
        <f t="shared" si="227"/>
        <v>1.1697860962566844</v>
      </c>
    </row>
    <row r="5575" spans="1:11" hidden="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H5575" s="5">
        <v>6150</v>
      </c>
      <c r="I5575" s="6">
        <v>2851.2</v>
      </c>
      <c r="J5575" s="5">
        <v>21600</v>
      </c>
      <c r="K5575" s="6">
        <f t="shared" si="227"/>
        <v>2.156986531986532</v>
      </c>
    </row>
    <row r="5576" spans="1:11" hidden="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H5576" s="5">
        <v>1850</v>
      </c>
      <c r="I5576" s="6">
        <v>2138.4</v>
      </c>
      <c r="J5576" s="5">
        <v>16200</v>
      </c>
      <c r="K5576" s="6">
        <f t="shared" si="227"/>
        <v>0.86513280957725402</v>
      </c>
    </row>
    <row r="5577" spans="1:11" hidden="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H5577" s="5">
        <v>1625</v>
      </c>
      <c r="I5577" s="6">
        <v>963.6</v>
      </c>
      <c r="J5577" s="5">
        <v>7570</v>
      </c>
      <c r="K5577" s="6">
        <f t="shared" si="227"/>
        <v>1.6863843918638439</v>
      </c>
    </row>
    <row r="5578" spans="1:11" hidden="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H5578" s="5">
        <v>7225</v>
      </c>
      <c r="I5578" s="6">
        <v>3168</v>
      </c>
      <c r="J5578" s="5">
        <v>24000</v>
      </c>
      <c r="K5578" s="6">
        <f t="shared" si="227"/>
        <v>2.2806186868686869</v>
      </c>
    </row>
    <row r="5579" spans="1:11" hidden="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H5579" s="5">
        <v>1980</v>
      </c>
      <c r="I5579" s="6">
        <v>1188</v>
      </c>
      <c r="J5579" s="5">
        <v>9000</v>
      </c>
      <c r="K5579" s="6">
        <f t="shared" si="227"/>
        <v>1.6666666666666667</v>
      </c>
    </row>
    <row r="5580" spans="1:11" hidden="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H5580" s="5">
        <v>5525</v>
      </c>
      <c r="I5580" s="6">
        <v>2732.4</v>
      </c>
      <c r="J5580" s="5">
        <v>20700</v>
      </c>
      <c r="K5580" s="6">
        <f t="shared" si="227"/>
        <v>2.022031913336261</v>
      </c>
    </row>
    <row r="5581" spans="1:11" hidden="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H5581" s="5">
        <v>1230</v>
      </c>
      <c r="I5581" s="6">
        <v>673.2</v>
      </c>
      <c r="J5581" s="5">
        <v>5100</v>
      </c>
      <c r="K5581" s="6">
        <f t="shared" si="227"/>
        <v>1.8270944741532975</v>
      </c>
    </row>
    <row r="5582" spans="1:11" hidden="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H5582" s="5">
        <v>1875</v>
      </c>
      <c r="I5582" s="6">
        <v>1100.4749999999999</v>
      </c>
      <c r="J5582" s="5">
        <v>8000</v>
      </c>
      <c r="K5582" s="6">
        <f t="shared" si="227"/>
        <v>1.7038097185306347</v>
      </c>
    </row>
    <row r="5583" spans="1:11" hidden="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H5583" s="5">
        <v>3475</v>
      </c>
      <c r="I5583" s="6">
        <v>1287</v>
      </c>
      <c r="J5583" s="5">
        <v>9400</v>
      </c>
      <c r="K5583" s="6">
        <f t="shared" si="227"/>
        <v>2.7000777000777001</v>
      </c>
    </row>
    <row r="5584" spans="1:11" hidden="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H5584" s="5">
        <v>6390</v>
      </c>
      <c r="I5584" s="6">
        <v>2641.14</v>
      </c>
      <c r="J5584" s="5">
        <v>19200</v>
      </c>
      <c r="K5584" s="6">
        <f t="shared" si="227"/>
        <v>2.4194098003135012</v>
      </c>
    </row>
    <row r="5585" spans="1:11" hidden="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H5585" s="5">
        <v>6180</v>
      </c>
      <c r="I5585" s="6">
        <v>2641.14</v>
      </c>
      <c r="J5585" s="5">
        <v>19200</v>
      </c>
      <c r="K5585" s="6">
        <f t="shared" si="227"/>
        <v>2.3398986801154047</v>
      </c>
    </row>
    <row r="5586" spans="1:11" hidden="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H5586" s="5">
        <v>3150</v>
      </c>
      <c r="I5586" s="6">
        <v>1430.6174906250001</v>
      </c>
      <c r="J5586" s="5">
        <v>10400</v>
      </c>
      <c r="K5586" s="6">
        <f t="shared" si="227"/>
        <v>2.2018464199146943</v>
      </c>
    </row>
    <row r="5587" spans="1:11" hidden="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H5587" s="5">
        <v>3270</v>
      </c>
      <c r="I5587" s="6">
        <v>1430.6175000000001</v>
      </c>
      <c r="J5587" s="5">
        <v>10400</v>
      </c>
      <c r="K5587" s="6">
        <f t="shared" si="227"/>
        <v>2.2857262685518664</v>
      </c>
    </row>
    <row r="5588" spans="1:11" hidden="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H5588" s="5">
        <v>5040</v>
      </c>
      <c r="I5588" s="6">
        <v>2861.2350000000001</v>
      </c>
      <c r="J5588" s="5">
        <v>20800</v>
      </c>
      <c r="K5588" s="6">
        <f t="shared" si="227"/>
        <v>1.7614771243885943</v>
      </c>
    </row>
    <row r="5589" spans="1:11" hidden="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H5589" s="5">
        <v>5325</v>
      </c>
      <c r="I5589" s="6">
        <v>3071.9505625000002</v>
      </c>
      <c r="J5589" s="5">
        <v>22400</v>
      </c>
      <c r="K5589" s="6">
        <f t="shared" si="227"/>
        <v>1.7334263334193873</v>
      </c>
    </row>
    <row r="5590" spans="1:11" hidden="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H5590" s="5">
        <v>3775</v>
      </c>
      <c r="I5590" s="6">
        <v>1097.125</v>
      </c>
      <c r="J5590" s="5">
        <v>8000</v>
      </c>
      <c r="K5590" s="6">
        <f t="shared" si="227"/>
        <v>3.4408112111199727</v>
      </c>
    </row>
    <row r="5591" spans="1:11" hidden="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H5591" s="5">
        <v>3825</v>
      </c>
      <c r="I5591" s="6">
        <v>2852.5250000000001</v>
      </c>
      <c r="J5591" s="5">
        <v>20800</v>
      </c>
      <c r="K5591" s="6">
        <f t="shared" si="227"/>
        <v>1.3409172575174626</v>
      </c>
    </row>
    <row r="5592" spans="1:11" hidden="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H5592" s="5">
        <v>5010</v>
      </c>
      <c r="I5592" s="6">
        <v>2633.1</v>
      </c>
      <c r="J5592" s="5">
        <v>19200</v>
      </c>
      <c r="K5592" s="6">
        <f t="shared" si="227"/>
        <v>1.9027002392617067</v>
      </c>
    </row>
    <row r="5593" spans="1:11" hidden="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H5593" s="5">
        <v>4380</v>
      </c>
      <c r="I5593" s="6">
        <v>2633.1</v>
      </c>
      <c r="J5593" s="5">
        <v>19200</v>
      </c>
      <c r="K5593" s="6">
        <f t="shared" si="227"/>
        <v>1.6634385325281988</v>
      </c>
    </row>
    <row r="5594" spans="1:11" hidden="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H5594" s="5">
        <v>5820</v>
      </c>
      <c r="I5594" s="6">
        <v>2852.5250000000001</v>
      </c>
      <c r="J5594" s="5">
        <v>20800</v>
      </c>
      <c r="K5594" s="6">
        <f t="shared" ref="K5594:K5657" si="229">+H5594/I5594</f>
        <v>2.0402976310461782</v>
      </c>
    </row>
    <row r="5595" spans="1:11" hidden="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H5595" s="5">
        <v>6330</v>
      </c>
      <c r="I5595" s="6">
        <v>2852.5250000000001</v>
      </c>
      <c r="J5595" s="5">
        <v>20800</v>
      </c>
      <c r="K5595" s="6">
        <f t="shared" si="229"/>
        <v>2.2190865987151733</v>
      </c>
    </row>
    <row r="5596" spans="1:11" hidden="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H5596" s="5">
        <v>3450</v>
      </c>
      <c r="I5596" s="6">
        <v>3071.95</v>
      </c>
      <c r="J5596" s="5">
        <v>22400</v>
      </c>
      <c r="K5596" s="6">
        <f t="shared" si="229"/>
        <v>1.1230651540552419</v>
      </c>
    </row>
    <row r="5597" spans="1:11" hidden="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H5597" s="5">
        <v>4075</v>
      </c>
      <c r="I5597" s="6">
        <v>1645.6875</v>
      </c>
      <c r="J5597" s="5">
        <v>12000</v>
      </c>
      <c r="K5597" s="6">
        <f t="shared" si="229"/>
        <v>2.4761687744483689</v>
      </c>
    </row>
    <row r="5598" spans="1:11" hidden="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H5598" s="5">
        <v>9900</v>
      </c>
      <c r="I5598" s="6">
        <v>4121.4642855494085</v>
      </c>
      <c r="J5598" s="5">
        <v>31200</v>
      </c>
      <c r="K5598" s="6">
        <f t="shared" si="229"/>
        <v>2.4020589077312091</v>
      </c>
    </row>
    <row r="5599" spans="1:11" hidden="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H5599" s="5">
        <v>2340</v>
      </c>
      <c r="I5599" s="6">
        <v>1056.7857142434418</v>
      </c>
      <c r="J5599" s="5">
        <v>8000</v>
      </c>
      <c r="K5599" s="6">
        <f t="shared" si="229"/>
        <v>2.2142615749449432</v>
      </c>
    </row>
    <row r="5600" spans="1:11" hidden="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H5600" s="5">
        <v>9720</v>
      </c>
      <c r="I5600" s="6">
        <v>2641.9642856076484</v>
      </c>
      <c r="J5600" s="5">
        <v>19996</v>
      </c>
      <c r="K5600" s="6">
        <f t="shared" si="229"/>
        <v>3.6790807706790831</v>
      </c>
    </row>
    <row r="5601" spans="1:11" hidden="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H5601" s="5">
        <v>1640</v>
      </c>
      <c r="I5601" s="6">
        <v>528.39285712153003</v>
      </c>
      <c r="J5601" s="5">
        <v>4000</v>
      </c>
      <c r="K5601" s="6">
        <f t="shared" si="229"/>
        <v>3.1037512674453147</v>
      </c>
    </row>
    <row r="5602" spans="1:11" hidden="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H5602" s="5">
        <v>4890</v>
      </c>
      <c r="I5602" s="6">
        <v>1902.2142856375078</v>
      </c>
      <c r="J5602" s="5">
        <v>14400</v>
      </c>
      <c r="K5602" s="6">
        <f t="shared" si="229"/>
        <v>2.5706882956991177</v>
      </c>
    </row>
    <row r="5603" spans="1:11" hidden="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H5603" s="5">
        <v>1220</v>
      </c>
      <c r="I5603" s="6">
        <v>634.05652706821195</v>
      </c>
      <c r="J5603" s="5">
        <v>4800</v>
      </c>
      <c r="K5603" s="6">
        <f t="shared" si="229"/>
        <v>1.9241186675281274</v>
      </c>
    </row>
    <row r="5604" spans="1:11" hidden="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H5604" s="5">
        <v>15120</v>
      </c>
      <c r="I5604" s="6">
        <v>4487.9999999102474</v>
      </c>
      <c r="J5604" s="5">
        <v>31740</v>
      </c>
      <c r="K5604" s="6">
        <f t="shared" si="229"/>
        <v>3.3689839572866256</v>
      </c>
    </row>
    <row r="5605" spans="1:11" hidden="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H5605" s="5">
        <v>4250</v>
      </c>
      <c r="I5605" s="6">
        <v>1702.8</v>
      </c>
      <c r="J5605" s="5">
        <v>12900</v>
      </c>
      <c r="K5605" s="6">
        <f t="shared" si="229"/>
        <v>2.4958891237961005</v>
      </c>
    </row>
    <row r="5606" spans="1:11" hidden="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H5606" s="5">
        <v>5040</v>
      </c>
      <c r="I5606" s="6">
        <v>3009.6</v>
      </c>
      <c r="J5606" s="5">
        <v>22800</v>
      </c>
      <c r="K5606" s="6">
        <f t="shared" si="229"/>
        <v>1.6746411483253589</v>
      </c>
    </row>
    <row r="5607" spans="1:11" hidden="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H5607" s="5">
        <v>4380</v>
      </c>
      <c r="I5607" s="6">
        <v>1386</v>
      </c>
      <c r="J5607" s="5">
        <v>10500</v>
      </c>
      <c r="K5607" s="6">
        <f t="shared" si="229"/>
        <v>3.16017316017316</v>
      </c>
    </row>
    <row r="5608" spans="1:11" hidden="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H5608" s="5">
        <v>4650</v>
      </c>
      <c r="I5608" s="6">
        <v>1386</v>
      </c>
      <c r="J5608" s="5">
        <v>10500</v>
      </c>
      <c r="K5608" s="6">
        <f t="shared" si="229"/>
        <v>3.3549783549783552</v>
      </c>
    </row>
    <row r="5609" spans="1:11" hidden="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H5609" s="5">
        <v>1600</v>
      </c>
      <c r="I5609" s="6">
        <v>1029.5999999999999</v>
      </c>
      <c r="J5609" s="5">
        <v>7800</v>
      </c>
      <c r="K5609" s="6">
        <f t="shared" si="229"/>
        <v>1.5540015540015542</v>
      </c>
    </row>
    <row r="5610" spans="1:11" hidden="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H5610" s="5">
        <v>3350</v>
      </c>
      <c r="I5610" s="6">
        <v>2653.2</v>
      </c>
      <c r="J5610" s="5">
        <v>20100</v>
      </c>
      <c r="K5610" s="6">
        <f t="shared" si="229"/>
        <v>1.2626262626262628</v>
      </c>
    </row>
    <row r="5611" spans="1:11" hidden="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H5611" s="5">
        <v>6360</v>
      </c>
      <c r="I5611" s="6">
        <v>1768.8</v>
      </c>
      <c r="J5611" s="5">
        <v>13400</v>
      </c>
      <c r="K5611" s="6">
        <f t="shared" si="229"/>
        <v>3.5956580732700139</v>
      </c>
    </row>
    <row r="5612" spans="1:11" hidden="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H5612" s="5">
        <v>1800</v>
      </c>
      <c r="I5612" s="6">
        <v>1029.5999999999999</v>
      </c>
      <c r="J5612" s="5">
        <v>7800</v>
      </c>
      <c r="K5612" s="6">
        <f t="shared" si="229"/>
        <v>1.7482517482517483</v>
      </c>
    </row>
    <row r="5613" spans="1:11" hidden="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H5613" s="5">
        <v>4175</v>
      </c>
      <c r="I5613" s="6">
        <v>1346.4</v>
      </c>
      <c r="J5613" s="5">
        <v>10200</v>
      </c>
      <c r="K5613" s="6">
        <f t="shared" si="229"/>
        <v>3.1008615567439093</v>
      </c>
    </row>
    <row r="5614" spans="1:11" hidden="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H5614" s="5">
        <v>1020</v>
      </c>
      <c r="I5614" s="6">
        <v>440.18999062500001</v>
      </c>
      <c r="J5614" s="5">
        <v>3200</v>
      </c>
      <c r="K5614" s="6">
        <f t="shared" si="229"/>
        <v>2.3171812665521125</v>
      </c>
    </row>
    <row r="5615" spans="1:11" hidden="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H5615" s="5">
        <v>2400</v>
      </c>
      <c r="I5615" s="6">
        <v>880.38</v>
      </c>
      <c r="J5615" s="5">
        <v>6400</v>
      </c>
      <c r="K5615" s="6">
        <f t="shared" si="229"/>
        <v>2.7260955496490151</v>
      </c>
    </row>
    <row r="5616" spans="1:11" hidden="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H5616" s="5">
        <v>450</v>
      </c>
      <c r="I5616" s="6">
        <v>330.14249999999998</v>
      </c>
      <c r="J5616" s="5">
        <v>2400</v>
      </c>
      <c r="K5616" s="6">
        <f t="shared" si="229"/>
        <v>1.3630477748245076</v>
      </c>
    </row>
    <row r="5617" spans="1:11" hidden="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H5617" s="5">
        <v>3600</v>
      </c>
      <c r="I5617" s="6">
        <v>1430.6175000000001</v>
      </c>
      <c r="J5617" s="5">
        <v>10400</v>
      </c>
      <c r="K5617" s="6">
        <f t="shared" si="229"/>
        <v>2.5163958919837062</v>
      </c>
    </row>
    <row r="5618" spans="1:11" hidden="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H5618" s="5">
        <v>0</v>
      </c>
      <c r="I5618" s="6">
        <v>220.095</v>
      </c>
      <c r="J5618" s="5">
        <v>1600</v>
      </c>
      <c r="K5618" s="6">
        <f t="shared" si="229"/>
        <v>0</v>
      </c>
    </row>
    <row r="5619" spans="1:11" hidden="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H5619" s="5">
        <v>2880</v>
      </c>
      <c r="I5619" s="6">
        <v>1287.0000000000018</v>
      </c>
      <c r="J5619" s="5">
        <v>9400</v>
      </c>
      <c r="K5619" s="6">
        <f t="shared" si="229"/>
        <v>2.2377622377622348</v>
      </c>
    </row>
    <row r="5620" spans="1:11" hidden="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H5620" s="5">
        <v>6475</v>
      </c>
      <c r="I5620" s="6">
        <v>2641.14</v>
      </c>
      <c r="J5620" s="5">
        <v>19200</v>
      </c>
      <c r="K5620" s="6">
        <f t="shared" si="229"/>
        <v>2.4515928727746354</v>
      </c>
    </row>
    <row r="5621" spans="1:11" hidden="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H5621" s="5">
        <v>2580</v>
      </c>
      <c r="I5621" s="6">
        <v>880.38</v>
      </c>
      <c r="J5621" s="5">
        <v>6400</v>
      </c>
      <c r="K5621" s="6">
        <f t="shared" si="229"/>
        <v>2.9305527158726914</v>
      </c>
    </row>
    <row r="5622" spans="1:11" hidden="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H5622" s="5">
        <v>1620</v>
      </c>
      <c r="I5622" s="6">
        <v>880.38</v>
      </c>
      <c r="J5622" s="5">
        <v>6400</v>
      </c>
      <c r="K5622" s="6">
        <f t="shared" si="229"/>
        <v>1.8401144960130853</v>
      </c>
    </row>
    <row r="5623" spans="1:11" hidden="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H5623" s="5">
        <v>0</v>
      </c>
      <c r="I5623" s="6">
        <v>1755.4</v>
      </c>
      <c r="J5623" s="5">
        <v>12800</v>
      </c>
      <c r="K5623" s="6">
        <f t="shared" si="229"/>
        <v>0</v>
      </c>
    </row>
    <row r="5624" spans="1:11" hidden="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H5624" s="5">
        <v>5760</v>
      </c>
      <c r="I5624" s="6">
        <v>2413.6749943750001</v>
      </c>
      <c r="J5624" s="5">
        <v>17600</v>
      </c>
      <c r="K5624" s="6">
        <f t="shared" si="229"/>
        <v>2.3864024831112367</v>
      </c>
    </row>
    <row r="5625" spans="1:11" hidden="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H5625" s="5">
        <v>2480</v>
      </c>
      <c r="I5625" s="6">
        <v>1645.6875</v>
      </c>
      <c r="J5625" s="5">
        <v>12000</v>
      </c>
      <c r="K5625" s="6">
        <f t="shared" si="229"/>
        <v>1.5069689719342221</v>
      </c>
    </row>
    <row r="5626" spans="1:11" hidden="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H5626" s="5">
        <v>3180</v>
      </c>
      <c r="I5626" s="6">
        <v>726.32013058333712</v>
      </c>
      <c r="J5626" s="5">
        <v>5712</v>
      </c>
      <c r="K5626" s="6">
        <f t="shared" si="229"/>
        <v>4.3782347013375675</v>
      </c>
    </row>
    <row r="5627" spans="1:11" hidden="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H5627" s="5">
        <v>2700</v>
      </c>
      <c r="I5627" s="6">
        <v>924.39958333667107</v>
      </c>
      <c r="J5627" s="5">
        <v>6720</v>
      </c>
      <c r="K5627" s="6">
        <f t="shared" si="229"/>
        <v>2.9208148171748429</v>
      </c>
    </row>
    <row r="5628" spans="1:11" hidden="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H5628" s="5">
        <v>840</v>
      </c>
      <c r="I5628" s="6">
        <v>1122.485208333339</v>
      </c>
      <c r="J5628" s="5">
        <v>8160</v>
      </c>
      <c r="K5628" s="6">
        <f t="shared" si="229"/>
        <v>0.74833948257298488</v>
      </c>
    </row>
    <row r="5629" spans="1:11" hidden="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H5629" s="5">
        <v>500</v>
      </c>
      <c r="I5629" s="6">
        <v>396.17125000000198</v>
      </c>
      <c r="J5629" s="5">
        <v>2880</v>
      </c>
      <c r="K5629" s="6">
        <f t="shared" si="229"/>
        <v>1.2620804765615816</v>
      </c>
    </row>
    <row r="5630" spans="1:11" hidden="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H5630" s="5">
        <v>4890</v>
      </c>
      <c r="I5630" s="6">
        <v>1535.9749999999999</v>
      </c>
      <c r="J5630" s="5">
        <v>11200</v>
      </c>
      <c r="K5630" s="6">
        <f t="shared" si="229"/>
        <v>3.1836455671479031</v>
      </c>
    </row>
    <row r="5631" spans="1:11" hidden="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H5631" s="5">
        <v>3740</v>
      </c>
      <c r="I5631" s="6">
        <v>1535.9749999999999</v>
      </c>
      <c r="J5631" s="5">
        <v>11200</v>
      </c>
      <c r="K5631" s="6">
        <f t="shared" si="229"/>
        <v>2.4349354644444086</v>
      </c>
    </row>
    <row r="5632" spans="1:11" hidden="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H5632" s="5">
        <v>1200</v>
      </c>
      <c r="I5632" s="6">
        <v>594.25687500000299</v>
      </c>
      <c r="J5632" s="5">
        <v>4320</v>
      </c>
      <c r="K5632" s="6">
        <f t="shared" si="229"/>
        <v>2.0193287624985308</v>
      </c>
    </row>
    <row r="5633" spans="1:11" hidden="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H5633" s="5">
        <v>8760</v>
      </c>
      <c r="I5633" s="6">
        <v>2575.1131250013459</v>
      </c>
      <c r="J5633" s="5">
        <v>18720</v>
      </c>
      <c r="K5633" s="6">
        <f t="shared" si="229"/>
        <v>3.40179229989961</v>
      </c>
    </row>
    <row r="5634" spans="1:11" hidden="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H5634" s="5">
        <v>1350</v>
      </c>
      <c r="I5634" s="6">
        <v>528.37931032368999</v>
      </c>
      <c r="J5634" s="5">
        <v>4000</v>
      </c>
      <c r="K5634" s="6">
        <f t="shared" ref="K5634:K5640" si="230">IFERROR(H5634/I5634,"")</f>
        <v>2.5549827058386856</v>
      </c>
    </row>
    <row r="5635" spans="1:11" hidden="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H5635" s="5">
        <v>4825</v>
      </c>
      <c r="I5635" s="6">
        <v>2272.0310343918732</v>
      </c>
      <c r="J5635" s="5">
        <v>17200</v>
      </c>
      <c r="K5635" s="6">
        <f t="shared" si="230"/>
        <v>2.1236505694524763</v>
      </c>
    </row>
    <row r="5636" spans="1:11" hidden="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H5636" s="5">
        <v>1830</v>
      </c>
      <c r="I5636" s="6">
        <v>1162.4344827121224</v>
      </c>
      <c r="J5636" s="5">
        <v>8800</v>
      </c>
      <c r="K5636" s="6">
        <f t="shared" si="230"/>
        <v>1.5742822732945376</v>
      </c>
    </row>
    <row r="5637" spans="1:11" hidden="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H5637" s="5">
        <v>735</v>
      </c>
      <c r="I5637" s="6">
        <v>1162.4344827121181</v>
      </c>
      <c r="J5637" s="5">
        <v>8800</v>
      </c>
      <c r="K5637" s="6">
        <f t="shared" si="230"/>
        <v>0.63229369992977569</v>
      </c>
    </row>
    <row r="5638" spans="1:11" hidden="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H5638" s="5">
        <v>2580</v>
      </c>
      <c r="I5638" s="6">
        <v>1056.7586206473827</v>
      </c>
      <c r="J5638" s="5">
        <v>8000</v>
      </c>
      <c r="K5638" s="6">
        <f t="shared" si="230"/>
        <v>2.4414279189125154</v>
      </c>
    </row>
    <row r="5639" spans="1:11" hidden="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H5639" s="5">
        <v>1650</v>
      </c>
      <c r="I5639" s="6">
        <v>1109.596551679753</v>
      </c>
      <c r="J5639" s="5">
        <v>8400</v>
      </c>
      <c r="K5639" s="6">
        <f t="shared" si="230"/>
        <v>1.4870269716521396</v>
      </c>
    </row>
    <row r="5640" spans="1:11" hidden="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H5640" s="5">
        <v>3650</v>
      </c>
      <c r="I5640" s="6">
        <v>1902.1655171652881</v>
      </c>
      <c r="J5640" s="5">
        <v>14400</v>
      </c>
      <c r="K5640" s="6">
        <f t="shared" si="230"/>
        <v>1.9188656124097083</v>
      </c>
    </row>
    <row r="5641" spans="1:11" hidden="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H5641" s="5">
        <v>2700</v>
      </c>
      <c r="I5641" s="6">
        <v>951.10714281909407</v>
      </c>
      <c r="J5641" s="5">
        <v>7200</v>
      </c>
      <c r="K5641" s="6">
        <f t="shared" si="229"/>
        <v>2.838796890955066</v>
      </c>
    </row>
    <row r="5642" spans="1:11" hidden="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H5642" s="5">
        <v>9240</v>
      </c>
      <c r="I5642" s="6">
        <v>3804.4285712763772</v>
      </c>
      <c r="J5642" s="5">
        <v>28800</v>
      </c>
      <c r="K5642" s="6">
        <f t="shared" si="229"/>
        <v>2.4287484511504447</v>
      </c>
    </row>
    <row r="5643" spans="1:11" hidden="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H5643" s="5">
        <v>5250</v>
      </c>
      <c r="I5643" s="6">
        <v>2641.8965516184649</v>
      </c>
      <c r="J5643" s="5">
        <v>20000</v>
      </c>
      <c r="K5643" s="6">
        <f t="shared" si="229"/>
        <v>1.9872087712078554</v>
      </c>
    </row>
    <row r="5644" spans="1:11" hidden="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H5644" s="5">
        <v>12510</v>
      </c>
      <c r="I5644" s="6">
        <v>3592.9793102010913</v>
      </c>
      <c r="J5644" s="5">
        <v>26044</v>
      </c>
      <c r="K5644" s="6">
        <f t="shared" si="229"/>
        <v>3.4817901579566408</v>
      </c>
    </row>
    <row r="5645" spans="1:11" hidden="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H5645" s="5">
        <v>2200</v>
      </c>
      <c r="I5645" s="6">
        <v>1268.1103447768633</v>
      </c>
      <c r="J5645" s="5">
        <v>9600</v>
      </c>
      <c r="K5645" s="6">
        <f t="shared" si="229"/>
        <v>1.734864800260826</v>
      </c>
    </row>
    <row r="5646" spans="1:11" hidden="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H5646" s="5">
        <v>750</v>
      </c>
      <c r="I5646" s="6">
        <v>528.37931032368999</v>
      </c>
      <c r="J5646" s="5">
        <v>4000</v>
      </c>
      <c r="K5646" s="6">
        <f t="shared" si="229"/>
        <v>1.4194348365770475</v>
      </c>
    </row>
    <row r="5647" spans="1:11" hidden="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H5647" s="5">
        <v>1800</v>
      </c>
      <c r="I5647" s="6">
        <v>1162.4344827121247</v>
      </c>
      <c r="J5647" s="5">
        <v>8800</v>
      </c>
      <c r="K5647" s="6">
        <f t="shared" si="229"/>
        <v>1.5484743671749521</v>
      </c>
    </row>
    <row r="5648" spans="1:11" hidden="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H5648" s="5">
        <v>1440</v>
      </c>
      <c r="I5648" s="6">
        <v>528.3915024419166</v>
      </c>
      <c r="J5648" s="5">
        <v>4000</v>
      </c>
      <c r="K5648" s="6">
        <f t="shared" si="229"/>
        <v>2.7252520022467466</v>
      </c>
    </row>
    <row r="5649" spans="1:11" hidden="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H5649" s="5">
        <v>13080</v>
      </c>
      <c r="I5649" s="6">
        <v>3910.1071427007282</v>
      </c>
      <c r="J5649" s="5">
        <v>29260</v>
      </c>
      <c r="K5649" s="6">
        <f t="shared" si="229"/>
        <v>3.3451768769092056</v>
      </c>
    </row>
    <row r="5650" spans="1:11" hidden="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H5650" s="5">
        <v>3175</v>
      </c>
      <c r="I5650" s="6">
        <v>1902.2142856381945</v>
      </c>
      <c r="J5650" s="5">
        <v>14400</v>
      </c>
      <c r="K5650" s="6">
        <f t="shared" si="229"/>
        <v>1.6691074312559822</v>
      </c>
    </row>
    <row r="5651" spans="1:11" hidden="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H5651" s="5">
        <v>2730</v>
      </c>
      <c r="I5651" s="6">
        <v>1162.4642856677858</v>
      </c>
      <c r="J5651" s="5">
        <v>8800</v>
      </c>
      <c r="K5651" s="6">
        <f t="shared" si="229"/>
        <v>2.3484592461537277</v>
      </c>
    </row>
    <row r="5652" spans="1:11" hidden="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H5652" s="5">
        <v>450</v>
      </c>
      <c r="I5652" s="6">
        <v>317.03571427303262</v>
      </c>
      <c r="J5652" s="5">
        <v>2400</v>
      </c>
      <c r="K5652" s="6">
        <f t="shared" si="229"/>
        <v>1.4193984454775272</v>
      </c>
    </row>
    <row r="5653" spans="1:11" hidden="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H5653" s="5">
        <v>1425</v>
      </c>
      <c r="I5653" s="6">
        <v>951.10714281875391</v>
      </c>
      <c r="J5653" s="5">
        <v>7200</v>
      </c>
      <c r="K5653" s="6">
        <f t="shared" si="229"/>
        <v>1.498253914671265</v>
      </c>
    </row>
    <row r="5654" spans="1:11" hidden="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H5654" s="5">
        <v>1200</v>
      </c>
      <c r="I5654" s="6">
        <v>898.26785710660101</v>
      </c>
      <c r="J5654" s="5">
        <v>6800</v>
      </c>
      <c r="K5654" s="6">
        <f t="shared" si="229"/>
        <v>1.3359044192734497</v>
      </c>
    </row>
    <row r="5655" spans="1:11" hidden="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H5655" s="5">
        <v>2025</v>
      </c>
      <c r="I5655" s="6">
        <v>1162.4642856673661</v>
      </c>
      <c r="J5655" s="5">
        <v>8800</v>
      </c>
      <c r="K5655" s="6">
        <f t="shared" si="229"/>
        <v>1.741989001268504</v>
      </c>
    </row>
    <row r="5656" spans="1:11" hidden="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H5656" s="5">
        <v>1890</v>
      </c>
      <c r="I5656" s="6">
        <v>686.91071425798896</v>
      </c>
      <c r="J5656" s="5">
        <v>5200</v>
      </c>
      <c r="K5656" s="6">
        <f t="shared" si="229"/>
        <v>2.7514492943112785</v>
      </c>
    </row>
    <row r="5657" spans="1:11" hidden="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H5657" s="5">
        <v>1950</v>
      </c>
      <c r="I5657" s="6">
        <v>845.428571394752</v>
      </c>
      <c r="J5657" s="5">
        <v>6400</v>
      </c>
      <c r="K5657" s="6">
        <f t="shared" si="229"/>
        <v>2.3065224739009862</v>
      </c>
    </row>
    <row r="5658" spans="1:11" hidden="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H5658" s="5">
        <v>6675</v>
      </c>
      <c r="I5658" s="6">
        <v>3910.1071427007355</v>
      </c>
      <c r="J5658" s="5">
        <v>29600</v>
      </c>
      <c r="K5658" s="6">
        <f t="shared" ref="K5658:K5720" si="232">+H5658/I5658</f>
        <v>1.7071143465878369</v>
      </c>
    </row>
    <row r="5659" spans="1:11" hidden="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H5659" s="5">
        <v>7225</v>
      </c>
      <c r="I5659" s="6">
        <v>4015.7857141250793</v>
      </c>
      <c r="J5659" s="5">
        <v>30400</v>
      </c>
      <c r="K5659" s="6">
        <f t="shared" si="232"/>
        <v>1.7991497839605501</v>
      </c>
    </row>
    <row r="5660" spans="1:11" hidden="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H5660" s="5">
        <v>8010</v>
      </c>
      <c r="I5660" s="6">
        <v>2747.5751230427709</v>
      </c>
      <c r="J5660" s="5">
        <v>20800</v>
      </c>
      <c r="K5660" s="6">
        <f t="shared" si="232"/>
        <v>2.9152979049866401</v>
      </c>
    </row>
    <row r="5661" spans="1:11" hidden="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H5661" s="5">
        <v>2520</v>
      </c>
      <c r="I5661" s="6">
        <v>1056.75862064738</v>
      </c>
      <c r="J5661" s="5">
        <v>9600</v>
      </c>
      <c r="K5661" s="6">
        <f t="shared" si="232"/>
        <v>2.3846505254494397</v>
      </c>
    </row>
    <row r="5662" spans="1:11" hidden="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H5662" s="5">
        <v>550</v>
      </c>
      <c r="I5662" s="6">
        <v>369.86551722658481</v>
      </c>
      <c r="J5662" s="5">
        <v>3080</v>
      </c>
      <c r="K5662" s="6">
        <f t="shared" si="232"/>
        <v>1.4870269716521378</v>
      </c>
    </row>
    <row r="5663" spans="1:11" hidden="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H5663" s="5">
        <v>11820</v>
      </c>
      <c r="I5663" s="6">
        <v>3592.9793102011122</v>
      </c>
      <c r="J5663" s="5">
        <v>27820</v>
      </c>
      <c r="K5663" s="6">
        <f t="shared" si="232"/>
        <v>3.289748974184433</v>
      </c>
    </row>
    <row r="5664" spans="1:11" hidden="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H5664" s="5">
        <v>6210</v>
      </c>
      <c r="I5664" s="6">
        <v>1585.2222221588099</v>
      </c>
      <c r="J5664" s="5">
        <v>11490</v>
      </c>
      <c r="K5664" s="6">
        <f t="shared" si="232"/>
        <v>3.9174318358614788</v>
      </c>
    </row>
    <row r="5665" spans="1:11" hidden="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H5665" s="5">
        <v>3390</v>
      </c>
      <c r="I5665" s="6">
        <v>2219.311111022334</v>
      </c>
      <c r="J5665" s="5">
        <v>16800</v>
      </c>
      <c r="K5665" s="6">
        <f t="shared" si="232"/>
        <v>1.5275010264056146</v>
      </c>
    </row>
    <row r="5666" spans="1:11" hidden="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H5666" s="5">
        <v>4175</v>
      </c>
      <c r="I5666" s="6">
        <v>2959.0814813631118</v>
      </c>
      <c r="J5666" s="5">
        <v>22400</v>
      </c>
      <c r="K5666" s="6">
        <f t="shared" si="232"/>
        <v>1.4109107931954517</v>
      </c>
    </row>
    <row r="5667" spans="1:11" hidden="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H5667" s="5">
        <v>5880</v>
      </c>
      <c r="I5667" s="6">
        <v>1796.5851851133182</v>
      </c>
      <c r="J5667" s="5">
        <v>13600</v>
      </c>
      <c r="K5667" s="6">
        <f t="shared" si="232"/>
        <v>3.2728757025952677</v>
      </c>
    </row>
    <row r="5668" spans="1:11" hidden="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H5668" s="5">
        <v>3250</v>
      </c>
      <c r="I5668" s="6">
        <v>1912.3542857142861</v>
      </c>
      <c r="J5668" s="5">
        <v>16320</v>
      </c>
      <c r="K5668" s="6">
        <f t="shared" si="232"/>
        <v>1.6994758891060231</v>
      </c>
    </row>
    <row r="5669" spans="1:11" hidden="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H5669" s="5">
        <v>5070</v>
      </c>
      <c r="I5669" s="6">
        <v>2812.2857142428579</v>
      </c>
      <c r="J5669" s="5">
        <v>20000</v>
      </c>
      <c r="K5669" s="6">
        <f t="shared" si="232"/>
        <v>1.8028040231911424</v>
      </c>
    </row>
    <row r="5670" spans="1:11" hidden="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H5670" s="5">
        <v>3200</v>
      </c>
      <c r="I5670" s="6">
        <v>1768.8376470588223</v>
      </c>
      <c r="J5670" s="5">
        <v>12800</v>
      </c>
      <c r="K5670" s="6">
        <f t="shared" si="232"/>
        <v>1.8090976327425401</v>
      </c>
    </row>
    <row r="5671" spans="1:11" hidden="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H5671" s="5">
        <v>3980</v>
      </c>
      <c r="I5671" s="6">
        <v>2263.7999998868127</v>
      </c>
      <c r="J5671" s="5">
        <v>17920</v>
      </c>
      <c r="K5671" s="6">
        <f t="shared" si="232"/>
        <v>1.758105839826396</v>
      </c>
    </row>
    <row r="5672" spans="1:11" hidden="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H5672" s="5">
        <v>1320</v>
      </c>
      <c r="I5672" s="6">
        <v>994.97117647058747</v>
      </c>
      <c r="J5672" s="5">
        <v>7200</v>
      </c>
      <c r="K5672" s="6">
        <f t="shared" si="232"/>
        <v>1.3266715973445296</v>
      </c>
    </row>
    <row r="5673" spans="1:11" hidden="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H5673" s="5">
        <v>1950</v>
      </c>
      <c r="I5673" s="6">
        <v>994.97117647058747</v>
      </c>
      <c r="J5673" s="5">
        <v>7920</v>
      </c>
      <c r="K5673" s="6">
        <f t="shared" si="232"/>
        <v>1.9598557688044185</v>
      </c>
    </row>
    <row r="5674" spans="1:11" hidden="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H5674" s="5">
        <v>3375</v>
      </c>
      <c r="I5674" s="6">
        <v>2263.7999998868127</v>
      </c>
      <c r="J5674" s="5">
        <v>17920</v>
      </c>
      <c r="K5674" s="6">
        <f t="shared" si="232"/>
        <v>1.4908560827673585</v>
      </c>
    </row>
    <row r="5675" spans="1:11" hidden="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H5675" s="5">
        <v>15990</v>
      </c>
      <c r="I5675" s="6">
        <v>6727.0499997982479</v>
      </c>
      <c r="J5675" s="5">
        <v>49210</v>
      </c>
      <c r="K5675" s="6">
        <f t="shared" si="232"/>
        <v>2.3769705889624069</v>
      </c>
    </row>
    <row r="5676" spans="1:11" hidden="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H5676" s="5">
        <v>1710</v>
      </c>
      <c r="I5676" s="6">
        <v>994.95</v>
      </c>
      <c r="J5676" s="5">
        <v>7200</v>
      </c>
      <c r="K5676" s="6">
        <f t="shared" si="232"/>
        <v>1.7186793306196291</v>
      </c>
    </row>
    <row r="5677" spans="1:11" hidden="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H5677" s="5">
        <v>1725</v>
      </c>
      <c r="I5677" s="6">
        <v>831.6</v>
      </c>
      <c r="J5677" s="5">
        <v>6300</v>
      </c>
      <c r="K5677" s="6">
        <f t="shared" si="232"/>
        <v>2.0743145743145743</v>
      </c>
    </row>
    <row r="5678" spans="1:11" hidden="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H5678" s="5">
        <v>4200</v>
      </c>
      <c r="I5678" s="6">
        <v>1267.2</v>
      </c>
      <c r="J5678" s="5">
        <v>9600</v>
      </c>
      <c r="K5678" s="6">
        <f t="shared" si="232"/>
        <v>3.3143939393939394</v>
      </c>
    </row>
    <row r="5679" spans="1:11" hidden="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H5679" s="5">
        <v>360</v>
      </c>
      <c r="I5679" s="6">
        <v>316.8</v>
      </c>
      <c r="J5679" s="5">
        <v>2400</v>
      </c>
      <c r="K5679" s="6">
        <f t="shared" si="232"/>
        <v>1.1363636363636362</v>
      </c>
    </row>
    <row r="5680" spans="1:11" hidden="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H5680" s="5">
        <v>11820</v>
      </c>
      <c r="I5680" s="6">
        <v>3603.6</v>
      </c>
      <c r="J5680" s="5">
        <v>27296</v>
      </c>
      <c r="K5680" s="6">
        <f t="shared" si="232"/>
        <v>3.2800532800532802</v>
      </c>
    </row>
    <row r="5681" spans="1:11" hidden="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H5681" s="5">
        <v>4800</v>
      </c>
      <c r="I5681" s="6">
        <v>3682.8</v>
      </c>
      <c r="J5681" s="5">
        <v>27900</v>
      </c>
      <c r="K5681" s="6">
        <f t="shared" si="232"/>
        <v>1.3033561420658195</v>
      </c>
    </row>
    <row r="5682" spans="1:11" hidden="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H5682" s="5">
        <v>3575</v>
      </c>
      <c r="I5682" s="6">
        <v>2376</v>
      </c>
      <c r="J5682" s="5">
        <v>18000</v>
      </c>
      <c r="K5682" s="6">
        <f t="shared" si="232"/>
        <v>1.5046296296296295</v>
      </c>
    </row>
    <row r="5683" spans="1:11" hidden="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H5683" s="5">
        <v>1590</v>
      </c>
      <c r="I5683" s="6">
        <v>950.4</v>
      </c>
      <c r="J5683" s="5">
        <v>7200</v>
      </c>
      <c r="K5683" s="6">
        <f t="shared" si="232"/>
        <v>1.672979797979798</v>
      </c>
    </row>
    <row r="5684" spans="1:11" hidden="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H5684" s="5">
        <v>2650</v>
      </c>
      <c r="I5684" s="6">
        <v>1346.4</v>
      </c>
      <c r="J5684" s="5">
        <v>10200</v>
      </c>
      <c r="K5684" s="6">
        <f t="shared" si="232"/>
        <v>1.9682115270350564</v>
      </c>
    </row>
    <row r="5685" spans="1:11" hidden="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H5685" s="5">
        <v>5370</v>
      </c>
      <c r="I5685" s="6">
        <v>2851.2</v>
      </c>
      <c r="J5685" s="5">
        <v>21600</v>
      </c>
      <c r="K5685" s="6">
        <f t="shared" si="232"/>
        <v>1.8834175084175084</v>
      </c>
    </row>
    <row r="5686" spans="1:11" hidden="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H5686" s="5">
        <v>1575</v>
      </c>
      <c r="I5686" s="6">
        <v>2138.4</v>
      </c>
      <c r="J5686" s="5">
        <v>16200</v>
      </c>
      <c r="K5686" s="6">
        <f t="shared" si="232"/>
        <v>0.73653198653198648</v>
      </c>
    </row>
    <row r="5687" spans="1:11" hidden="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H5687" s="5">
        <v>2450</v>
      </c>
      <c r="I5687" s="6">
        <v>963.6</v>
      </c>
      <c r="J5687" s="5">
        <v>7570</v>
      </c>
      <c r="K5687" s="6">
        <f t="shared" si="232"/>
        <v>2.5425487754254879</v>
      </c>
    </row>
    <row r="5688" spans="1:11" hidden="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H5688" s="5">
        <v>7825</v>
      </c>
      <c r="I5688" s="6">
        <v>3168</v>
      </c>
      <c r="J5688" s="5">
        <v>24000</v>
      </c>
      <c r="K5688" s="6">
        <f t="shared" si="232"/>
        <v>2.4700126262626263</v>
      </c>
    </row>
    <row r="5689" spans="1:11" hidden="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H5689" s="5">
        <v>2100</v>
      </c>
      <c r="I5689" s="6">
        <v>1188</v>
      </c>
      <c r="J5689" s="5">
        <v>9000</v>
      </c>
      <c r="K5689" s="6">
        <f t="shared" si="232"/>
        <v>1.7676767676767677</v>
      </c>
    </row>
    <row r="5690" spans="1:11" hidden="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H5690" s="5">
        <v>6225</v>
      </c>
      <c r="I5690" s="6">
        <v>2732.4</v>
      </c>
      <c r="J5690" s="5">
        <v>20700</v>
      </c>
      <c r="K5690" s="6">
        <f t="shared" si="232"/>
        <v>2.2782169521299958</v>
      </c>
    </row>
    <row r="5691" spans="1:11" hidden="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H5691" s="5">
        <v>1500</v>
      </c>
      <c r="I5691" s="6">
        <v>673.2</v>
      </c>
      <c r="J5691" s="5">
        <v>5100</v>
      </c>
      <c r="K5691" s="6">
        <f t="shared" si="232"/>
        <v>2.2281639928698751</v>
      </c>
    </row>
    <row r="5692" spans="1:11" hidden="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H5692" s="5">
        <v>2425</v>
      </c>
      <c r="I5692" s="6">
        <v>1100.4749999999999</v>
      </c>
      <c r="J5692" s="5">
        <v>8000</v>
      </c>
      <c r="K5692" s="6">
        <f t="shared" si="232"/>
        <v>2.2035939026329543</v>
      </c>
    </row>
    <row r="5693" spans="1:11" hidden="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H5693" s="5">
        <v>3825</v>
      </c>
      <c r="I5693" s="6">
        <v>1287</v>
      </c>
      <c r="J5693" s="5">
        <v>9400</v>
      </c>
      <c r="K5693" s="6">
        <f t="shared" si="232"/>
        <v>2.9720279720279721</v>
      </c>
    </row>
    <row r="5694" spans="1:11" hidden="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H5694" s="5">
        <v>5910</v>
      </c>
      <c r="I5694" s="6">
        <v>2641.14</v>
      </c>
      <c r="J5694" s="5">
        <v>19200</v>
      </c>
      <c r="K5694" s="6">
        <f t="shared" si="232"/>
        <v>2.2376700970035666</v>
      </c>
    </row>
    <row r="5695" spans="1:11" hidden="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H5695" s="5">
        <v>7080</v>
      </c>
      <c r="I5695" s="6">
        <v>2641.14</v>
      </c>
      <c r="J5695" s="5">
        <v>19200</v>
      </c>
      <c r="K5695" s="6">
        <f t="shared" si="232"/>
        <v>2.6806606238215318</v>
      </c>
    </row>
    <row r="5696" spans="1:11" hidden="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H5696" s="5">
        <v>3960</v>
      </c>
      <c r="I5696" s="6">
        <v>1430.6174906250001</v>
      </c>
      <c r="J5696" s="5">
        <v>10400</v>
      </c>
      <c r="K5696" s="6">
        <f t="shared" si="232"/>
        <v>2.7680354993213299</v>
      </c>
    </row>
    <row r="5697" spans="1:11" hidden="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H5697" s="5">
        <v>2760</v>
      </c>
      <c r="I5697" s="6">
        <v>1430.6175000000001</v>
      </c>
      <c r="J5697" s="5">
        <v>10400</v>
      </c>
      <c r="K5697" s="6">
        <f t="shared" si="232"/>
        <v>1.9292368505208415</v>
      </c>
    </row>
    <row r="5698" spans="1:11" hidden="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H5698" s="5">
        <v>5280</v>
      </c>
      <c r="I5698" s="6">
        <v>2861.2350000000001</v>
      </c>
      <c r="J5698" s="5">
        <v>20800</v>
      </c>
      <c r="K5698" s="6">
        <f t="shared" si="232"/>
        <v>1.845356987454718</v>
      </c>
    </row>
    <row r="5699" spans="1:11" hidden="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H5699" s="5">
        <v>5975</v>
      </c>
      <c r="I5699" s="6">
        <v>3071.9505625000002</v>
      </c>
      <c r="J5699" s="5">
        <v>22400</v>
      </c>
      <c r="K5699" s="6">
        <f t="shared" si="232"/>
        <v>1.9450182802217539</v>
      </c>
    </row>
    <row r="5700" spans="1:11" hidden="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H5700" s="5">
        <v>4575</v>
      </c>
      <c r="I5700" s="6">
        <v>1097.125</v>
      </c>
      <c r="J5700" s="5">
        <v>8000</v>
      </c>
      <c r="K5700" s="6">
        <f t="shared" si="232"/>
        <v>4.1699897459268547</v>
      </c>
    </row>
    <row r="5701" spans="1:11" hidden="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H5701" s="5">
        <v>5950</v>
      </c>
      <c r="I5701" s="6">
        <v>2852.5250000000001</v>
      </c>
      <c r="J5701" s="5">
        <v>20800</v>
      </c>
      <c r="K5701" s="6">
        <f t="shared" si="232"/>
        <v>2.0858712894716085</v>
      </c>
    </row>
    <row r="5702" spans="1:11" hidden="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H5702" s="5">
        <v>5610</v>
      </c>
      <c r="I5702" s="6">
        <v>2633.1</v>
      </c>
      <c r="J5702" s="5">
        <v>19200</v>
      </c>
      <c r="K5702" s="6">
        <f t="shared" si="232"/>
        <v>2.1305685313888572</v>
      </c>
    </row>
    <row r="5703" spans="1:11" hidden="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H5703" s="5">
        <v>4950</v>
      </c>
      <c r="I5703" s="6">
        <v>2633.1</v>
      </c>
      <c r="J5703" s="5">
        <v>19200</v>
      </c>
      <c r="K5703" s="6">
        <f t="shared" si="232"/>
        <v>1.8799134100489918</v>
      </c>
    </row>
    <row r="5704" spans="1:11" hidden="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H5704" s="5">
        <v>6000</v>
      </c>
      <c r="I5704" s="6">
        <v>2852.5250000000001</v>
      </c>
      <c r="J5704" s="5">
        <v>20800</v>
      </c>
      <c r="K5704" s="6">
        <f t="shared" si="232"/>
        <v>2.1033996196352356</v>
      </c>
    </row>
    <row r="5705" spans="1:11" hidden="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H5705" s="5">
        <v>7410</v>
      </c>
      <c r="I5705" s="6">
        <v>2852.5250000000001</v>
      </c>
      <c r="J5705" s="5">
        <v>20800</v>
      </c>
      <c r="K5705" s="6">
        <f t="shared" si="232"/>
        <v>2.5976985302495157</v>
      </c>
    </row>
    <row r="5706" spans="1:11" hidden="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H5706" s="5">
        <v>5125</v>
      </c>
      <c r="I5706" s="6">
        <v>3071.95</v>
      </c>
      <c r="J5706" s="5">
        <v>22400</v>
      </c>
      <c r="K5706" s="6">
        <f t="shared" si="232"/>
        <v>1.6683214245023521</v>
      </c>
    </row>
    <row r="5707" spans="1:11" hidden="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H5707" s="5">
        <v>4075</v>
      </c>
      <c r="I5707" s="6">
        <v>1645.6875</v>
      </c>
      <c r="J5707" s="5">
        <v>12000</v>
      </c>
      <c r="K5707" s="6">
        <f t="shared" si="232"/>
        <v>2.4761687744483689</v>
      </c>
    </row>
    <row r="5708" spans="1:11" hidden="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 t="shared" si="231"/>
        <v>002SOMERSET</v>
      </c>
      <c r="H5708" s="5">
        <v>9880</v>
      </c>
      <c r="I5708" s="6">
        <v>4121.4642855494085</v>
      </c>
      <c r="J5708" s="5">
        <v>31200</v>
      </c>
      <c r="K5708" s="6">
        <f t="shared" si="232"/>
        <v>2.3972062634731661</v>
      </c>
    </row>
    <row r="5709" spans="1:11" hidden="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si="231"/>
        <v>004BELLINA</v>
      </c>
      <c r="H5709" s="5">
        <v>1350</v>
      </c>
      <c r="I5709" s="6">
        <v>1056.7857142434418</v>
      </c>
      <c r="J5709" s="5">
        <v>8000</v>
      </c>
      <c r="K5709" s="6">
        <f t="shared" si="232"/>
        <v>1.2774586009297748</v>
      </c>
    </row>
    <row r="5710" spans="1:11" hidden="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1"/>
        <v>005ELBA</v>
      </c>
      <c r="H5710" s="5">
        <v>8220</v>
      </c>
      <c r="I5710" s="6">
        <v>2641.9642856076484</v>
      </c>
      <c r="J5710" s="5">
        <v>19996</v>
      </c>
      <c r="K5710" s="6">
        <f t="shared" si="232"/>
        <v>3.1113213924878664</v>
      </c>
    </row>
    <row r="5711" spans="1:11" hidden="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ref="G5711:G5770" si="233">+E5711&amp;F5711</f>
        <v>005HOT BUBBLES</v>
      </c>
      <c r="H5711" s="5">
        <v>1920</v>
      </c>
      <c r="I5711" s="6">
        <v>528.39285712153003</v>
      </c>
      <c r="J5711" s="5">
        <v>4000</v>
      </c>
      <c r="K5711" s="6">
        <f t="shared" si="232"/>
        <v>3.6336600204237834</v>
      </c>
    </row>
    <row r="5712" spans="1:11" hidden="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H5712" s="5">
        <v>5160</v>
      </c>
      <c r="I5712" s="6">
        <v>1902.2142856375078</v>
      </c>
      <c r="J5712" s="5">
        <v>14400</v>
      </c>
      <c r="K5712" s="6">
        <f t="shared" si="232"/>
        <v>2.7126281402469221</v>
      </c>
    </row>
    <row r="5713" spans="1:11" hidden="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H5713" s="5">
        <v>1120</v>
      </c>
      <c r="I5713" s="6">
        <v>634.05652706821195</v>
      </c>
      <c r="J5713" s="5">
        <v>4800</v>
      </c>
      <c r="K5713" s="6">
        <f t="shared" si="232"/>
        <v>1.7664040226487727</v>
      </c>
    </row>
    <row r="5714" spans="1:11" hidden="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H5714" s="5">
        <v>12100</v>
      </c>
      <c r="I5714" s="6">
        <v>4487.9999999102474</v>
      </c>
      <c r="J5714" s="5">
        <v>31740</v>
      </c>
      <c r="K5714" s="6">
        <f t="shared" si="232"/>
        <v>2.6960784314264661</v>
      </c>
    </row>
    <row r="5715" spans="1:11" hidden="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H5715" s="5">
        <v>4475</v>
      </c>
      <c r="I5715" s="6">
        <v>1702.8</v>
      </c>
      <c r="J5715" s="5">
        <v>12900</v>
      </c>
      <c r="K5715" s="6">
        <f t="shared" si="232"/>
        <v>2.628024430350012</v>
      </c>
    </row>
    <row r="5716" spans="1:11" hidden="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H5716" s="5">
        <v>4600</v>
      </c>
      <c r="I5716" s="6">
        <v>3009.6</v>
      </c>
      <c r="J5716" s="5">
        <v>22800</v>
      </c>
      <c r="K5716" s="6">
        <f t="shared" si="232"/>
        <v>1.5284423179160023</v>
      </c>
    </row>
    <row r="5717" spans="1:11" hidden="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H5717" s="5">
        <v>3960</v>
      </c>
      <c r="I5717" s="6">
        <v>1386</v>
      </c>
      <c r="J5717" s="5">
        <v>10500</v>
      </c>
      <c r="K5717" s="6">
        <f t="shared" si="232"/>
        <v>2.8571428571428572</v>
      </c>
    </row>
    <row r="5718" spans="1:11" hidden="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H5718" s="5">
        <v>4470</v>
      </c>
      <c r="I5718" s="6">
        <v>1386</v>
      </c>
      <c r="J5718" s="5">
        <v>10500</v>
      </c>
      <c r="K5718" s="6">
        <f t="shared" si="232"/>
        <v>3.225108225108225</v>
      </c>
    </row>
    <row r="5719" spans="1:11" hidden="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H5719" s="5">
        <v>1050</v>
      </c>
      <c r="I5719" s="6">
        <v>1029.5999999999999</v>
      </c>
      <c r="J5719" s="5">
        <v>7800</v>
      </c>
      <c r="K5719" s="6">
        <f t="shared" si="232"/>
        <v>1.0198135198135199</v>
      </c>
    </row>
    <row r="5720" spans="1:11" hidden="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H5720" s="5">
        <v>3450</v>
      </c>
      <c r="I5720" s="6">
        <v>2653.2</v>
      </c>
      <c r="J5720" s="5">
        <v>20100</v>
      </c>
      <c r="K5720" s="6">
        <f t="shared" si="232"/>
        <v>1.3003165988240617</v>
      </c>
    </row>
    <row r="5721" spans="1:11" hidden="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H5721" s="5">
        <v>3690</v>
      </c>
      <c r="I5721" s="6">
        <v>1768.8</v>
      </c>
      <c r="J5721" s="5">
        <v>13400</v>
      </c>
      <c r="K5721" s="6">
        <f t="shared" ref="K5721:K5780" si="234">+H5721/I5721</f>
        <v>2.0861601085481682</v>
      </c>
    </row>
    <row r="5722" spans="1:11" hidden="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H5722" s="5">
        <v>1440</v>
      </c>
      <c r="I5722" s="6">
        <v>1029.5999999999999</v>
      </c>
      <c r="J5722" s="5">
        <v>7800</v>
      </c>
      <c r="K5722" s="6">
        <f t="shared" si="234"/>
        <v>1.3986013986013988</v>
      </c>
    </row>
    <row r="5723" spans="1:11" hidden="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H5723" s="5">
        <v>3025</v>
      </c>
      <c r="I5723" s="6">
        <v>1346.4</v>
      </c>
      <c r="J5723" s="5">
        <v>10200</v>
      </c>
      <c r="K5723" s="6">
        <f t="shared" si="234"/>
        <v>2.2467320261437909</v>
      </c>
    </row>
    <row r="5724" spans="1:11" hidden="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H5724" s="5">
        <v>1860</v>
      </c>
      <c r="I5724" s="6">
        <v>440.18999062500001</v>
      </c>
      <c r="J5724" s="5">
        <v>3200</v>
      </c>
      <c r="K5724" s="6">
        <f t="shared" si="234"/>
        <v>4.2254481919479696</v>
      </c>
    </row>
    <row r="5725" spans="1:11" hidden="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H5725" s="5">
        <v>1800</v>
      </c>
      <c r="I5725" s="6">
        <v>880.38</v>
      </c>
      <c r="J5725" s="5">
        <v>6400</v>
      </c>
      <c r="K5725" s="6">
        <f t="shared" si="234"/>
        <v>2.0445716622367613</v>
      </c>
    </row>
    <row r="5726" spans="1:11" hidden="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H5726" s="5">
        <v>1200</v>
      </c>
      <c r="I5726" s="6">
        <v>330.14249999999998</v>
      </c>
      <c r="J5726" s="5">
        <v>2400</v>
      </c>
      <c r="K5726" s="6">
        <f t="shared" si="234"/>
        <v>3.6347940661986873</v>
      </c>
    </row>
    <row r="5727" spans="1:11" hidden="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H5727" s="5">
        <v>3975</v>
      </c>
      <c r="I5727" s="6">
        <v>1430.6175000000001</v>
      </c>
      <c r="J5727" s="5">
        <v>10400</v>
      </c>
      <c r="K5727" s="6">
        <f t="shared" si="234"/>
        <v>2.7785204640653425</v>
      </c>
    </row>
    <row r="5728" spans="1:11" hidden="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H5728" s="5">
        <v>2460</v>
      </c>
      <c r="I5728" s="6">
        <v>1287.0000000000018</v>
      </c>
      <c r="J5728" s="5">
        <v>9400</v>
      </c>
      <c r="K5728" s="6">
        <f t="shared" si="234"/>
        <v>1.9114219114219086</v>
      </c>
    </row>
    <row r="5729" spans="1:11" hidden="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H5729" s="5">
        <v>7575</v>
      </c>
      <c r="I5729" s="6">
        <v>2641.14</v>
      </c>
      <c r="J5729" s="5">
        <v>19200</v>
      </c>
      <c r="K5729" s="6">
        <f t="shared" si="234"/>
        <v>2.8680796928599017</v>
      </c>
    </row>
    <row r="5730" spans="1:11" hidden="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H5730" s="5">
        <v>2610</v>
      </c>
      <c r="I5730" s="6">
        <v>880.38</v>
      </c>
      <c r="J5730" s="5">
        <v>6400</v>
      </c>
      <c r="K5730" s="6">
        <f t="shared" si="234"/>
        <v>2.9646289102433041</v>
      </c>
    </row>
    <row r="5731" spans="1:11" hidden="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H5731" s="5">
        <v>2420</v>
      </c>
      <c r="I5731" s="6">
        <v>880.38</v>
      </c>
      <c r="J5731" s="5">
        <v>6400</v>
      </c>
      <c r="K5731" s="6">
        <f t="shared" si="234"/>
        <v>2.7488130125627568</v>
      </c>
    </row>
    <row r="5732" spans="1:11" hidden="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H5732" s="5">
        <v>6820</v>
      </c>
      <c r="I5732" s="6">
        <v>2413.6749943750001</v>
      </c>
      <c r="J5732" s="5">
        <v>17600</v>
      </c>
      <c r="K5732" s="6">
        <f t="shared" si="234"/>
        <v>2.8255668289615681</v>
      </c>
    </row>
    <row r="5733" spans="1:11" hidden="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H5733" s="5">
        <v>2280</v>
      </c>
      <c r="I5733" s="6">
        <v>1645.6875</v>
      </c>
      <c r="J5733" s="5">
        <v>12000</v>
      </c>
      <c r="K5733" s="6">
        <f t="shared" si="234"/>
        <v>1.3854392161330751</v>
      </c>
    </row>
    <row r="5734" spans="1:11" hidden="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H5734" s="5">
        <v>2000</v>
      </c>
      <c r="I5734" s="6">
        <v>726.32013058333712</v>
      </c>
      <c r="J5734" s="5">
        <v>5712</v>
      </c>
      <c r="K5734" s="6">
        <f t="shared" si="234"/>
        <v>2.7536067304009859</v>
      </c>
    </row>
    <row r="5735" spans="1:11" hidden="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H5735" s="5">
        <v>1980</v>
      </c>
      <c r="I5735" s="6">
        <v>924.39958333667107</v>
      </c>
      <c r="J5735" s="5">
        <v>6720</v>
      </c>
      <c r="K5735" s="6">
        <f t="shared" si="234"/>
        <v>2.1419308659282184</v>
      </c>
    </row>
    <row r="5736" spans="1:11" hidden="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H5736" s="5">
        <v>200</v>
      </c>
      <c r="I5736" s="6">
        <v>1122.485208333339</v>
      </c>
      <c r="J5736" s="5">
        <v>8160</v>
      </c>
      <c r="K5736" s="6">
        <f t="shared" si="234"/>
        <v>0.17817606727928212</v>
      </c>
    </row>
    <row r="5737" spans="1:11" hidden="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H5737" s="5">
        <v>560</v>
      </c>
      <c r="I5737" s="6">
        <v>396.17125000000198</v>
      </c>
      <c r="J5737" s="5">
        <v>2880</v>
      </c>
      <c r="K5737" s="6">
        <f t="shared" si="234"/>
        <v>1.4135301337489714</v>
      </c>
    </row>
    <row r="5738" spans="1:11" hidden="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H5738" s="5">
        <v>4200</v>
      </c>
      <c r="I5738" s="6">
        <v>1535.9749999999999</v>
      </c>
      <c r="J5738" s="5">
        <v>11200</v>
      </c>
      <c r="K5738" s="6">
        <f t="shared" si="234"/>
        <v>2.734419505525806</v>
      </c>
    </row>
    <row r="5739" spans="1:11" hidden="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H5739" s="5">
        <v>4040</v>
      </c>
      <c r="I5739" s="6">
        <v>1535.9749999999999</v>
      </c>
      <c r="J5739" s="5">
        <v>11200</v>
      </c>
      <c r="K5739" s="6">
        <f t="shared" si="234"/>
        <v>2.6302511434105376</v>
      </c>
    </row>
    <row r="5740" spans="1:11" hidden="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H5740" s="5">
        <v>1170</v>
      </c>
      <c r="I5740" s="6">
        <v>594.25687500000299</v>
      </c>
      <c r="J5740" s="5">
        <v>4320</v>
      </c>
      <c r="K5740" s="6">
        <f t="shared" si="234"/>
        <v>1.9688455434360672</v>
      </c>
    </row>
    <row r="5741" spans="1:11" hidden="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H5741" s="5">
        <v>5580</v>
      </c>
      <c r="I5741" s="6">
        <v>2575.1131250013459</v>
      </c>
      <c r="J5741" s="5">
        <v>18720</v>
      </c>
      <c r="K5741" s="6">
        <f t="shared" si="234"/>
        <v>2.1668950951415322</v>
      </c>
    </row>
    <row r="5742" spans="1:11" hidden="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H5742" s="5">
        <v>1140</v>
      </c>
      <c r="I5742" s="6">
        <v>528.37931032368999</v>
      </c>
      <c r="J5742" s="5">
        <v>4000</v>
      </c>
      <c r="K5742" s="6">
        <f t="shared" ref="K5742:K5747" si="235">IFERROR(H5742/I5742,"")</f>
        <v>2.1575409515971122</v>
      </c>
    </row>
    <row r="5743" spans="1:11" hidden="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H5743" s="5">
        <v>4850</v>
      </c>
      <c r="I5743" s="6">
        <v>2272.0310343918732</v>
      </c>
      <c r="J5743" s="5">
        <v>17200</v>
      </c>
      <c r="K5743" s="6">
        <f t="shared" si="235"/>
        <v>2.1346539402786546</v>
      </c>
    </row>
    <row r="5744" spans="1:11" hidden="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H5744" s="5">
        <v>1440</v>
      </c>
      <c r="I5744" s="6">
        <v>1162.4344827121224</v>
      </c>
      <c r="J5744" s="5">
        <v>8800</v>
      </c>
      <c r="K5744" s="6">
        <f t="shared" si="235"/>
        <v>1.2387794937399641</v>
      </c>
    </row>
    <row r="5745" spans="1:11" hidden="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60</v>
      </c>
      <c r="G5745" t="str">
        <f t="shared" si="233"/>
        <v>001LIGHT HOUSE</v>
      </c>
      <c r="H5745" s="5">
        <v>2340</v>
      </c>
      <c r="I5745" s="6">
        <v>1056.7586206473827</v>
      </c>
      <c r="J5745" s="5">
        <v>8000</v>
      </c>
      <c r="K5745" s="6">
        <f t="shared" si="235"/>
        <v>2.2143183450601884</v>
      </c>
    </row>
    <row r="5746" spans="1:11" hidden="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61</v>
      </c>
      <c r="G5746" t="str">
        <f t="shared" si="233"/>
        <v>001LUMIA</v>
      </c>
      <c r="H5746" s="5">
        <v>2040</v>
      </c>
      <c r="I5746" s="6">
        <v>1109.596551679753</v>
      </c>
      <c r="J5746" s="5">
        <v>8400</v>
      </c>
      <c r="K5746" s="6">
        <f t="shared" si="235"/>
        <v>1.8385060740426453</v>
      </c>
    </row>
    <row r="5747" spans="1:11" hidden="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62</v>
      </c>
      <c r="G5747" t="str">
        <f t="shared" si="233"/>
        <v>001MOMENTUM</v>
      </c>
      <c r="H5747" s="5">
        <v>2800</v>
      </c>
      <c r="I5747" s="6">
        <v>1902.1655171652881</v>
      </c>
      <c r="J5747" s="5">
        <v>14400</v>
      </c>
      <c r="K5747" s="6">
        <f t="shared" si="235"/>
        <v>1.4720064971910092</v>
      </c>
    </row>
    <row r="5748" spans="1:11" hidden="1">
      <c r="A5748" s="4">
        <v>2026</v>
      </c>
      <c r="B5748">
        <v>1</v>
      </c>
      <c r="C5748" t="s">
        <v>54</v>
      </c>
      <c r="D5748" t="s">
        <v>11</v>
      </c>
      <c r="E5748" t="s">
        <v>12</v>
      </c>
      <c r="F5748" t="s">
        <v>63</v>
      </c>
      <c r="G5748" t="str">
        <f t="shared" si="233"/>
        <v>002SUMMER ROMANCE</v>
      </c>
      <c r="H5748" s="5">
        <v>1700</v>
      </c>
      <c r="I5748" s="6">
        <v>951.10714281909407</v>
      </c>
      <c r="J5748" s="5">
        <v>7200</v>
      </c>
      <c r="K5748" s="6">
        <f t="shared" si="234"/>
        <v>1.7873906350457822</v>
      </c>
    </row>
    <row r="5749" spans="1:11" hidden="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64</v>
      </c>
      <c r="G5749" t="str">
        <f t="shared" si="233"/>
        <v>002SWEETNESS</v>
      </c>
      <c r="H5749" s="5">
        <v>8850</v>
      </c>
      <c r="I5749" s="6">
        <v>3804.4285712763772</v>
      </c>
      <c r="J5749" s="5">
        <v>28800</v>
      </c>
      <c r="K5749" s="6">
        <f t="shared" si="234"/>
        <v>2.3262363411992895</v>
      </c>
    </row>
    <row r="5750" spans="1:11" hidden="1">
      <c r="A5750" s="4">
        <v>2026</v>
      </c>
      <c r="B5750">
        <v>1</v>
      </c>
      <c r="C5750" t="s">
        <v>54</v>
      </c>
      <c r="D5750" t="s">
        <v>11</v>
      </c>
      <c r="E5750" t="s">
        <v>65</v>
      </c>
      <c r="F5750" t="s">
        <v>66</v>
      </c>
      <c r="G5750" t="str">
        <f t="shared" si="233"/>
        <v>003CABARET</v>
      </c>
      <c r="H5750" s="5">
        <v>6090</v>
      </c>
      <c r="I5750" s="6">
        <v>2641.8965516184649</v>
      </c>
      <c r="J5750" s="5">
        <v>20000</v>
      </c>
      <c r="K5750" s="6">
        <f t="shared" si="234"/>
        <v>2.3051621746011124</v>
      </c>
    </row>
    <row r="5751" spans="1:11" hidden="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67</v>
      </c>
      <c r="G5751" t="str">
        <f t="shared" si="233"/>
        <v>003DEEP PURPLE</v>
      </c>
      <c r="H5751" s="5">
        <v>13380</v>
      </c>
      <c r="I5751" s="6">
        <v>3592.9793102010913</v>
      </c>
      <c r="J5751" s="5">
        <v>26044</v>
      </c>
      <c r="K5751" s="6">
        <f t="shared" si="234"/>
        <v>3.7239290418433137</v>
      </c>
    </row>
    <row r="5752" spans="1:11" hidden="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57</v>
      </c>
      <c r="G5752" t="str">
        <f t="shared" si="233"/>
        <v>003EXPLORER</v>
      </c>
      <c r="H5752" s="5">
        <v>2100</v>
      </c>
      <c r="I5752" s="6">
        <v>1268.1103447768633</v>
      </c>
      <c r="J5752" s="5">
        <v>9600</v>
      </c>
      <c r="K5752" s="6">
        <f t="shared" si="234"/>
        <v>1.6560073093398793</v>
      </c>
    </row>
    <row r="5753" spans="1:11" hidden="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68</v>
      </c>
      <c r="G5753" t="str">
        <f t="shared" si="233"/>
        <v>003JOCKER</v>
      </c>
      <c r="H5753" s="5">
        <v>925</v>
      </c>
      <c r="I5753" s="6">
        <v>528.37931032368999</v>
      </c>
      <c r="J5753" s="5">
        <v>4000</v>
      </c>
      <c r="K5753" s="6">
        <f t="shared" si="234"/>
        <v>1.7506362984450252</v>
      </c>
    </row>
    <row r="5754" spans="1:11" hidden="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69</v>
      </c>
      <c r="G5754" t="str">
        <f t="shared" si="233"/>
        <v>003QUICKSAND</v>
      </c>
      <c r="H5754" s="5">
        <v>1560</v>
      </c>
      <c r="I5754" s="6">
        <v>1162.4344827121247</v>
      </c>
      <c r="J5754" s="5">
        <v>8800</v>
      </c>
      <c r="K5754" s="6">
        <f t="shared" si="234"/>
        <v>1.3420111182182917</v>
      </c>
    </row>
    <row r="5755" spans="1:11" hidden="1">
      <c r="A5755" s="4">
        <v>2026</v>
      </c>
      <c r="B5755">
        <v>1</v>
      </c>
      <c r="C5755" t="s">
        <v>54</v>
      </c>
      <c r="D5755" t="s">
        <v>11</v>
      </c>
      <c r="E5755" t="s">
        <v>14</v>
      </c>
      <c r="F5755" t="s">
        <v>70</v>
      </c>
      <c r="G5755" t="str">
        <f t="shared" si="233"/>
        <v>004COTOPAXI</v>
      </c>
      <c r="H5755" s="5">
        <v>1350</v>
      </c>
      <c r="I5755" s="6">
        <v>528.3915024419166</v>
      </c>
      <c r="J5755" s="5">
        <v>4000</v>
      </c>
      <c r="K5755" s="6">
        <f t="shared" si="234"/>
        <v>2.5549237521063253</v>
      </c>
    </row>
    <row r="5756" spans="1:11" hidden="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67</v>
      </c>
      <c r="G5756" t="str">
        <f t="shared" si="233"/>
        <v>004DEEP PURPLE</v>
      </c>
      <c r="H5756" s="5">
        <v>13290</v>
      </c>
      <c r="I5756" s="6">
        <v>3910.1071427007282</v>
      </c>
      <c r="J5756" s="5">
        <v>29260</v>
      </c>
      <c r="K5756" s="6">
        <f t="shared" si="234"/>
        <v>3.3988838451164636</v>
      </c>
    </row>
    <row r="5757" spans="1:11" hidden="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71</v>
      </c>
      <c r="G5757" t="str">
        <f t="shared" si="233"/>
        <v>004HOT EXPLORER</v>
      </c>
      <c r="H5757" s="5">
        <v>2525</v>
      </c>
      <c r="I5757" s="6">
        <v>1902.2142856381945</v>
      </c>
      <c r="J5757" s="5">
        <v>14400</v>
      </c>
      <c r="K5757" s="6">
        <f t="shared" si="234"/>
        <v>1.3274003980854661</v>
      </c>
    </row>
    <row r="5758" spans="1:11" hidden="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72</v>
      </c>
      <c r="G5758" t="str">
        <f t="shared" si="233"/>
        <v>004HOT MERENGUE</v>
      </c>
      <c r="H5758" s="5">
        <v>2940</v>
      </c>
      <c r="I5758" s="6">
        <v>1162.4642856677858</v>
      </c>
      <c r="J5758" s="5">
        <v>8800</v>
      </c>
      <c r="K5758" s="6">
        <f t="shared" si="234"/>
        <v>2.5291099573963223</v>
      </c>
    </row>
    <row r="5759" spans="1:11" hidden="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64</v>
      </c>
      <c r="G5759" t="str">
        <f t="shared" si="233"/>
        <v>004SWEETNESS</v>
      </c>
      <c r="H5759" s="5">
        <v>270</v>
      </c>
      <c r="I5759" s="6">
        <v>317.03571427303262</v>
      </c>
      <c r="J5759" s="5">
        <v>2400</v>
      </c>
      <c r="K5759" s="6">
        <f t="shared" si="234"/>
        <v>0.85163906728651639</v>
      </c>
    </row>
    <row r="5760" spans="1:11" hidden="1">
      <c r="A5760" s="4">
        <v>2026</v>
      </c>
      <c r="B5760">
        <v>1</v>
      </c>
      <c r="C5760" t="s">
        <v>54</v>
      </c>
      <c r="D5760" t="s">
        <v>11</v>
      </c>
      <c r="E5760" t="s">
        <v>16</v>
      </c>
      <c r="F5760" t="s">
        <v>57</v>
      </c>
      <c r="G5760" t="str">
        <f t="shared" si="233"/>
        <v>005EXPLORER</v>
      </c>
      <c r="H5760" s="5">
        <v>1625</v>
      </c>
      <c r="I5760" s="6">
        <v>951.10714281875391</v>
      </c>
      <c r="J5760" s="5">
        <v>7200</v>
      </c>
      <c r="K5760" s="6">
        <f t="shared" si="234"/>
        <v>1.7085351658531969</v>
      </c>
    </row>
    <row r="5761" spans="1:11" hidden="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73</v>
      </c>
      <c r="G5761" t="str">
        <f t="shared" si="233"/>
        <v>005GOLDFINCH</v>
      </c>
      <c r="H5761" s="5">
        <v>1125</v>
      </c>
      <c r="I5761" s="6">
        <v>898.26785710660101</v>
      </c>
      <c r="J5761" s="5">
        <v>6800</v>
      </c>
      <c r="K5761" s="6">
        <f t="shared" si="234"/>
        <v>1.2524103930688593</v>
      </c>
    </row>
    <row r="5762" spans="1:11" hidden="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68</v>
      </c>
      <c r="G5762" t="str">
        <f t="shared" si="233"/>
        <v>005JOCKER</v>
      </c>
      <c r="H5762" s="5">
        <v>2375</v>
      </c>
      <c r="I5762" s="6">
        <v>1162.4642856673661</v>
      </c>
      <c r="J5762" s="5">
        <v>8800</v>
      </c>
      <c r="K5762" s="6">
        <f t="shared" si="234"/>
        <v>2.0430735200062702</v>
      </c>
    </row>
    <row r="5763" spans="1:11" hidden="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74</v>
      </c>
      <c r="G5763" t="str">
        <f t="shared" si="233"/>
        <v>005VENDELA</v>
      </c>
      <c r="H5763" s="5">
        <v>1830</v>
      </c>
      <c r="I5763" s="6">
        <v>686.91071425798896</v>
      </c>
      <c r="J5763" s="5">
        <v>5200</v>
      </c>
      <c r="K5763" s="6">
        <f t="shared" si="234"/>
        <v>2.6641016976664762</v>
      </c>
    </row>
    <row r="5764" spans="1:11" hidden="1">
      <c r="A5764" s="4">
        <v>2026</v>
      </c>
      <c r="B5764">
        <v>1</v>
      </c>
      <c r="C5764" t="s">
        <v>54</v>
      </c>
      <c r="D5764" t="s">
        <v>11</v>
      </c>
      <c r="E5764" t="s">
        <v>75</v>
      </c>
      <c r="F5764" t="s">
        <v>76</v>
      </c>
      <c r="G5764" t="str">
        <f t="shared" si="233"/>
        <v>006ATOMIC</v>
      </c>
      <c r="H5764" s="5">
        <v>1450</v>
      </c>
      <c r="I5764" s="6">
        <v>845.428571394752</v>
      </c>
      <c r="J5764" s="5">
        <v>6400</v>
      </c>
      <c r="K5764" s="6">
        <f t="shared" si="234"/>
        <v>1.7151064549520154</v>
      </c>
    </row>
    <row r="5765" spans="1:11" hidden="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57</v>
      </c>
      <c r="G5765" t="str">
        <f t="shared" si="233"/>
        <v>006EXPLORER</v>
      </c>
      <c r="H5765" s="5">
        <v>7575</v>
      </c>
      <c r="I5765" s="6">
        <v>3910.1071427007355</v>
      </c>
      <c r="J5765" s="5">
        <v>29600</v>
      </c>
      <c r="K5765" s="6">
        <f t="shared" si="234"/>
        <v>1.9372870674760845</v>
      </c>
    </row>
    <row r="5766" spans="1:11" hidden="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77</v>
      </c>
      <c r="G5766" t="str">
        <f t="shared" si="233"/>
        <v>006MONDIAL</v>
      </c>
      <c r="H5766" s="5">
        <v>4925</v>
      </c>
      <c r="I5766" s="6">
        <v>4015.7857141250793</v>
      </c>
      <c r="J5766" s="5">
        <v>30400</v>
      </c>
      <c r="K5766" s="6">
        <f t="shared" si="234"/>
        <v>1.2264100603468111</v>
      </c>
    </row>
    <row r="5767" spans="1:11" hidden="1">
      <c r="A5767" s="4">
        <v>2026</v>
      </c>
      <c r="B5767">
        <v>1</v>
      </c>
      <c r="C5767" t="s">
        <v>54</v>
      </c>
      <c r="D5767" t="s">
        <v>11</v>
      </c>
      <c r="E5767" t="s">
        <v>20</v>
      </c>
      <c r="F5767" t="s">
        <v>70</v>
      </c>
      <c r="G5767" t="str">
        <f t="shared" si="233"/>
        <v>007COTOPAXI</v>
      </c>
      <c r="H5767" s="5">
        <v>8880</v>
      </c>
      <c r="I5767" s="6">
        <v>2747.5751230427709</v>
      </c>
      <c r="J5767" s="5">
        <v>20800</v>
      </c>
      <c r="K5767" s="6">
        <f t="shared" si="234"/>
        <v>3.2319407485994214</v>
      </c>
    </row>
    <row r="5768" spans="1:11" hidden="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78</v>
      </c>
      <c r="G5768" t="str">
        <f t="shared" si="233"/>
        <v>007REDIANT</v>
      </c>
      <c r="H5768" s="5">
        <v>2280</v>
      </c>
      <c r="I5768" s="6">
        <v>1056.75862064738</v>
      </c>
      <c r="J5768" s="5">
        <v>9600</v>
      </c>
      <c r="K5768" s="6">
        <f t="shared" si="234"/>
        <v>2.1575409515971122</v>
      </c>
    </row>
    <row r="5769" spans="1:11" hidden="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63</v>
      </c>
      <c r="G5769" t="str">
        <f t="shared" si="233"/>
        <v>007SUMMER ROMANCE</v>
      </c>
      <c r="H5769" s="5">
        <v>300</v>
      </c>
      <c r="I5769" s="6">
        <v>369.86551722658481</v>
      </c>
      <c r="J5769" s="5">
        <v>3080</v>
      </c>
      <c r="K5769" s="6">
        <f t="shared" si="234"/>
        <v>0.811105620901166</v>
      </c>
    </row>
    <row r="5770" spans="1:11" hidden="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74</v>
      </c>
      <c r="G5770" t="str">
        <f t="shared" si="233"/>
        <v>007VENDELA</v>
      </c>
      <c r="H5770" s="5">
        <v>10890</v>
      </c>
      <c r="I5770" s="6">
        <v>3592.9793102011122</v>
      </c>
      <c r="J5770" s="5">
        <v>27820</v>
      </c>
      <c r="K5770" s="6">
        <f t="shared" si="234"/>
        <v>3.0309108569262668</v>
      </c>
    </row>
    <row r="5771" spans="1:11" hidden="1">
      <c r="A5771" s="4">
        <v>2026</v>
      </c>
      <c r="B5771">
        <v>1</v>
      </c>
      <c r="C5771" t="s">
        <v>54</v>
      </c>
      <c r="D5771" t="s">
        <v>11</v>
      </c>
      <c r="E5771" t="s">
        <v>79</v>
      </c>
      <c r="F5771" t="s">
        <v>67</v>
      </c>
      <c r="G5771" t="str">
        <f t="shared" ref="G5771:G5834" si="236">+E5771&amp;F5771</f>
        <v>008DEEP PURPLE</v>
      </c>
      <c r="H5771" s="5">
        <v>7260</v>
      </c>
      <c r="I5771" s="6">
        <v>1585.2222221588099</v>
      </c>
      <c r="J5771" s="5">
        <v>11490</v>
      </c>
      <c r="K5771" s="6">
        <f t="shared" si="234"/>
        <v>4.5797995375771876</v>
      </c>
    </row>
    <row r="5772" spans="1:11" hidden="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81</v>
      </c>
      <c r="G5772" t="str">
        <f t="shared" si="236"/>
        <v>008FREEDOM</v>
      </c>
      <c r="H5772" s="5">
        <v>3540</v>
      </c>
      <c r="I5772" s="6">
        <v>2219.311111022334</v>
      </c>
      <c r="J5772" s="5">
        <v>16800</v>
      </c>
      <c r="K5772" s="6">
        <f t="shared" si="234"/>
        <v>1.5950895673970134</v>
      </c>
    </row>
    <row r="5773" spans="1:11" hidden="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68</v>
      </c>
      <c r="G5773" t="str">
        <f t="shared" si="236"/>
        <v>008JOCKER</v>
      </c>
      <c r="H5773" s="5">
        <v>4250</v>
      </c>
      <c r="I5773" s="6">
        <v>2959.0814813631118</v>
      </c>
      <c r="J5773" s="5">
        <v>22400</v>
      </c>
      <c r="K5773" s="6">
        <f t="shared" si="234"/>
        <v>1.4362564960672262</v>
      </c>
    </row>
    <row r="5774" spans="1:11" hidden="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61</v>
      </c>
      <c r="G5774" t="str">
        <f t="shared" si="236"/>
        <v>008LUMIA</v>
      </c>
      <c r="H5774" s="5">
        <v>5700</v>
      </c>
      <c r="I5774" s="6">
        <v>1796.5851851133182</v>
      </c>
      <c r="J5774" s="5">
        <v>13600</v>
      </c>
      <c r="K5774" s="6">
        <f t="shared" si="234"/>
        <v>3.1726856300668409</v>
      </c>
    </row>
    <row r="5775" spans="1:11" hidden="1">
      <c r="A5775" s="4">
        <v>2026</v>
      </c>
      <c r="B5775">
        <v>1</v>
      </c>
      <c r="C5775" t="s">
        <v>54</v>
      </c>
      <c r="D5775" t="s">
        <v>11</v>
      </c>
      <c r="E5775" t="s">
        <v>82</v>
      </c>
      <c r="F5775" t="s">
        <v>83</v>
      </c>
      <c r="G5775" t="str">
        <f t="shared" si="236"/>
        <v>010COOLDOWN</v>
      </c>
      <c r="H5775" s="5">
        <v>2475</v>
      </c>
      <c r="I5775" s="6">
        <v>1912.3542857142861</v>
      </c>
      <c r="J5775" s="5">
        <v>16320</v>
      </c>
      <c r="K5775" s="6">
        <f t="shared" si="234"/>
        <v>1.2942162540115099</v>
      </c>
    </row>
    <row r="5776" spans="1:11" hidden="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84</v>
      </c>
      <c r="G5776" t="str">
        <f t="shared" si="236"/>
        <v>010VIOLET HILL</v>
      </c>
      <c r="H5776" s="5">
        <v>4200</v>
      </c>
      <c r="I5776" s="6">
        <v>2812.2857142428579</v>
      </c>
      <c r="J5776" s="5">
        <v>20000</v>
      </c>
      <c r="K5776" s="6">
        <f t="shared" si="234"/>
        <v>1.4934471198033132</v>
      </c>
    </row>
    <row r="5777" spans="1:11" hidden="1">
      <c r="A5777" s="4">
        <v>2026</v>
      </c>
      <c r="B5777">
        <v>1</v>
      </c>
      <c r="C5777" t="s">
        <v>54</v>
      </c>
      <c r="D5777" t="s">
        <v>11</v>
      </c>
      <c r="E5777" t="s">
        <v>85</v>
      </c>
      <c r="F5777" t="s">
        <v>86</v>
      </c>
      <c r="G5777" t="str">
        <f t="shared" si="236"/>
        <v>011BRIGHTON</v>
      </c>
      <c r="H5777" s="5">
        <v>2325</v>
      </c>
      <c r="I5777" s="6">
        <v>1768.8376470588223</v>
      </c>
      <c r="J5777" s="5">
        <v>12800</v>
      </c>
      <c r="K5777" s="6">
        <f t="shared" si="234"/>
        <v>1.3144224987895017</v>
      </c>
    </row>
    <row r="5778" spans="1:11" hidden="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87</v>
      </c>
      <c r="G5778" t="str">
        <f t="shared" si="236"/>
        <v>011CANDLELIGHT</v>
      </c>
      <c r="H5778" s="5">
        <v>2820</v>
      </c>
      <c r="I5778" s="6">
        <v>2263.7999998868127</v>
      </c>
      <c r="J5778" s="5">
        <v>17920</v>
      </c>
      <c r="K5778" s="6">
        <f t="shared" si="234"/>
        <v>1.2456930824900594</v>
      </c>
    </row>
    <row r="5779" spans="1:11" hidden="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88</v>
      </c>
      <c r="G5779" t="str">
        <f t="shared" si="236"/>
        <v>011CAYENNE</v>
      </c>
      <c r="H5779" s="5">
        <v>1260</v>
      </c>
      <c r="I5779" s="6">
        <v>994.97117647058747</v>
      </c>
      <c r="J5779" s="5">
        <v>7200</v>
      </c>
      <c r="K5779" s="6">
        <f t="shared" si="234"/>
        <v>1.2663683429197781</v>
      </c>
    </row>
    <row r="5780" spans="1:11" hidden="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61</v>
      </c>
      <c r="G5780" t="str">
        <f t="shared" si="236"/>
        <v>011LUMIA</v>
      </c>
      <c r="H5780" s="5">
        <v>1710</v>
      </c>
      <c r="I5780" s="6">
        <v>994.97117647058747</v>
      </c>
      <c r="J5780" s="5">
        <v>7920</v>
      </c>
      <c r="K5780" s="6">
        <f t="shared" si="234"/>
        <v>1.7186427511054132</v>
      </c>
    </row>
    <row r="5781" spans="1:11" hidden="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89</v>
      </c>
      <c r="G5781" t="str">
        <f t="shared" si="236"/>
        <v>011STARDUST</v>
      </c>
      <c r="H5781" s="5">
        <v>2500</v>
      </c>
      <c r="I5781" s="6">
        <v>2263.7999998868127</v>
      </c>
      <c r="J5781" s="5">
        <v>17920</v>
      </c>
      <c r="K5781" s="6">
        <f t="shared" ref="K5781:K5842" si="237">+H5781/I5781</f>
        <v>1.1043378390869323</v>
      </c>
    </row>
    <row r="5782" spans="1:11" hidden="1">
      <c r="A5782" s="4">
        <v>2026</v>
      </c>
      <c r="B5782">
        <v>1</v>
      </c>
      <c r="C5782" t="s">
        <v>54</v>
      </c>
      <c r="D5782" t="s">
        <v>11</v>
      </c>
      <c r="E5782" t="s">
        <v>90</v>
      </c>
      <c r="F5782" t="s">
        <v>67</v>
      </c>
      <c r="G5782" t="str">
        <f t="shared" si="236"/>
        <v>012DEEP PURPLE</v>
      </c>
      <c r="H5782" s="5">
        <v>15180</v>
      </c>
      <c r="I5782" s="6">
        <v>6727.0499997982479</v>
      </c>
      <c r="J5782" s="5">
        <v>49210</v>
      </c>
      <c r="K5782" s="6">
        <f t="shared" si="237"/>
        <v>2.2565611970262247</v>
      </c>
    </row>
    <row r="5783" spans="1:11" hidden="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60</v>
      </c>
      <c r="G5783" t="str">
        <f t="shared" si="236"/>
        <v>012LIGHT HOUSE</v>
      </c>
      <c r="H5783" s="5">
        <v>1500</v>
      </c>
      <c r="I5783" s="6">
        <v>994.95</v>
      </c>
      <c r="J5783" s="5">
        <v>7200</v>
      </c>
      <c r="K5783" s="6">
        <f t="shared" si="237"/>
        <v>1.5076134479119554</v>
      </c>
    </row>
    <row r="5784" spans="1:11" hidden="1">
      <c r="A5784" s="4">
        <v>2026</v>
      </c>
      <c r="B5784">
        <v>1</v>
      </c>
      <c r="C5784" t="s">
        <v>54</v>
      </c>
      <c r="D5784" t="s">
        <v>11</v>
      </c>
      <c r="E5784" t="s">
        <v>91</v>
      </c>
      <c r="F5784" t="s">
        <v>92</v>
      </c>
      <c r="G5784" t="str">
        <f t="shared" si="236"/>
        <v>013COUNTRY BLUES</v>
      </c>
      <c r="H5784" s="5">
        <v>1825</v>
      </c>
      <c r="I5784" s="6">
        <v>831.6</v>
      </c>
      <c r="J5784" s="5">
        <v>6300</v>
      </c>
      <c r="K5784" s="6">
        <f t="shared" si="237"/>
        <v>2.1945646945646944</v>
      </c>
    </row>
    <row r="5785" spans="1:11" hidden="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93</v>
      </c>
      <c r="G5785" t="str">
        <f t="shared" si="236"/>
        <v>013LORRAINE</v>
      </c>
      <c r="H5785" s="5">
        <v>4900</v>
      </c>
      <c r="I5785" s="6">
        <v>1267.2</v>
      </c>
      <c r="J5785" s="5">
        <v>9600</v>
      </c>
      <c r="K5785" s="6">
        <f t="shared" si="237"/>
        <v>3.8667929292929291</v>
      </c>
    </row>
    <row r="5786" spans="1:11" hidden="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61</v>
      </c>
      <c r="G5786" t="str">
        <f t="shared" si="236"/>
        <v>013LUMIA</v>
      </c>
      <c r="H5786" s="5">
        <v>930</v>
      </c>
      <c r="I5786" s="6">
        <v>316.8</v>
      </c>
      <c r="J5786" s="5">
        <v>2400</v>
      </c>
      <c r="K5786" s="6">
        <f t="shared" si="237"/>
        <v>2.9356060606060606</v>
      </c>
    </row>
    <row r="5787" spans="1:11" hidden="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74</v>
      </c>
      <c r="G5787" t="str">
        <f t="shared" si="236"/>
        <v>013VENDELA</v>
      </c>
      <c r="H5787" s="5">
        <v>10890</v>
      </c>
      <c r="I5787" s="6">
        <v>3603.6</v>
      </c>
      <c r="J5787" s="5">
        <v>27296</v>
      </c>
      <c r="K5787" s="6">
        <f t="shared" si="237"/>
        <v>3.0219780219780219</v>
      </c>
    </row>
    <row r="5788" spans="1:11" hidden="1">
      <c r="A5788" s="4">
        <v>2026</v>
      </c>
      <c r="B5788">
        <v>1</v>
      </c>
      <c r="C5788" t="s">
        <v>54</v>
      </c>
      <c r="D5788" t="s">
        <v>11</v>
      </c>
      <c r="E5788" t="s">
        <v>23</v>
      </c>
      <c r="F5788" t="s">
        <v>89</v>
      </c>
      <c r="G5788" t="str">
        <f t="shared" si="236"/>
        <v>014STARDUST</v>
      </c>
      <c r="H5788" s="5">
        <v>6400</v>
      </c>
      <c r="I5788" s="6">
        <v>3682.8</v>
      </c>
      <c r="J5788" s="5">
        <v>27900</v>
      </c>
      <c r="K5788" s="6">
        <f t="shared" si="237"/>
        <v>1.7378081894210926</v>
      </c>
    </row>
    <row r="5789" spans="1:11" hidden="1">
      <c r="A5789" s="4">
        <v>2026</v>
      </c>
      <c r="B5789">
        <v>1</v>
      </c>
      <c r="C5789" t="s">
        <v>54</v>
      </c>
      <c r="D5789" t="s">
        <v>11</v>
      </c>
      <c r="E5789" t="s">
        <v>25</v>
      </c>
      <c r="F5789" t="s">
        <v>68</v>
      </c>
      <c r="G5789" t="str">
        <f t="shared" si="236"/>
        <v>015JOCKER</v>
      </c>
      <c r="H5789" s="5">
        <v>4100</v>
      </c>
      <c r="I5789" s="6">
        <v>2376</v>
      </c>
      <c r="J5789" s="5">
        <v>18000</v>
      </c>
      <c r="K5789" s="6">
        <f t="shared" si="237"/>
        <v>1.7255892255892256</v>
      </c>
    </row>
    <row r="5790" spans="1:11" hidden="1">
      <c r="A5790" s="4">
        <v>2026</v>
      </c>
      <c r="B5790">
        <v>1</v>
      </c>
      <c r="C5790" t="s">
        <v>54</v>
      </c>
      <c r="D5790" t="s">
        <v>11</v>
      </c>
      <c r="E5790" t="s">
        <v>27</v>
      </c>
      <c r="F5790" t="s">
        <v>94</v>
      </c>
      <c r="G5790" t="str">
        <f t="shared" si="236"/>
        <v>016DREAM IN PEACH</v>
      </c>
      <c r="H5790" s="5">
        <v>1560</v>
      </c>
      <c r="I5790" s="6">
        <v>950.4</v>
      </c>
      <c r="J5790" s="5">
        <v>7200</v>
      </c>
      <c r="K5790" s="6">
        <f t="shared" si="237"/>
        <v>1.6414141414141414</v>
      </c>
    </row>
    <row r="5791" spans="1:11" hidden="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95</v>
      </c>
      <c r="G5791" t="str">
        <f t="shared" si="236"/>
        <v>016NINA</v>
      </c>
      <c r="H5791" s="5">
        <v>3275</v>
      </c>
      <c r="I5791" s="6">
        <v>1346.4</v>
      </c>
      <c r="J5791" s="5">
        <v>10200</v>
      </c>
      <c r="K5791" s="6">
        <f t="shared" si="237"/>
        <v>2.4324123588829472</v>
      </c>
    </row>
    <row r="5792" spans="1:11" hidden="1">
      <c r="A5792" s="4">
        <v>2026</v>
      </c>
      <c r="B5792">
        <v>1</v>
      </c>
      <c r="C5792" t="s">
        <v>54</v>
      </c>
      <c r="D5792" t="s">
        <v>11</v>
      </c>
      <c r="E5792" t="s">
        <v>30</v>
      </c>
      <c r="F5792" t="s">
        <v>81</v>
      </c>
      <c r="G5792" t="str">
        <f t="shared" si="236"/>
        <v>017FREEDOM</v>
      </c>
      <c r="H5792" s="5">
        <v>4320</v>
      </c>
      <c r="I5792" s="6">
        <v>2851.2</v>
      </c>
      <c r="J5792" s="5">
        <v>21600</v>
      </c>
      <c r="K5792" s="6">
        <f t="shared" si="237"/>
        <v>1.5151515151515151</v>
      </c>
    </row>
    <row r="5793" spans="1:11" hidden="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73</v>
      </c>
      <c r="G5793" t="str">
        <f t="shared" si="236"/>
        <v>017GOLDFINCH</v>
      </c>
      <c r="H5793" s="5">
        <v>1750</v>
      </c>
      <c r="I5793" s="6">
        <v>2138.4</v>
      </c>
      <c r="J5793" s="5">
        <v>16200</v>
      </c>
      <c r="K5793" s="6">
        <f t="shared" si="237"/>
        <v>0.81836887392442947</v>
      </c>
    </row>
    <row r="5794" spans="1:11" hidden="1">
      <c r="A5794" s="4">
        <v>2026</v>
      </c>
      <c r="B5794">
        <v>1</v>
      </c>
      <c r="C5794" t="s">
        <v>54</v>
      </c>
      <c r="D5794" t="s">
        <v>11</v>
      </c>
      <c r="E5794" t="s">
        <v>32</v>
      </c>
      <c r="F5794" t="s">
        <v>86</v>
      </c>
      <c r="G5794" t="str">
        <f t="shared" si="236"/>
        <v>018BRIGHTON</v>
      </c>
      <c r="H5794" s="5">
        <v>1500</v>
      </c>
      <c r="I5794" s="6">
        <v>963.6</v>
      </c>
      <c r="J5794" s="5">
        <v>7570</v>
      </c>
      <c r="K5794" s="6">
        <f t="shared" si="237"/>
        <v>1.5566625155666252</v>
      </c>
    </row>
    <row r="5795" spans="1:11" hidden="1">
      <c r="A5795" s="4">
        <v>2026</v>
      </c>
      <c r="B5795">
        <v>1</v>
      </c>
      <c r="C5795" t="s">
        <v>54</v>
      </c>
      <c r="D5795" t="s">
        <v>11</v>
      </c>
      <c r="E5795" t="s">
        <v>35</v>
      </c>
      <c r="F5795" t="s">
        <v>86</v>
      </c>
      <c r="G5795" t="str">
        <f t="shared" si="236"/>
        <v>019BRIGHTON</v>
      </c>
      <c r="H5795" s="5">
        <v>7175</v>
      </c>
      <c r="I5795" s="6">
        <v>3168</v>
      </c>
      <c r="J5795" s="5">
        <v>24000</v>
      </c>
      <c r="K5795" s="6">
        <f t="shared" si="237"/>
        <v>2.2648358585858586</v>
      </c>
    </row>
    <row r="5796" spans="1:11" hidden="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96</v>
      </c>
      <c r="G5796" t="str">
        <f t="shared" si="236"/>
        <v>019TABATHA</v>
      </c>
      <c r="H5796" s="5">
        <v>2520</v>
      </c>
      <c r="I5796" s="6">
        <v>1188</v>
      </c>
      <c r="J5796" s="5">
        <v>9000</v>
      </c>
      <c r="K5796" s="6">
        <f t="shared" si="237"/>
        <v>2.1212121212121211</v>
      </c>
    </row>
    <row r="5797" spans="1:11" hidden="1">
      <c r="A5797" s="4">
        <v>2026</v>
      </c>
      <c r="B5797">
        <v>1</v>
      </c>
      <c r="C5797" t="s">
        <v>54</v>
      </c>
      <c r="D5797" t="s">
        <v>11</v>
      </c>
      <c r="E5797" t="s">
        <v>36</v>
      </c>
      <c r="F5797" t="s">
        <v>86</v>
      </c>
      <c r="G5797" t="str">
        <f t="shared" si="236"/>
        <v>020BRIGHTON</v>
      </c>
      <c r="H5797" s="5">
        <v>3725</v>
      </c>
      <c r="I5797" s="6">
        <v>2732.4</v>
      </c>
      <c r="J5797" s="5">
        <v>20700</v>
      </c>
      <c r="K5797" s="6">
        <f t="shared" si="237"/>
        <v>1.3632703850095154</v>
      </c>
    </row>
    <row r="5798" spans="1:11" hidden="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97</v>
      </c>
      <c r="G5798" t="str">
        <f t="shared" si="236"/>
        <v>020TYCOON</v>
      </c>
      <c r="H5798" s="5">
        <v>1020</v>
      </c>
      <c r="I5798" s="6">
        <v>673.2</v>
      </c>
      <c r="J5798" s="5">
        <v>5100</v>
      </c>
      <c r="K5798" s="6">
        <f t="shared" si="237"/>
        <v>1.5151515151515151</v>
      </c>
    </row>
    <row r="5799" spans="1:11" hidden="1">
      <c r="A5799" s="4">
        <v>2026</v>
      </c>
      <c r="B5799">
        <v>1</v>
      </c>
      <c r="C5799" t="s">
        <v>54</v>
      </c>
      <c r="D5799" t="s">
        <v>11</v>
      </c>
      <c r="E5799" t="s">
        <v>38</v>
      </c>
      <c r="F5799" t="s">
        <v>98</v>
      </c>
      <c r="G5799" t="str">
        <f t="shared" si="236"/>
        <v>021SHOW GIRL</v>
      </c>
      <c r="H5799" s="5">
        <v>1625</v>
      </c>
      <c r="I5799" s="6">
        <v>1100.4749999999999</v>
      </c>
      <c r="J5799" s="5">
        <v>8000</v>
      </c>
      <c r="K5799" s="6">
        <f t="shared" si="237"/>
        <v>1.4766350893932167</v>
      </c>
    </row>
    <row r="5800" spans="1:11" hidden="1">
      <c r="A5800" s="4">
        <v>2026</v>
      </c>
      <c r="B5800">
        <v>1</v>
      </c>
      <c r="C5800" t="s">
        <v>54</v>
      </c>
      <c r="D5800" t="s">
        <v>11</v>
      </c>
      <c r="E5800" t="s">
        <v>43</v>
      </c>
      <c r="F5800" t="s">
        <v>99</v>
      </c>
      <c r="G5800" t="str">
        <f t="shared" si="236"/>
        <v>022CORAL REEF</v>
      </c>
      <c r="H5800" s="5">
        <v>3825</v>
      </c>
      <c r="I5800" s="6">
        <v>1287</v>
      </c>
      <c r="J5800" s="5">
        <v>9400</v>
      </c>
      <c r="K5800" s="6">
        <f t="shared" si="237"/>
        <v>2.9720279720279721</v>
      </c>
    </row>
    <row r="5801" spans="1:11" hidden="1">
      <c r="A5801" s="4">
        <v>2026</v>
      </c>
      <c r="B5801">
        <v>1</v>
      </c>
      <c r="C5801" t="s">
        <v>54</v>
      </c>
      <c r="D5801" t="s">
        <v>11</v>
      </c>
      <c r="E5801" t="s">
        <v>100</v>
      </c>
      <c r="F5801" t="s">
        <v>70</v>
      </c>
      <c r="G5801" t="str">
        <f t="shared" si="236"/>
        <v>023COTOPAXI</v>
      </c>
      <c r="H5801" s="5">
        <v>11040</v>
      </c>
      <c r="I5801" s="6">
        <v>2641.14</v>
      </c>
      <c r="J5801" s="5">
        <v>19200</v>
      </c>
      <c r="K5801" s="6">
        <f t="shared" si="237"/>
        <v>4.1800131761284902</v>
      </c>
    </row>
    <row r="5802" spans="1:11" hidden="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101</v>
      </c>
      <c r="G5802" t="str">
        <f t="shared" si="236"/>
        <v>023FRUTTETO</v>
      </c>
      <c r="H5802" s="5">
        <v>10650</v>
      </c>
      <c r="I5802" s="6">
        <v>2641.14</v>
      </c>
      <c r="J5802" s="5">
        <v>19200</v>
      </c>
      <c r="K5802" s="6">
        <f t="shared" si="237"/>
        <v>4.0323496671891688</v>
      </c>
    </row>
    <row r="5803" spans="1:11" hidden="1">
      <c r="A5803" s="4">
        <v>2026</v>
      </c>
      <c r="B5803">
        <v>1</v>
      </c>
      <c r="C5803" t="s">
        <v>54</v>
      </c>
      <c r="D5803" t="s">
        <v>11</v>
      </c>
      <c r="E5803" t="s">
        <v>102</v>
      </c>
      <c r="F5803" t="s">
        <v>70</v>
      </c>
      <c r="G5803" t="str">
        <f t="shared" si="236"/>
        <v>024COTOPAXI</v>
      </c>
      <c r="H5803" s="5">
        <v>4920</v>
      </c>
      <c r="I5803" s="6">
        <v>1430.6174906250001</v>
      </c>
      <c r="J5803" s="5">
        <v>10400</v>
      </c>
      <c r="K5803" s="6">
        <f t="shared" si="237"/>
        <v>3.4390744082477127</v>
      </c>
    </row>
    <row r="5804" spans="1:11" hidden="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64</v>
      </c>
      <c r="G5804" t="str">
        <f t="shared" si="236"/>
        <v>024SWEETNESS</v>
      </c>
      <c r="H5804" s="5">
        <v>2910</v>
      </c>
      <c r="I5804" s="6">
        <v>1430.6175000000001</v>
      </c>
      <c r="J5804" s="5">
        <v>10400</v>
      </c>
      <c r="K5804" s="6">
        <f t="shared" si="237"/>
        <v>2.034086679353496</v>
      </c>
    </row>
    <row r="5805" spans="1:11" hidden="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97</v>
      </c>
      <c r="G5805" t="str">
        <f t="shared" si="236"/>
        <v>024TYCOON</v>
      </c>
      <c r="H5805" s="5">
        <v>5670</v>
      </c>
      <c r="I5805" s="6">
        <v>2861.2350000000001</v>
      </c>
      <c r="J5805" s="5">
        <v>20800</v>
      </c>
      <c r="K5805" s="6">
        <f t="shared" si="237"/>
        <v>1.9816617649371686</v>
      </c>
    </row>
    <row r="5806" spans="1:11" hidden="1">
      <c r="A5806" s="4">
        <v>2026</v>
      </c>
      <c r="B5806">
        <v>1</v>
      </c>
      <c r="C5806" t="s">
        <v>54</v>
      </c>
      <c r="D5806" t="s">
        <v>11</v>
      </c>
      <c r="E5806" t="s">
        <v>103</v>
      </c>
      <c r="F5806" t="s">
        <v>104</v>
      </c>
      <c r="G5806" t="str">
        <f t="shared" si="236"/>
        <v>025PINK MONDIAL</v>
      </c>
      <c r="H5806" s="5">
        <v>4700</v>
      </c>
      <c r="I5806" s="6">
        <v>3071.9505625000002</v>
      </c>
      <c r="J5806" s="5">
        <v>22400</v>
      </c>
      <c r="K5806" s="6">
        <f t="shared" si="237"/>
        <v>1.5299725384171119</v>
      </c>
    </row>
    <row r="5807" spans="1:11" hidden="1">
      <c r="A5807" s="4">
        <v>2026</v>
      </c>
      <c r="B5807">
        <v>1</v>
      </c>
      <c r="C5807" t="s">
        <v>54</v>
      </c>
      <c r="D5807" t="s">
        <v>11</v>
      </c>
      <c r="E5807" t="s">
        <v>45</v>
      </c>
      <c r="F5807" t="s">
        <v>105</v>
      </c>
      <c r="G5807" t="str">
        <f t="shared" si="236"/>
        <v>026LOLA</v>
      </c>
      <c r="H5807" s="5">
        <v>6775</v>
      </c>
      <c r="I5807" s="6">
        <v>1097.125</v>
      </c>
      <c r="J5807" s="5">
        <v>8000</v>
      </c>
      <c r="K5807" s="6">
        <f t="shared" si="237"/>
        <v>6.1752307166457792</v>
      </c>
    </row>
    <row r="5808" spans="1:11" hidden="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106</v>
      </c>
      <c r="G5808" t="str">
        <f t="shared" si="236"/>
        <v>026PALOMA</v>
      </c>
      <c r="H5808" s="5">
        <v>7325</v>
      </c>
      <c r="I5808" s="6">
        <v>2852.5250000000001</v>
      </c>
      <c r="J5808" s="5">
        <v>20800</v>
      </c>
      <c r="K5808" s="6">
        <f t="shared" si="237"/>
        <v>2.5679003689713498</v>
      </c>
    </row>
    <row r="5809" spans="1:11" hidden="1">
      <c r="A5809" s="4">
        <v>2026</v>
      </c>
      <c r="B5809">
        <v>1</v>
      </c>
      <c r="C5809" t="s">
        <v>54</v>
      </c>
      <c r="D5809" t="s">
        <v>11</v>
      </c>
      <c r="E5809" t="s">
        <v>107</v>
      </c>
      <c r="F5809" t="s">
        <v>108</v>
      </c>
      <c r="G5809" t="str">
        <f t="shared" si="236"/>
        <v>027SATISFACTION</v>
      </c>
      <c r="H5809" s="5">
        <v>4950</v>
      </c>
      <c r="I5809" s="6">
        <v>2633.1</v>
      </c>
      <c r="J5809" s="5">
        <v>19200</v>
      </c>
      <c r="K5809" s="6">
        <f t="shared" si="237"/>
        <v>1.8799134100489918</v>
      </c>
    </row>
    <row r="5810" spans="1:11" hidden="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109</v>
      </c>
      <c r="G5810" t="str">
        <f t="shared" si="236"/>
        <v>027TIFFANY</v>
      </c>
      <c r="H5810" s="5">
        <v>4470</v>
      </c>
      <c r="I5810" s="6">
        <v>2633.1</v>
      </c>
      <c r="J5810" s="5">
        <v>19200</v>
      </c>
      <c r="K5810" s="6">
        <f t="shared" si="237"/>
        <v>1.6976187763472714</v>
      </c>
    </row>
    <row r="5811" spans="1:11" hidden="1">
      <c r="A5811" s="4">
        <v>2026</v>
      </c>
      <c r="B5811">
        <v>1</v>
      </c>
      <c r="C5811" t="s">
        <v>54</v>
      </c>
      <c r="D5811" t="s">
        <v>11</v>
      </c>
      <c r="E5811" t="s">
        <v>110</v>
      </c>
      <c r="F5811" t="s">
        <v>70</v>
      </c>
      <c r="G5811" t="str">
        <f t="shared" si="236"/>
        <v>028COTOPAXI</v>
      </c>
      <c r="H5811" s="5">
        <v>10110</v>
      </c>
      <c r="I5811" s="6">
        <v>2852.5250000000001</v>
      </c>
      <c r="J5811" s="5">
        <v>20800</v>
      </c>
      <c r="K5811" s="6">
        <f t="shared" si="237"/>
        <v>3.5442283590853716</v>
      </c>
    </row>
    <row r="5812" spans="1:11" hidden="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67</v>
      </c>
      <c r="G5812" t="str">
        <f t="shared" si="236"/>
        <v>028DEEP PURPLE</v>
      </c>
      <c r="H5812" s="5">
        <v>5970</v>
      </c>
      <c r="I5812" s="6">
        <v>2852.5250000000001</v>
      </c>
      <c r="J5812" s="5">
        <v>20800</v>
      </c>
      <c r="K5812" s="6">
        <f t="shared" si="237"/>
        <v>2.0928826215370591</v>
      </c>
    </row>
    <row r="5813" spans="1:11" hidden="1">
      <c r="A5813" s="4">
        <v>2026</v>
      </c>
      <c r="B5813">
        <v>1</v>
      </c>
      <c r="C5813" t="s">
        <v>54</v>
      </c>
      <c r="D5813" t="s">
        <v>11</v>
      </c>
      <c r="E5813" t="s">
        <v>111</v>
      </c>
      <c r="F5813" t="s">
        <v>112</v>
      </c>
      <c r="G5813" t="str">
        <f t="shared" si="236"/>
        <v>029PINK FLOYD</v>
      </c>
      <c r="H5813" s="5">
        <v>4600</v>
      </c>
      <c r="I5813" s="6">
        <v>3071.95</v>
      </c>
      <c r="J5813" s="5">
        <v>22400</v>
      </c>
      <c r="K5813" s="6">
        <f t="shared" si="237"/>
        <v>1.4974202054069892</v>
      </c>
    </row>
    <row r="5814" spans="1:11" hidden="1">
      <c r="A5814" s="4">
        <v>2026</v>
      </c>
      <c r="B5814">
        <v>1</v>
      </c>
      <c r="C5814" t="s">
        <v>54</v>
      </c>
      <c r="D5814" t="s">
        <v>11</v>
      </c>
      <c r="E5814" t="s">
        <v>47</v>
      </c>
      <c r="F5814" t="s">
        <v>57</v>
      </c>
      <c r="G5814" t="str">
        <f t="shared" si="236"/>
        <v>030EXPLORER</v>
      </c>
      <c r="H5814" s="5">
        <v>3325</v>
      </c>
      <c r="I5814" s="6">
        <v>1645.6875</v>
      </c>
      <c r="J5814" s="5">
        <v>12000</v>
      </c>
      <c r="K5814" s="6">
        <f t="shared" si="237"/>
        <v>2.0204321901940676</v>
      </c>
    </row>
    <row r="5815" spans="1:11" hidden="1">
      <c r="A5815" s="4">
        <v>2026</v>
      </c>
      <c r="B5815">
        <v>2</v>
      </c>
      <c r="C5815" t="s">
        <v>10</v>
      </c>
      <c r="D5815" t="s">
        <v>11</v>
      </c>
      <c r="E5815" t="s">
        <v>12</v>
      </c>
      <c r="F5815" t="s">
        <v>13</v>
      </c>
      <c r="G5815" t="str">
        <f t="shared" si="236"/>
        <v>002SOMERSET</v>
      </c>
      <c r="H5815" s="5">
        <v>7940</v>
      </c>
      <c r="I5815" s="6">
        <v>4121.4642855494085</v>
      </c>
      <c r="J5815" s="5">
        <v>31200</v>
      </c>
      <c r="K5815" s="6">
        <f t="shared" si="237"/>
        <v>1.92649977044301</v>
      </c>
    </row>
    <row r="5816" spans="1:11" hidden="1">
      <c r="A5816" s="4">
        <v>2026</v>
      </c>
      <c r="B5816">
        <v>2</v>
      </c>
      <c r="C5816" t="s">
        <v>10</v>
      </c>
      <c r="D5816" t="s">
        <v>11</v>
      </c>
      <c r="E5816" t="s">
        <v>14</v>
      </c>
      <c r="F5816" t="s">
        <v>15</v>
      </c>
      <c r="G5816" t="str">
        <f t="shared" si="236"/>
        <v>004BELLINA</v>
      </c>
      <c r="H5816" s="5">
        <v>1755</v>
      </c>
      <c r="I5816" s="6">
        <v>1056.7857142434418</v>
      </c>
      <c r="J5816" s="5">
        <v>8000</v>
      </c>
      <c r="K5816" s="6">
        <f t="shared" si="237"/>
        <v>1.6606961812087073</v>
      </c>
    </row>
    <row r="5817" spans="1:11" hidden="1">
      <c r="A5817" s="4">
        <v>2026</v>
      </c>
      <c r="B5817">
        <v>2</v>
      </c>
      <c r="C5817" t="s">
        <v>10</v>
      </c>
      <c r="D5817" t="s">
        <v>11</v>
      </c>
      <c r="E5817" t="s">
        <v>16</v>
      </c>
      <c r="F5817" t="s">
        <v>17</v>
      </c>
      <c r="G5817" t="str">
        <f t="shared" si="236"/>
        <v>005ELBA</v>
      </c>
      <c r="H5817" s="5">
        <v>4200</v>
      </c>
      <c r="I5817" s="6">
        <v>2641.9642856076484</v>
      </c>
      <c r="J5817" s="5">
        <v>19996</v>
      </c>
      <c r="K5817" s="6">
        <f t="shared" si="237"/>
        <v>1.5897262589354062</v>
      </c>
    </row>
    <row r="5818" spans="1:11" hidden="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18</v>
      </c>
      <c r="G5818" t="str">
        <f t="shared" si="236"/>
        <v>005HOT BUBBLES</v>
      </c>
      <c r="H5818" s="5">
        <v>940</v>
      </c>
      <c r="I5818" s="6">
        <v>528.39285712153003</v>
      </c>
      <c r="J5818" s="5">
        <v>4000</v>
      </c>
      <c r="K5818" s="6">
        <f t="shared" si="237"/>
        <v>1.778979384999144</v>
      </c>
    </row>
    <row r="5819" spans="1:11" hidden="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19</v>
      </c>
      <c r="G5819" t="str">
        <f t="shared" si="236"/>
        <v>005SUSPIRO</v>
      </c>
      <c r="H5819" s="5">
        <v>3840</v>
      </c>
      <c r="I5819" s="6">
        <v>1902.2142856375078</v>
      </c>
      <c r="J5819" s="5">
        <v>14400</v>
      </c>
      <c r="K5819" s="6">
        <f t="shared" si="237"/>
        <v>2.0187000113465468</v>
      </c>
    </row>
    <row r="5820" spans="1:11" hidden="1">
      <c r="A5820" s="4">
        <v>2026</v>
      </c>
      <c r="B5820">
        <v>2</v>
      </c>
      <c r="C5820" t="s">
        <v>10</v>
      </c>
      <c r="D5820" t="s">
        <v>11</v>
      </c>
      <c r="E5820" t="s">
        <v>20</v>
      </c>
      <c r="F5820" t="s">
        <v>21</v>
      </c>
      <c r="G5820" t="str">
        <f t="shared" si="236"/>
        <v>007SNOW BUBBLES</v>
      </c>
      <c r="H5820" s="5">
        <v>500</v>
      </c>
      <c r="I5820" s="6">
        <v>634.05652706821195</v>
      </c>
      <c r="J5820" s="5">
        <v>4800</v>
      </c>
      <c r="K5820" s="6">
        <f t="shared" si="237"/>
        <v>0.78857322439677346</v>
      </c>
    </row>
    <row r="5821" spans="1:11" hidden="1">
      <c r="A5821" s="4">
        <v>2026</v>
      </c>
      <c r="B5821">
        <v>2</v>
      </c>
      <c r="C5821" t="s">
        <v>10</v>
      </c>
      <c r="D5821" t="s">
        <v>11</v>
      </c>
      <c r="E5821" t="s">
        <v>22</v>
      </c>
      <c r="F5821" t="s">
        <v>18</v>
      </c>
      <c r="G5821" t="str">
        <f t="shared" si="236"/>
        <v>009HOT BUBBLES</v>
      </c>
      <c r="H5821" s="5">
        <v>6900</v>
      </c>
      <c r="I5821" s="6">
        <v>4487.9999999102474</v>
      </c>
      <c r="J5821" s="5">
        <v>31740</v>
      </c>
      <c r="K5821" s="6">
        <f t="shared" si="237"/>
        <v>1.5374331551109601</v>
      </c>
    </row>
    <row r="5822" spans="1:11" hidden="1">
      <c r="A5822" s="4">
        <v>2026</v>
      </c>
      <c r="B5822">
        <v>2</v>
      </c>
      <c r="C5822" t="s">
        <v>10</v>
      </c>
      <c r="D5822" t="s">
        <v>11</v>
      </c>
      <c r="E5822" t="s">
        <v>23</v>
      </c>
      <c r="F5822" t="s">
        <v>24</v>
      </c>
      <c r="G5822" t="str">
        <f t="shared" si="236"/>
        <v>014FRUITY BUBBLES</v>
      </c>
      <c r="H5822" s="5">
        <v>5125</v>
      </c>
      <c r="I5822" s="6">
        <v>1702.8</v>
      </c>
      <c r="J5822" s="5">
        <v>12900</v>
      </c>
      <c r="K5822" s="6">
        <f t="shared" si="237"/>
        <v>3.0097486492835333</v>
      </c>
    </row>
    <row r="5823" spans="1:11" hidden="1">
      <c r="A5823" s="4">
        <v>2026</v>
      </c>
      <c r="B5823">
        <v>2</v>
      </c>
      <c r="C5823" t="s">
        <v>10</v>
      </c>
      <c r="D5823" t="s">
        <v>11</v>
      </c>
      <c r="E5823" t="s">
        <v>25</v>
      </c>
      <c r="F5823" t="s">
        <v>26</v>
      </c>
      <c r="G5823" t="str">
        <f t="shared" si="236"/>
        <v>015FELLINI</v>
      </c>
      <c r="H5823" s="5">
        <v>4600</v>
      </c>
      <c r="I5823" s="6">
        <v>3009.6</v>
      </c>
      <c r="J5823" s="5">
        <v>22800</v>
      </c>
      <c r="K5823" s="6">
        <f t="shared" si="237"/>
        <v>1.5284423179160023</v>
      </c>
    </row>
    <row r="5824" spans="1:11" hidden="1">
      <c r="A5824" s="4">
        <v>2026</v>
      </c>
      <c r="B5824">
        <v>2</v>
      </c>
      <c r="C5824" t="s">
        <v>10</v>
      </c>
      <c r="D5824" t="s">
        <v>11</v>
      </c>
      <c r="E5824" t="s">
        <v>27</v>
      </c>
      <c r="F5824" t="s">
        <v>28</v>
      </c>
      <c r="G5824" t="str">
        <f t="shared" si="236"/>
        <v>016GOOD PEACH</v>
      </c>
      <c r="H5824" s="5">
        <v>4140</v>
      </c>
      <c r="I5824" s="6">
        <v>1386</v>
      </c>
      <c r="J5824" s="5">
        <v>10500</v>
      </c>
      <c r="K5824" s="6">
        <f t="shared" si="237"/>
        <v>2.9870129870129869</v>
      </c>
    </row>
    <row r="5825" spans="1:11" hidden="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29</v>
      </c>
      <c r="G5825" t="str">
        <f t="shared" si="236"/>
        <v>016GOOD YELLOW</v>
      </c>
      <c r="H5825" s="5">
        <v>3540</v>
      </c>
      <c r="I5825" s="6">
        <v>1386</v>
      </c>
      <c r="J5825" s="5">
        <v>10500</v>
      </c>
      <c r="K5825" s="6">
        <f t="shared" si="237"/>
        <v>2.554112554112554</v>
      </c>
    </row>
    <row r="5826" spans="1:11" hidden="1">
      <c r="A5826" s="4">
        <v>2026</v>
      </c>
      <c r="B5826">
        <v>2</v>
      </c>
      <c r="C5826" t="s">
        <v>10</v>
      </c>
      <c r="D5826" t="s">
        <v>11</v>
      </c>
      <c r="E5826" t="s">
        <v>30</v>
      </c>
      <c r="F5826" t="s">
        <v>31</v>
      </c>
      <c r="G5826" t="str">
        <f t="shared" si="236"/>
        <v>017ORANGE STAR</v>
      </c>
      <c r="H5826" s="5">
        <v>1325</v>
      </c>
      <c r="I5826" s="6">
        <v>1029.5999999999999</v>
      </c>
      <c r="J5826" s="5">
        <v>7800</v>
      </c>
      <c r="K5826" s="6">
        <f t="shared" si="237"/>
        <v>1.2869075369075371</v>
      </c>
    </row>
    <row r="5827" spans="1:11" hidden="1">
      <c r="A5827" s="4">
        <v>2026</v>
      </c>
      <c r="B5827">
        <v>2</v>
      </c>
      <c r="C5827" t="s">
        <v>10</v>
      </c>
      <c r="D5827" t="s">
        <v>11</v>
      </c>
      <c r="E5827" t="s">
        <v>32</v>
      </c>
      <c r="F5827" t="s">
        <v>33</v>
      </c>
      <c r="G5827" t="str">
        <f t="shared" si="236"/>
        <v>018COSMO</v>
      </c>
      <c r="H5827" s="5">
        <v>2725</v>
      </c>
      <c r="I5827" s="6">
        <v>2653.2</v>
      </c>
      <c r="J5827" s="5">
        <v>20100</v>
      </c>
      <c r="K5827" s="6">
        <f t="shared" si="237"/>
        <v>1.0270616613900196</v>
      </c>
    </row>
    <row r="5828" spans="1:11" hidden="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34</v>
      </c>
      <c r="G5828" t="str">
        <f t="shared" si="236"/>
        <v>018RUBICON</v>
      </c>
      <c r="H5828" s="5">
        <v>2820</v>
      </c>
      <c r="I5828" s="6">
        <v>1768.8</v>
      </c>
      <c r="J5828" s="5">
        <v>13400</v>
      </c>
      <c r="K5828" s="6">
        <f t="shared" si="237"/>
        <v>1.5943012211668928</v>
      </c>
    </row>
    <row r="5829" spans="1:11" hidden="1">
      <c r="A5829" s="4">
        <v>2026</v>
      </c>
      <c r="B5829">
        <v>2</v>
      </c>
      <c r="C5829" t="s">
        <v>10</v>
      </c>
      <c r="D5829" t="s">
        <v>11</v>
      </c>
      <c r="E5829" t="s">
        <v>35</v>
      </c>
      <c r="F5829" t="s">
        <v>15</v>
      </c>
      <c r="G5829" t="str">
        <f t="shared" si="236"/>
        <v>019BELLINA</v>
      </c>
      <c r="H5829" s="5">
        <v>1410</v>
      </c>
      <c r="I5829" s="6">
        <v>1029.5999999999999</v>
      </c>
      <c r="J5829" s="5">
        <v>7800</v>
      </c>
      <c r="K5829" s="6">
        <f t="shared" si="237"/>
        <v>1.3694638694638697</v>
      </c>
    </row>
    <row r="5830" spans="1:11" hidden="1">
      <c r="A5830" s="4">
        <v>2026</v>
      </c>
      <c r="B5830">
        <v>2</v>
      </c>
      <c r="C5830" t="s">
        <v>10</v>
      </c>
      <c r="D5830" t="s">
        <v>11</v>
      </c>
      <c r="E5830" t="s">
        <v>36</v>
      </c>
      <c r="F5830" t="s">
        <v>37</v>
      </c>
      <c r="G5830" t="str">
        <f t="shared" si="236"/>
        <v>020SUMMER DANCE</v>
      </c>
      <c r="H5830" s="5">
        <v>3275</v>
      </c>
      <c r="I5830" s="6">
        <v>1346.4</v>
      </c>
      <c r="J5830" s="5">
        <v>10200</v>
      </c>
      <c r="K5830" s="6">
        <f t="shared" si="237"/>
        <v>2.4324123588829472</v>
      </c>
    </row>
    <row r="5831" spans="1:11" hidden="1">
      <c r="A5831" s="4">
        <v>2026</v>
      </c>
      <c r="B5831">
        <v>2</v>
      </c>
      <c r="C5831" t="s">
        <v>10</v>
      </c>
      <c r="D5831" t="s">
        <v>11</v>
      </c>
      <c r="E5831" t="s">
        <v>38</v>
      </c>
      <c r="F5831" t="s">
        <v>39</v>
      </c>
      <c r="G5831" t="str">
        <f t="shared" si="236"/>
        <v>021ELEGANT ROSEVER</v>
      </c>
      <c r="H5831" s="5">
        <v>1470</v>
      </c>
      <c r="I5831" s="6">
        <v>440.18999062500001</v>
      </c>
      <c r="J5831" s="5">
        <v>3200</v>
      </c>
      <c r="K5831" s="6">
        <f t="shared" si="237"/>
        <v>3.3394671194427503</v>
      </c>
    </row>
    <row r="5832" spans="1:11" hidden="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40</v>
      </c>
      <c r="G5832" t="str">
        <f t="shared" si="236"/>
        <v>021FLAME CLUB</v>
      </c>
      <c r="H5832" s="5">
        <v>1525</v>
      </c>
      <c r="I5832" s="6">
        <v>880.38</v>
      </c>
      <c r="J5832" s="5">
        <v>6400</v>
      </c>
      <c r="K5832" s="6">
        <f t="shared" si="237"/>
        <v>1.7322065471728116</v>
      </c>
    </row>
    <row r="5833" spans="1:11" hidden="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41</v>
      </c>
      <c r="G5833" t="str">
        <f t="shared" si="236"/>
        <v>021KELLY</v>
      </c>
      <c r="H5833" s="5">
        <v>800</v>
      </c>
      <c r="I5833" s="6">
        <v>330.14249999999998</v>
      </c>
      <c r="J5833" s="5">
        <v>2400</v>
      </c>
      <c r="K5833" s="6">
        <f t="shared" si="237"/>
        <v>2.423196044132458</v>
      </c>
    </row>
    <row r="5834" spans="1:11" hidden="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42</v>
      </c>
      <c r="G5834" t="str">
        <f t="shared" si="236"/>
        <v>021LEILA</v>
      </c>
      <c r="H5834" s="5">
        <v>3975</v>
      </c>
      <c r="I5834" s="6">
        <v>1430.6175000000001</v>
      </c>
      <c r="J5834" s="5">
        <v>10400</v>
      </c>
      <c r="K5834" s="6">
        <f t="shared" si="237"/>
        <v>2.7785204640653425</v>
      </c>
    </row>
    <row r="5835" spans="1:11" hidden="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21</v>
      </c>
      <c r="G5835" t="str">
        <f t="shared" ref="G5835:G5894" si="238">+E5835&amp;F5835</f>
        <v>021SNOW BUBBLES</v>
      </c>
      <c r="H5835" s="5">
        <v>2080</v>
      </c>
      <c r="I5835" s="6">
        <v>1287.0000000000018</v>
      </c>
      <c r="J5835" s="5">
        <v>9400</v>
      </c>
      <c r="K5835" s="6">
        <f t="shared" si="237"/>
        <v>1.6161616161616139</v>
      </c>
    </row>
    <row r="5836" spans="1:11" hidden="1">
      <c r="A5836" s="4">
        <v>2026</v>
      </c>
      <c r="B5836">
        <v>2</v>
      </c>
      <c r="C5836" t="s">
        <v>10</v>
      </c>
      <c r="D5836" t="s">
        <v>11</v>
      </c>
      <c r="E5836" t="s">
        <v>43</v>
      </c>
      <c r="F5836" t="s">
        <v>24</v>
      </c>
      <c r="G5836" t="str">
        <f t="shared" si="238"/>
        <v>022FRUITY BUBBLES</v>
      </c>
      <c r="H5836" s="5">
        <v>7700</v>
      </c>
      <c r="I5836" s="6">
        <v>2641.14</v>
      </c>
      <c r="J5836" s="5">
        <v>19200</v>
      </c>
      <c r="K5836" s="6">
        <f t="shared" si="237"/>
        <v>2.9154077405968635</v>
      </c>
    </row>
    <row r="5837" spans="1:11" hidden="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28</v>
      </c>
      <c r="G5837" t="str">
        <f t="shared" si="238"/>
        <v>022GOOD PEACH</v>
      </c>
      <c r="H5837" s="5">
        <v>3270</v>
      </c>
      <c r="I5837" s="6">
        <v>880.38</v>
      </c>
      <c r="J5837" s="5">
        <v>6400</v>
      </c>
      <c r="K5837" s="6">
        <f t="shared" si="237"/>
        <v>3.7143051863967833</v>
      </c>
    </row>
    <row r="5838" spans="1:11" hidden="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44</v>
      </c>
      <c r="G5838" t="str">
        <f t="shared" si="238"/>
        <v>022MIRABEL</v>
      </c>
      <c r="H5838" s="5">
        <v>2980</v>
      </c>
      <c r="I5838" s="6">
        <v>880.38</v>
      </c>
      <c r="J5838" s="5">
        <v>6400</v>
      </c>
      <c r="K5838" s="6">
        <f t="shared" si="237"/>
        <v>3.3849019741475272</v>
      </c>
    </row>
    <row r="5839" spans="1:11" hidden="1">
      <c r="A5839" s="4">
        <v>2026</v>
      </c>
      <c r="B5839">
        <v>2</v>
      </c>
      <c r="C5839" t="s">
        <v>10</v>
      </c>
      <c r="D5839" t="s">
        <v>11</v>
      </c>
      <c r="E5839" t="s">
        <v>47</v>
      </c>
      <c r="F5839" t="s">
        <v>44</v>
      </c>
      <c r="G5839" t="str">
        <f t="shared" si="238"/>
        <v>030MIRABEL</v>
      </c>
      <c r="H5839" s="5">
        <v>5920</v>
      </c>
      <c r="I5839" s="6">
        <v>2413.6749943750001</v>
      </c>
      <c r="J5839" s="5">
        <v>17600</v>
      </c>
      <c r="K5839" s="6">
        <f t="shared" si="237"/>
        <v>2.4526914409754377</v>
      </c>
    </row>
    <row r="5840" spans="1:11" hidden="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13</v>
      </c>
      <c r="G5840" t="str">
        <f t="shared" si="238"/>
        <v>030SOMERSET</v>
      </c>
      <c r="H5840" s="5">
        <v>2540</v>
      </c>
      <c r="I5840" s="6">
        <v>1645.6875</v>
      </c>
      <c r="J5840" s="5">
        <v>12000</v>
      </c>
      <c r="K5840" s="6">
        <f t="shared" si="237"/>
        <v>1.5434278986745662</v>
      </c>
    </row>
    <row r="5841" spans="1:11" hidden="1">
      <c r="A5841" s="4">
        <v>2026</v>
      </c>
      <c r="B5841">
        <v>2</v>
      </c>
      <c r="C5841" t="s">
        <v>10</v>
      </c>
      <c r="D5841" t="s">
        <v>11</v>
      </c>
      <c r="E5841" t="s">
        <v>48</v>
      </c>
      <c r="F5841" t="s">
        <v>49</v>
      </c>
      <c r="G5841" t="str">
        <f t="shared" si="238"/>
        <v>03182989</v>
      </c>
      <c r="H5841" s="5">
        <v>1300</v>
      </c>
      <c r="I5841" s="6">
        <v>726.32013058333712</v>
      </c>
      <c r="J5841" s="5">
        <v>5712</v>
      </c>
      <c r="K5841" s="6">
        <f t="shared" si="237"/>
        <v>1.7898443747606407</v>
      </c>
    </row>
    <row r="5842" spans="1:11" hidden="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34</v>
      </c>
      <c r="G5842" t="str">
        <f t="shared" si="238"/>
        <v>031RUBICON</v>
      </c>
      <c r="H5842" s="5">
        <v>1920</v>
      </c>
      <c r="I5842" s="6">
        <v>924.39958333667107</v>
      </c>
      <c r="J5842" s="5">
        <v>6720</v>
      </c>
      <c r="K5842" s="6">
        <f t="shared" si="237"/>
        <v>2.0770238699909993</v>
      </c>
    </row>
    <row r="5843" spans="1:11" hidden="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13</v>
      </c>
      <c r="G5843" t="str">
        <f t="shared" si="238"/>
        <v>031SOMERSET</v>
      </c>
      <c r="H5843" s="5">
        <v>60</v>
      </c>
      <c r="I5843" s="6">
        <v>1122.485208333339</v>
      </c>
      <c r="J5843" s="5">
        <v>8160</v>
      </c>
      <c r="K5843" s="6">
        <f t="shared" ref="K5843:K5904" si="239">+H5843/I5843</f>
        <v>5.3452820183784631E-2</v>
      </c>
    </row>
    <row r="5844" spans="1:11" hidden="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50</v>
      </c>
      <c r="G5844" t="str">
        <f t="shared" si="238"/>
        <v>031VELVET BLOSSOMS</v>
      </c>
      <c r="H5844" s="5">
        <v>560</v>
      </c>
      <c r="I5844" s="6">
        <v>396.17125000000198</v>
      </c>
      <c r="J5844" s="5">
        <v>2880</v>
      </c>
      <c r="K5844" s="6">
        <f t="shared" si="239"/>
        <v>1.4135301337489714</v>
      </c>
    </row>
    <row r="5845" spans="1:11" hidden="1">
      <c r="A5845" s="4">
        <v>2026</v>
      </c>
      <c r="B5845">
        <v>2</v>
      </c>
      <c r="C5845" t="s">
        <v>10</v>
      </c>
      <c r="D5845" t="s">
        <v>11</v>
      </c>
      <c r="E5845" t="s">
        <v>51</v>
      </c>
      <c r="F5845" t="s">
        <v>17</v>
      </c>
      <c r="G5845" t="str">
        <f t="shared" si="238"/>
        <v>032ELBA</v>
      </c>
      <c r="H5845" s="5">
        <v>3270</v>
      </c>
      <c r="I5845" s="6">
        <v>1535.9749999999999</v>
      </c>
      <c r="J5845" s="5">
        <v>11200</v>
      </c>
      <c r="K5845" s="6">
        <f t="shared" si="239"/>
        <v>2.1289409007308064</v>
      </c>
    </row>
    <row r="5846" spans="1:11" hidden="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44</v>
      </c>
      <c r="G5846" t="str">
        <f t="shared" si="238"/>
        <v>032MIRABEL</v>
      </c>
      <c r="H5846" s="5">
        <v>2820</v>
      </c>
      <c r="I5846" s="6">
        <v>1535.9749999999999</v>
      </c>
      <c r="J5846" s="5">
        <v>11200</v>
      </c>
      <c r="K5846" s="6">
        <f t="shared" si="239"/>
        <v>1.8359673822816127</v>
      </c>
    </row>
    <row r="5847" spans="1:11" hidden="1">
      <c r="A5847" s="4">
        <v>2026</v>
      </c>
      <c r="B5847">
        <v>2</v>
      </c>
      <c r="C5847" t="s">
        <v>10</v>
      </c>
      <c r="D5847" t="s">
        <v>11</v>
      </c>
      <c r="E5847" t="s">
        <v>52</v>
      </c>
      <c r="F5847" t="s">
        <v>53</v>
      </c>
      <c r="G5847" t="str">
        <f t="shared" si="238"/>
        <v>033CREAMY FOLIES</v>
      </c>
      <c r="H5847" s="5">
        <v>870</v>
      </c>
      <c r="I5847" s="6">
        <v>594.25687500000299</v>
      </c>
      <c r="J5847" s="5">
        <v>4320</v>
      </c>
      <c r="K5847" s="6">
        <f t="shared" si="239"/>
        <v>1.4640133528114347</v>
      </c>
    </row>
    <row r="5848" spans="1:11" hidden="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18</v>
      </c>
      <c r="G5848" t="str">
        <f t="shared" si="238"/>
        <v>033HOT BUBBLES</v>
      </c>
      <c r="H5848" s="5">
        <v>4960</v>
      </c>
      <c r="I5848" s="6">
        <v>2575.1131250013459</v>
      </c>
      <c r="J5848" s="5">
        <v>18720</v>
      </c>
      <c r="K5848" s="6">
        <f t="shared" si="239"/>
        <v>1.9261289734591398</v>
      </c>
    </row>
    <row r="5849" spans="1:11" hidden="1">
      <c r="A5849" s="4">
        <v>2026</v>
      </c>
      <c r="B5849">
        <v>2</v>
      </c>
      <c r="C5849" t="s">
        <v>54</v>
      </c>
      <c r="D5849" t="s">
        <v>11</v>
      </c>
      <c r="E5849" t="s">
        <v>55</v>
      </c>
      <c r="F5849" t="s">
        <v>56</v>
      </c>
      <c r="G5849" t="str">
        <f t="shared" si="238"/>
        <v>001BELIEVE IN PINK</v>
      </c>
      <c r="H5849" s="5">
        <v>1080</v>
      </c>
      <c r="I5849" s="6">
        <v>528.37931032368999</v>
      </c>
      <c r="J5849" s="5">
        <v>4000</v>
      </c>
      <c r="K5849" s="6">
        <f t="shared" ref="K5849:K5854" si="240">IFERROR(H5849/I5849,"")</f>
        <v>2.0439861646709483</v>
      </c>
    </row>
    <row r="5850" spans="1:11" hidden="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57</v>
      </c>
      <c r="G5850" t="str">
        <f t="shared" si="238"/>
        <v>001EXPLORER</v>
      </c>
      <c r="H5850" s="5">
        <v>4800</v>
      </c>
      <c r="I5850" s="6">
        <v>2272.0310343918732</v>
      </c>
      <c r="J5850" s="5">
        <v>17200</v>
      </c>
      <c r="K5850" s="6">
        <f t="shared" si="240"/>
        <v>2.1126471986262976</v>
      </c>
    </row>
    <row r="5851" spans="1:11" hidden="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58</v>
      </c>
      <c r="G5851" t="str">
        <f t="shared" si="238"/>
        <v>001GRACE KELLY</v>
      </c>
      <c r="H5851" s="5">
        <v>1830</v>
      </c>
      <c r="I5851" s="6">
        <v>1162.4344827121224</v>
      </c>
      <c r="J5851" s="5">
        <v>8800</v>
      </c>
      <c r="K5851" s="6">
        <f t="shared" si="240"/>
        <v>1.5742822732945376</v>
      </c>
    </row>
    <row r="5852" spans="1:11" hidden="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60</v>
      </c>
      <c r="G5852" t="str">
        <f t="shared" si="238"/>
        <v>001LIGHT HOUSE</v>
      </c>
      <c r="H5852" s="5">
        <v>1980</v>
      </c>
      <c r="I5852" s="6">
        <v>1056.7586206473827</v>
      </c>
      <c r="J5852" s="5">
        <v>8000</v>
      </c>
      <c r="K5852" s="6">
        <f t="shared" si="240"/>
        <v>1.8736539842816979</v>
      </c>
    </row>
    <row r="5853" spans="1:11" hidden="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61</v>
      </c>
      <c r="G5853" t="str">
        <f t="shared" si="238"/>
        <v>001LUMIA</v>
      </c>
      <c r="H5853" s="5">
        <v>2130</v>
      </c>
      <c r="I5853" s="6">
        <v>1109.596551679753</v>
      </c>
      <c r="J5853" s="5">
        <v>8400</v>
      </c>
      <c r="K5853" s="6">
        <f t="shared" si="240"/>
        <v>1.919616636132762</v>
      </c>
    </row>
    <row r="5854" spans="1:11" hidden="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62</v>
      </c>
      <c r="G5854" t="str">
        <f t="shared" si="238"/>
        <v>001MOMENTUM</v>
      </c>
      <c r="H5854" s="5">
        <v>3075</v>
      </c>
      <c r="I5854" s="6">
        <v>1902.1655171652881</v>
      </c>
      <c r="J5854" s="5">
        <v>14400</v>
      </c>
      <c r="K5854" s="6">
        <f t="shared" si="240"/>
        <v>1.6165785638794119</v>
      </c>
    </row>
    <row r="5855" spans="1:11" hidden="1">
      <c r="A5855" s="4">
        <v>2026</v>
      </c>
      <c r="B5855">
        <v>2</v>
      </c>
      <c r="C5855" t="s">
        <v>54</v>
      </c>
      <c r="D5855" t="s">
        <v>11</v>
      </c>
      <c r="E5855" t="s">
        <v>12</v>
      </c>
      <c r="F5855" t="s">
        <v>63</v>
      </c>
      <c r="G5855" t="str">
        <f t="shared" si="238"/>
        <v>002SUMMER ROMANCE</v>
      </c>
      <c r="H5855" s="5">
        <v>1525</v>
      </c>
      <c r="I5855" s="6">
        <v>951.10714281909407</v>
      </c>
      <c r="J5855" s="5">
        <v>7200</v>
      </c>
      <c r="K5855" s="6">
        <f t="shared" si="239"/>
        <v>1.6033945402616576</v>
      </c>
    </row>
    <row r="5856" spans="1:11" hidden="1">
      <c r="A5856" s="4">
        <v>2026</v>
      </c>
      <c r="B5856">
        <v>2</v>
      </c>
      <c r="C5856" t="s">
        <v>54</v>
      </c>
      <c r="D5856" t="s">
        <v>11</v>
      </c>
      <c r="E5856" t="s">
        <v>12</v>
      </c>
      <c r="F5856" t="s">
        <v>64</v>
      </c>
      <c r="G5856" t="str">
        <f t="shared" si="238"/>
        <v>002SWEETNESS</v>
      </c>
      <c r="H5856" s="5">
        <v>7470</v>
      </c>
      <c r="I5856" s="6">
        <v>3804.4285712763772</v>
      </c>
      <c r="J5856" s="5">
        <v>28800</v>
      </c>
      <c r="K5856" s="6">
        <f t="shared" si="239"/>
        <v>1.9635011829105868</v>
      </c>
    </row>
    <row r="5857" spans="1:11" hidden="1">
      <c r="A5857" s="4">
        <v>2026</v>
      </c>
      <c r="B5857">
        <v>2</v>
      </c>
      <c r="C5857" t="s">
        <v>54</v>
      </c>
      <c r="D5857" t="s">
        <v>11</v>
      </c>
      <c r="E5857" t="s">
        <v>65</v>
      </c>
      <c r="F5857" t="s">
        <v>66</v>
      </c>
      <c r="G5857" t="str">
        <f t="shared" si="238"/>
        <v>003CABARET</v>
      </c>
      <c r="H5857" s="5">
        <v>6690</v>
      </c>
      <c r="I5857" s="6">
        <v>2641.8965516184649</v>
      </c>
      <c r="J5857" s="5">
        <v>20000</v>
      </c>
      <c r="K5857" s="6">
        <f t="shared" si="239"/>
        <v>2.5322717484534385</v>
      </c>
    </row>
    <row r="5858" spans="1:11" hidden="1">
      <c r="A5858" s="4">
        <v>2026</v>
      </c>
      <c r="B5858">
        <v>2</v>
      </c>
      <c r="C5858" t="s">
        <v>54</v>
      </c>
      <c r="D5858" t="s">
        <v>11</v>
      </c>
      <c r="E5858" t="s">
        <v>65</v>
      </c>
      <c r="F5858" t="s">
        <v>67</v>
      </c>
      <c r="G5858" t="str">
        <f t="shared" si="238"/>
        <v>003DEEP PURPLE</v>
      </c>
      <c r="H5858" s="5">
        <v>14010</v>
      </c>
      <c r="I5858" s="6">
        <v>3592.9793102010913</v>
      </c>
      <c r="J5858" s="5">
        <v>26044</v>
      </c>
      <c r="K5858" s="6">
        <f t="shared" si="239"/>
        <v>3.8992709922440079</v>
      </c>
    </row>
    <row r="5859" spans="1:11" hidden="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57</v>
      </c>
      <c r="G5859" t="str">
        <f t="shared" si="238"/>
        <v>003EXPLORER</v>
      </c>
      <c r="H5859" s="5">
        <v>2175</v>
      </c>
      <c r="I5859" s="6">
        <v>1268.1103447768633</v>
      </c>
      <c r="J5859" s="5">
        <v>9600</v>
      </c>
      <c r="K5859" s="6">
        <f t="shared" si="239"/>
        <v>1.7151504275305893</v>
      </c>
    </row>
    <row r="5860" spans="1:11" hidden="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68</v>
      </c>
      <c r="G5860" t="str">
        <f t="shared" si="238"/>
        <v>003JOCKER</v>
      </c>
      <c r="H5860" s="5">
        <v>800</v>
      </c>
      <c r="I5860" s="6">
        <v>528.37931032368999</v>
      </c>
      <c r="J5860" s="5">
        <v>4000</v>
      </c>
      <c r="K5860" s="6">
        <f t="shared" si="239"/>
        <v>1.5140638256821841</v>
      </c>
    </row>
    <row r="5861" spans="1:11" hidden="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69</v>
      </c>
      <c r="G5861" t="str">
        <f t="shared" si="238"/>
        <v>003QUICKSAND</v>
      </c>
      <c r="H5861" s="5">
        <v>1770</v>
      </c>
      <c r="I5861" s="6">
        <v>1162.4344827121247</v>
      </c>
      <c r="J5861" s="5">
        <v>8800</v>
      </c>
      <c r="K5861" s="6">
        <f t="shared" si="239"/>
        <v>1.5226664610553695</v>
      </c>
    </row>
    <row r="5862" spans="1:11" hidden="1">
      <c r="A5862" s="4">
        <v>2026</v>
      </c>
      <c r="B5862">
        <v>2</v>
      </c>
      <c r="C5862" t="s">
        <v>54</v>
      </c>
      <c r="D5862" t="s">
        <v>11</v>
      </c>
      <c r="E5862" t="s">
        <v>14</v>
      </c>
      <c r="F5862" t="s">
        <v>70</v>
      </c>
      <c r="G5862" t="str">
        <f t="shared" si="238"/>
        <v>004COTOPAXI</v>
      </c>
      <c r="H5862" s="5">
        <v>1020</v>
      </c>
      <c r="I5862" s="6">
        <v>528.3915024419166</v>
      </c>
      <c r="J5862" s="5">
        <v>4000</v>
      </c>
      <c r="K5862" s="6">
        <f t="shared" si="239"/>
        <v>1.930386834924779</v>
      </c>
    </row>
    <row r="5863" spans="1:11" hidden="1">
      <c r="A5863" s="4">
        <v>2026</v>
      </c>
      <c r="B5863">
        <v>2</v>
      </c>
      <c r="C5863" t="s">
        <v>54</v>
      </c>
      <c r="D5863" t="s">
        <v>11</v>
      </c>
      <c r="E5863" t="s">
        <v>14</v>
      </c>
      <c r="F5863" t="s">
        <v>67</v>
      </c>
      <c r="G5863" t="str">
        <f t="shared" si="238"/>
        <v>004DEEP PURPLE</v>
      </c>
      <c r="H5863" s="5">
        <v>16980</v>
      </c>
      <c r="I5863" s="6">
        <v>3910.1071427007282</v>
      </c>
      <c r="J5863" s="5">
        <v>29260</v>
      </c>
      <c r="K5863" s="6">
        <f t="shared" si="239"/>
        <v>4.3425920007582812</v>
      </c>
    </row>
    <row r="5864" spans="1:11" hidden="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71</v>
      </c>
      <c r="G5864" t="str">
        <f t="shared" si="238"/>
        <v>004HOT EXPLORER</v>
      </c>
      <c r="H5864" s="5">
        <v>2375</v>
      </c>
      <c r="I5864" s="6">
        <v>1902.2142856381945</v>
      </c>
      <c r="J5864" s="5">
        <v>14400</v>
      </c>
      <c r="K5864" s="6">
        <f t="shared" si="239"/>
        <v>1.2485449288922701</v>
      </c>
    </row>
    <row r="5865" spans="1:11" hidden="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72</v>
      </c>
      <c r="G5865" t="str">
        <f t="shared" si="238"/>
        <v>004HOT MERENGUE</v>
      </c>
      <c r="H5865" s="5">
        <v>3480</v>
      </c>
      <c r="I5865" s="6">
        <v>1162.4642856677858</v>
      </c>
      <c r="J5865" s="5">
        <v>8800</v>
      </c>
      <c r="K5865" s="6">
        <f t="shared" si="239"/>
        <v>2.9936403577344222</v>
      </c>
    </row>
    <row r="5866" spans="1:11" hidden="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64</v>
      </c>
      <c r="G5866" t="str">
        <f t="shared" si="238"/>
        <v>004SWEETNESS</v>
      </c>
      <c r="H5866" s="5">
        <v>450</v>
      </c>
      <c r="I5866" s="6">
        <v>317.03571427303262</v>
      </c>
      <c r="J5866" s="5">
        <v>2400</v>
      </c>
      <c r="K5866" s="6">
        <f t="shared" si="239"/>
        <v>1.4193984454775272</v>
      </c>
    </row>
    <row r="5867" spans="1:11" hidden="1">
      <c r="A5867" s="4">
        <v>2026</v>
      </c>
      <c r="B5867">
        <v>2</v>
      </c>
      <c r="C5867" t="s">
        <v>54</v>
      </c>
      <c r="D5867" t="s">
        <v>11</v>
      </c>
      <c r="E5867" t="s">
        <v>16</v>
      </c>
      <c r="F5867" t="s">
        <v>57</v>
      </c>
      <c r="G5867" t="str">
        <f t="shared" si="238"/>
        <v>005EXPLORER</v>
      </c>
      <c r="H5867" s="5">
        <v>2175</v>
      </c>
      <c r="I5867" s="6">
        <v>951.10714281875391</v>
      </c>
      <c r="J5867" s="5">
        <v>7200</v>
      </c>
      <c r="K5867" s="6">
        <f t="shared" si="239"/>
        <v>2.2868086066035098</v>
      </c>
    </row>
    <row r="5868" spans="1:11" hidden="1">
      <c r="A5868" s="4">
        <v>2026</v>
      </c>
      <c r="B5868">
        <v>2</v>
      </c>
      <c r="C5868" t="s">
        <v>54</v>
      </c>
      <c r="D5868" t="s">
        <v>11</v>
      </c>
      <c r="E5868" t="s">
        <v>16</v>
      </c>
      <c r="F5868" t="s">
        <v>73</v>
      </c>
      <c r="G5868" t="str">
        <f t="shared" si="238"/>
        <v>005GOLDFINCH</v>
      </c>
      <c r="H5868" s="5">
        <v>1100</v>
      </c>
      <c r="I5868" s="6">
        <v>898.26785710660101</v>
      </c>
      <c r="J5868" s="5">
        <v>6800</v>
      </c>
      <c r="K5868" s="6">
        <f t="shared" si="239"/>
        <v>1.2245790510006622</v>
      </c>
    </row>
    <row r="5869" spans="1:11" hidden="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68</v>
      </c>
      <c r="G5869" t="str">
        <f t="shared" si="238"/>
        <v>005JOCKER</v>
      </c>
      <c r="H5869" s="5">
        <v>1950</v>
      </c>
      <c r="I5869" s="6">
        <v>1162.4642856673661</v>
      </c>
      <c r="J5869" s="5">
        <v>8800</v>
      </c>
      <c r="K5869" s="6">
        <f t="shared" si="239"/>
        <v>1.6774708901104112</v>
      </c>
    </row>
    <row r="5870" spans="1:11" hidden="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74</v>
      </c>
      <c r="G5870" t="str">
        <f t="shared" si="238"/>
        <v>005VENDELA</v>
      </c>
      <c r="H5870" s="5">
        <v>1140</v>
      </c>
      <c r="I5870" s="6">
        <v>686.91071425798896</v>
      </c>
      <c r="J5870" s="5">
        <v>5200</v>
      </c>
      <c r="K5870" s="6">
        <f t="shared" si="239"/>
        <v>1.6596043362512474</v>
      </c>
    </row>
    <row r="5871" spans="1:11" hidden="1">
      <c r="A5871" s="4">
        <v>2026</v>
      </c>
      <c r="B5871">
        <v>2</v>
      </c>
      <c r="C5871" t="s">
        <v>54</v>
      </c>
      <c r="D5871" t="s">
        <v>11</v>
      </c>
      <c r="E5871" t="s">
        <v>75</v>
      </c>
      <c r="F5871" t="s">
        <v>76</v>
      </c>
      <c r="G5871" t="str">
        <f t="shared" si="238"/>
        <v>006ATOMIC</v>
      </c>
      <c r="H5871" s="5">
        <v>1175</v>
      </c>
      <c r="I5871" s="6">
        <v>845.428571394752</v>
      </c>
      <c r="J5871" s="5">
        <v>6400</v>
      </c>
      <c r="K5871" s="6">
        <f t="shared" si="239"/>
        <v>1.3898276445300815</v>
      </c>
    </row>
    <row r="5872" spans="1:11" hidden="1">
      <c r="A5872" s="4">
        <v>2026</v>
      </c>
      <c r="B5872">
        <v>2</v>
      </c>
      <c r="C5872" t="s">
        <v>54</v>
      </c>
      <c r="D5872" t="s">
        <v>11</v>
      </c>
      <c r="E5872" t="s">
        <v>75</v>
      </c>
      <c r="F5872" t="s">
        <v>57</v>
      </c>
      <c r="G5872" t="str">
        <f t="shared" si="238"/>
        <v>006EXPLORER</v>
      </c>
      <c r="H5872" s="5">
        <v>6825</v>
      </c>
      <c r="I5872" s="6">
        <v>3910.1071427007355</v>
      </c>
      <c r="J5872" s="5">
        <v>29600</v>
      </c>
      <c r="K5872" s="6">
        <f t="shared" si="239"/>
        <v>1.7454764667358782</v>
      </c>
    </row>
    <row r="5873" spans="1:11" hidden="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77</v>
      </c>
      <c r="G5873" t="str">
        <f t="shared" si="238"/>
        <v>006MONDIAL</v>
      </c>
      <c r="H5873" s="5">
        <v>7050</v>
      </c>
      <c r="I5873" s="6">
        <v>4015.7857141250793</v>
      </c>
      <c r="J5873" s="5">
        <v>30400</v>
      </c>
      <c r="K5873" s="6">
        <f t="shared" si="239"/>
        <v>1.7555717615116786</v>
      </c>
    </row>
    <row r="5874" spans="1:11" hidden="1">
      <c r="A5874" s="4">
        <v>2026</v>
      </c>
      <c r="B5874">
        <v>2</v>
      </c>
      <c r="C5874" t="s">
        <v>54</v>
      </c>
      <c r="D5874" t="s">
        <v>11</v>
      </c>
      <c r="E5874" t="s">
        <v>20</v>
      </c>
      <c r="F5874" t="s">
        <v>70</v>
      </c>
      <c r="G5874" t="str">
        <f t="shared" si="238"/>
        <v>007COTOPAXI</v>
      </c>
      <c r="H5874" s="5">
        <v>4860</v>
      </c>
      <c r="I5874" s="6">
        <v>2747.5751230427709</v>
      </c>
      <c r="J5874" s="5">
        <v>20800</v>
      </c>
      <c r="K5874" s="6">
        <f t="shared" si="239"/>
        <v>1.7688324367334671</v>
      </c>
    </row>
    <row r="5875" spans="1:11" hidden="1">
      <c r="A5875" s="4">
        <v>2026</v>
      </c>
      <c r="B5875">
        <v>2</v>
      </c>
      <c r="C5875" t="s">
        <v>54</v>
      </c>
      <c r="D5875" t="s">
        <v>11</v>
      </c>
      <c r="E5875" t="s">
        <v>20</v>
      </c>
      <c r="F5875" t="s">
        <v>78</v>
      </c>
      <c r="G5875" t="str">
        <f t="shared" si="238"/>
        <v>007REDIANT</v>
      </c>
      <c r="H5875" s="5">
        <v>1470</v>
      </c>
      <c r="I5875" s="6">
        <v>1056.75862064738</v>
      </c>
      <c r="J5875" s="5">
        <v>9600</v>
      </c>
      <c r="K5875" s="6">
        <f t="shared" si="239"/>
        <v>1.3910461398455065</v>
      </c>
    </row>
    <row r="5876" spans="1:11" hidden="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63</v>
      </c>
      <c r="G5876" t="str">
        <f t="shared" si="238"/>
        <v>007SUMMER ROMANCE</v>
      </c>
      <c r="H5876" s="5">
        <v>175</v>
      </c>
      <c r="I5876" s="6">
        <v>369.86551722658481</v>
      </c>
      <c r="J5876" s="5">
        <v>3080</v>
      </c>
      <c r="K5876" s="6">
        <f t="shared" si="239"/>
        <v>0.47314494552568021</v>
      </c>
    </row>
    <row r="5877" spans="1:11" hidden="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74</v>
      </c>
      <c r="G5877" t="str">
        <f t="shared" si="238"/>
        <v>007VENDELA</v>
      </c>
      <c r="H5877" s="5">
        <v>7500</v>
      </c>
      <c r="I5877" s="6">
        <v>3592.9793102011122</v>
      </c>
      <c r="J5877" s="5">
        <v>27820</v>
      </c>
      <c r="K5877" s="6">
        <f t="shared" si="239"/>
        <v>2.0874041714368228</v>
      </c>
    </row>
    <row r="5878" spans="1:11" hidden="1">
      <c r="A5878" s="4">
        <v>2026</v>
      </c>
      <c r="B5878">
        <v>2</v>
      </c>
      <c r="C5878" t="s">
        <v>54</v>
      </c>
      <c r="D5878" t="s">
        <v>11</v>
      </c>
      <c r="E5878" t="s">
        <v>79</v>
      </c>
      <c r="F5878" t="s">
        <v>67</v>
      </c>
      <c r="G5878" t="str">
        <f t="shared" si="238"/>
        <v>008DEEP PURPLE</v>
      </c>
      <c r="H5878" s="5">
        <v>5340</v>
      </c>
      <c r="I5878" s="6">
        <v>1585.2222221588099</v>
      </c>
      <c r="J5878" s="5">
        <v>11490</v>
      </c>
      <c r="K5878" s="6">
        <f t="shared" si="239"/>
        <v>3.3686128830113202</v>
      </c>
    </row>
    <row r="5879" spans="1:11" hidden="1">
      <c r="A5879" s="4">
        <v>2026</v>
      </c>
      <c r="B5879">
        <v>2</v>
      </c>
      <c r="C5879" t="s">
        <v>54</v>
      </c>
      <c r="D5879" t="s">
        <v>11</v>
      </c>
      <c r="E5879" t="s">
        <v>79</v>
      </c>
      <c r="F5879" t="s">
        <v>81</v>
      </c>
      <c r="G5879" t="str">
        <f t="shared" si="238"/>
        <v>008FREEDOM</v>
      </c>
      <c r="H5879" s="5">
        <v>3120</v>
      </c>
      <c r="I5879" s="6">
        <v>2219.311111022334</v>
      </c>
      <c r="J5879" s="5">
        <v>16800</v>
      </c>
      <c r="K5879" s="6">
        <f t="shared" si="239"/>
        <v>1.4058416526210966</v>
      </c>
    </row>
    <row r="5880" spans="1:11" hidden="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68</v>
      </c>
      <c r="G5880" t="str">
        <f t="shared" si="238"/>
        <v>008JOCKER</v>
      </c>
      <c r="H5880" s="5">
        <v>3625</v>
      </c>
      <c r="I5880" s="6">
        <v>2959.0814813631118</v>
      </c>
      <c r="J5880" s="5">
        <v>22400</v>
      </c>
      <c r="K5880" s="6">
        <f t="shared" si="239"/>
        <v>1.2250423054691046</v>
      </c>
    </row>
    <row r="5881" spans="1:11" hidden="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61</v>
      </c>
      <c r="G5881" t="str">
        <f t="shared" si="238"/>
        <v>008LUMIA</v>
      </c>
      <c r="H5881" s="5">
        <v>1560</v>
      </c>
      <c r="I5881" s="6">
        <v>1796.5851851133182</v>
      </c>
      <c r="J5881" s="5">
        <v>13600</v>
      </c>
      <c r="K5881" s="6">
        <f t="shared" si="239"/>
        <v>0.86831396191303012</v>
      </c>
    </row>
    <row r="5882" spans="1:11" hidden="1">
      <c r="A5882" s="4">
        <v>2026</v>
      </c>
      <c r="B5882">
        <v>2</v>
      </c>
      <c r="C5882" t="s">
        <v>54</v>
      </c>
      <c r="D5882" t="s">
        <v>11</v>
      </c>
      <c r="E5882" t="s">
        <v>82</v>
      </c>
      <c r="F5882" t="s">
        <v>83</v>
      </c>
      <c r="G5882" t="str">
        <f t="shared" si="238"/>
        <v>010COOLDOWN</v>
      </c>
      <c r="H5882" s="5">
        <v>1900</v>
      </c>
      <c r="I5882" s="6">
        <v>1912.3542857142861</v>
      </c>
      <c r="J5882" s="5">
        <v>16320</v>
      </c>
      <c r="K5882" s="6">
        <f t="shared" si="239"/>
        <v>0.99353975055429045</v>
      </c>
    </row>
    <row r="5883" spans="1:11" hidden="1">
      <c r="A5883" s="4">
        <v>2026</v>
      </c>
      <c r="B5883">
        <v>2</v>
      </c>
      <c r="C5883" t="s">
        <v>54</v>
      </c>
      <c r="D5883" t="s">
        <v>11</v>
      </c>
      <c r="E5883" t="s">
        <v>82</v>
      </c>
      <c r="F5883" t="s">
        <v>84</v>
      </c>
      <c r="G5883" t="str">
        <f t="shared" si="238"/>
        <v>010VIOLET HILL</v>
      </c>
      <c r="H5883" s="5">
        <v>3120</v>
      </c>
      <c r="I5883" s="6">
        <v>2812.2857142428579</v>
      </c>
      <c r="J5883" s="5">
        <v>20000</v>
      </c>
      <c r="K5883" s="6">
        <f t="shared" si="239"/>
        <v>1.1094178604253184</v>
      </c>
    </row>
    <row r="5884" spans="1:11" hidden="1">
      <c r="A5884" s="4">
        <v>2026</v>
      </c>
      <c r="B5884">
        <v>2</v>
      </c>
      <c r="C5884" t="s">
        <v>54</v>
      </c>
      <c r="D5884" t="s">
        <v>11</v>
      </c>
      <c r="E5884" t="s">
        <v>85</v>
      </c>
      <c r="F5884" t="s">
        <v>86</v>
      </c>
      <c r="G5884" t="str">
        <f t="shared" si="238"/>
        <v>011BRIGHTON</v>
      </c>
      <c r="H5884" s="5">
        <v>2725</v>
      </c>
      <c r="I5884" s="6">
        <v>1768.8376470588223</v>
      </c>
      <c r="J5884" s="5">
        <v>12800</v>
      </c>
      <c r="K5884" s="6">
        <f t="shared" si="239"/>
        <v>1.5405597028823192</v>
      </c>
    </row>
    <row r="5885" spans="1:11" hidden="1">
      <c r="A5885" s="4">
        <v>2026</v>
      </c>
      <c r="B5885">
        <v>2</v>
      </c>
      <c r="C5885" t="s">
        <v>54</v>
      </c>
      <c r="D5885" t="s">
        <v>11</v>
      </c>
      <c r="E5885" t="s">
        <v>85</v>
      </c>
      <c r="F5885" t="s">
        <v>87</v>
      </c>
      <c r="G5885" t="str">
        <f t="shared" si="238"/>
        <v>011CANDLELIGHT</v>
      </c>
      <c r="H5885" s="5">
        <v>2800</v>
      </c>
      <c r="I5885" s="6">
        <v>2263.7999998868127</v>
      </c>
      <c r="J5885" s="5">
        <v>17920</v>
      </c>
      <c r="K5885" s="6">
        <f t="shared" si="239"/>
        <v>1.236858379777364</v>
      </c>
    </row>
    <row r="5886" spans="1:11" hidden="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88</v>
      </c>
      <c r="G5886" t="str">
        <f t="shared" si="238"/>
        <v>011CAYENNE</v>
      </c>
      <c r="H5886" s="5">
        <v>1530</v>
      </c>
      <c r="I5886" s="6">
        <v>994.97117647058747</v>
      </c>
      <c r="J5886" s="5">
        <v>7200</v>
      </c>
      <c r="K5886" s="6">
        <f t="shared" si="239"/>
        <v>1.5377329878311592</v>
      </c>
    </row>
    <row r="5887" spans="1:11" hidden="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61</v>
      </c>
      <c r="G5887" t="str">
        <f t="shared" si="238"/>
        <v>011LUMIA</v>
      </c>
      <c r="H5887" s="5">
        <v>2100</v>
      </c>
      <c r="I5887" s="6">
        <v>994.97117647058747</v>
      </c>
      <c r="J5887" s="5">
        <v>7920</v>
      </c>
      <c r="K5887" s="6">
        <f t="shared" si="239"/>
        <v>2.1106139048662969</v>
      </c>
    </row>
    <row r="5888" spans="1:11" hidden="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89</v>
      </c>
      <c r="G5888" t="str">
        <f t="shared" si="238"/>
        <v>011STARDUST</v>
      </c>
      <c r="H5888" s="5">
        <v>2350</v>
      </c>
      <c r="I5888" s="6">
        <v>2263.7999998868127</v>
      </c>
      <c r="J5888" s="5">
        <v>17920</v>
      </c>
      <c r="K5888" s="6">
        <f t="shared" si="239"/>
        <v>1.0380775687417163</v>
      </c>
    </row>
    <row r="5889" spans="1:11" hidden="1">
      <c r="A5889" s="4">
        <v>2026</v>
      </c>
      <c r="B5889">
        <v>2</v>
      </c>
      <c r="C5889" t="s">
        <v>54</v>
      </c>
      <c r="D5889" t="s">
        <v>11</v>
      </c>
      <c r="E5889" t="s">
        <v>90</v>
      </c>
      <c r="F5889" t="s">
        <v>67</v>
      </c>
      <c r="G5889" t="str">
        <f t="shared" si="238"/>
        <v>012DEEP PURPLE</v>
      </c>
      <c r="H5889" s="5">
        <v>12510</v>
      </c>
      <c r="I5889" s="6">
        <v>6727.0499997982479</v>
      </c>
      <c r="J5889" s="5">
        <v>49210</v>
      </c>
      <c r="K5889" s="6">
        <f t="shared" si="239"/>
        <v>1.8596561643476992</v>
      </c>
    </row>
    <row r="5890" spans="1:11" hidden="1">
      <c r="A5890" s="4">
        <v>2026</v>
      </c>
      <c r="B5890">
        <v>2</v>
      </c>
      <c r="C5890" t="s">
        <v>54</v>
      </c>
      <c r="D5890" t="s">
        <v>11</v>
      </c>
      <c r="E5890" t="s">
        <v>90</v>
      </c>
      <c r="F5890" t="s">
        <v>60</v>
      </c>
      <c r="G5890" t="str">
        <f t="shared" si="238"/>
        <v>012LIGHT HOUSE</v>
      </c>
      <c r="H5890" s="5">
        <v>1440</v>
      </c>
      <c r="I5890" s="6">
        <v>994.95</v>
      </c>
      <c r="J5890" s="5">
        <v>7200</v>
      </c>
      <c r="K5890" s="6">
        <f t="shared" si="239"/>
        <v>1.447308909995477</v>
      </c>
    </row>
    <row r="5891" spans="1:11" hidden="1">
      <c r="A5891" s="4">
        <v>2026</v>
      </c>
      <c r="B5891">
        <v>2</v>
      </c>
      <c r="C5891" t="s">
        <v>54</v>
      </c>
      <c r="D5891" t="s">
        <v>11</v>
      </c>
      <c r="E5891" t="s">
        <v>91</v>
      </c>
      <c r="F5891" t="s">
        <v>92</v>
      </c>
      <c r="G5891" t="str">
        <f t="shared" si="238"/>
        <v>013COUNTRY BLUES</v>
      </c>
      <c r="H5891" s="5">
        <v>900</v>
      </c>
      <c r="I5891" s="6">
        <v>831.6</v>
      </c>
      <c r="J5891" s="5">
        <v>6300</v>
      </c>
      <c r="K5891" s="6">
        <f t="shared" si="239"/>
        <v>1.0822510822510822</v>
      </c>
    </row>
    <row r="5892" spans="1:11" hidden="1">
      <c r="A5892" s="4">
        <v>2026</v>
      </c>
      <c r="B5892">
        <v>2</v>
      </c>
      <c r="C5892" t="s">
        <v>54</v>
      </c>
      <c r="D5892" t="s">
        <v>11</v>
      </c>
      <c r="E5892" t="s">
        <v>91</v>
      </c>
      <c r="F5892" t="s">
        <v>93</v>
      </c>
      <c r="G5892" t="str">
        <f t="shared" si="238"/>
        <v>013LORRAINE</v>
      </c>
      <c r="H5892" s="5">
        <v>2350</v>
      </c>
      <c r="I5892" s="6">
        <v>1267.2</v>
      </c>
      <c r="J5892" s="5">
        <v>9600</v>
      </c>
      <c r="K5892" s="6">
        <f t="shared" si="239"/>
        <v>1.8544823232323231</v>
      </c>
    </row>
    <row r="5893" spans="1:11" hidden="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61</v>
      </c>
      <c r="G5893" t="str">
        <f t="shared" si="238"/>
        <v>013LUMIA</v>
      </c>
      <c r="H5893" s="5">
        <v>660</v>
      </c>
      <c r="I5893" s="6">
        <v>316.8</v>
      </c>
      <c r="J5893" s="5">
        <v>2400</v>
      </c>
      <c r="K5893" s="6">
        <f t="shared" si="239"/>
        <v>2.083333333333333</v>
      </c>
    </row>
    <row r="5894" spans="1:11" hidden="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74</v>
      </c>
      <c r="G5894" t="str">
        <f t="shared" si="238"/>
        <v>013VENDELA</v>
      </c>
      <c r="H5894" s="5">
        <v>7710</v>
      </c>
      <c r="I5894" s="6">
        <v>3603.6</v>
      </c>
      <c r="J5894" s="5">
        <v>27296</v>
      </c>
      <c r="K5894" s="6">
        <f t="shared" si="239"/>
        <v>2.1395271395271398</v>
      </c>
    </row>
    <row r="5895" spans="1:11" hidden="1">
      <c r="A5895" s="4">
        <v>2026</v>
      </c>
      <c r="B5895">
        <v>2</v>
      </c>
      <c r="C5895" t="s">
        <v>54</v>
      </c>
      <c r="D5895" t="s">
        <v>11</v>
      </c>
      <c r="E5895" t="s">
        <v>23</v>
      </c>
      <c r="F5895" t="s">
        <v>89</v>
      </c>
      <c r="G5895" t="str">
        <f t="shared" ref="G5895:G5955" si="241">+E5895&amp;F5895</f>
        <v>014STARDUST</v>
      </c>
      <c r="H5895" s="5">
        <v>3875</v>
      </c>
      <c r="I5895" s="6">
        <v>3682.8</v>
      </c>
      <c r="J5895" s="5">
        <v>27900</v>
      </c>
      <c r="K5895" s="6">
        <f t="shared" si="239"/>
        <v>1.0521885521885521</v>
      </c>
    </row>
    <row r="5896" spans="1:11" hidden="1">
      <c r="A5896" s="4">
        <v>2026</v>
      </c>
      <c r="B5896">
        <v>2</v>
      </c>
      <c r="C5896" t="s">
        <v>54</v>
      </c>
      <c r="D5896" t="s">
        <v>11</v>
      </c>
      <c r="E5896" t="s">
        <v>25</v>
      </c>
      <c r="F5896" t="s">
        <v>68</v>
      </c>
      <c r="G5896" t="str">
        <f t="shared" si="241"/>
        <v>015JOCKER</v>
      </c>
      <c r="H5896" s="5">
        <v>3325</v>
      </c>
      <c r="I5896" s="6">
        <v>2376</v>
      </c>
      <c r="J5896" s="5">
        <v>18000</v>
      </c>
      <c r="K5896" s="6">
        <f t="shared" si="239"/>
        <v>1.3994107744107744</v>
      </c>
    </row>
    <row r="5897" spans="1:11" hidden="1">
      <c r="A5897" s="4">
        <v>2026</v>
      </c>
      <c r="B5897">
        <v>2</v>
      </c>
      <c r="C5897" t="s">
        <v>54</v>
      </c>
      <c r="D5897" t="s">
        <v>11</v>
      </c>
      <c r="E5897" t="s">
        <v>27</v>
      </c>
      <c r="F5897" t="s">
        <v>94</v>
      </c>
      <c r="G5897" t="str">
        <f t="shared" si="241"/>
        <v>016DREAM IN PEACH</v>
      </c>
      <c r="H5897" s="5">
        <v>1230</v>
      </c>
      <c r="I5897" s="6">
        <v>950.4</v>
      </c>
      <c r="J5897" s="5">
        <v>7200</v>
      </c>
      <c r="K5897" s="6">
        <f t="shared" si="239"/>
        <v>1.2941919191919191</v>
      </c>
    </row>
    <row r="5898" spans="1:11" hidden="1">
      <c r="A5898" s="4">
        <v>2026</v>
      </c>
      <c r="B5898">
        <v>2</v>
      </c>
      <c r="C5898" t="s">
        <v>54</v>
      </c>
      <c r="D5898" t="s">
        <v>11</v>
      </c>
      <c r="E5898" t="s">
        <v>27</v>
      </c>
      <c r="F5898" t="s">
        <v>95</v>
      </c>
      <c r="G5898" t="str">
        <f t="shared" si="241"/>
        <v>016NINA</v>
      </c>
      <c r="H5898" s="5">
        <v>1875</v>
      </c>
      <c r="I5898" s="6">
        <v>1346.4</v>
      </c>
      <c r="J5898" s="5">
        <v>10200</v>
      </c>
      <c r="K5898" s="6">
        <f t="shared" si="239"/>
        <v>1.392602495543672</v>
      </c>
    </row>
    <row r="5899" spans="1:11" hidden="1">
      <c r="A5899" s="4">
        <v>2026</v>
      </c>
      <c r="B5899">
        <v>2</v>
      </c>
      <c r="C5899" t="s">
        <v>54</v>
      </c>
      <c r="D5899" t="s">
        <v>11</v>
      </c>
      <c r="E5899" t="s">
        <v>30</v>
      </c>
      <c r="F5899" t="s">
        <v>81</v>
      </c>
      <c r="G5899" t="str">
        <f t="shared" si="241"/>
        <v>017FREEDOM</v>
      </c>
      <c r="H5899" s="5">
        <v>5190</v>
      </c>
      <c r="I5899" s="6">
        <v>2851.2</v>
      </c>
      <c r="J5899" s="5">
        <v>21600</v>
      </c>
      <c r="K5899" s="6">
        <f t="shared" si="239"/>
        <v>1.8202861952861955</v>
      </c>
    </row>
    <row r="5900" spans="1:11" hidden="1">
      <c r="A5900" s="4">
        <v>2026</v>
      </c>
      <c r="B5900">
        <v>2</v>
      </c>
      <c r="C5900" t="s">
        <v>54</v>
      </c>
      <c r="D5900" t="s">
        <v>11</v>
      </c>
      <c r="E5900" t="s">
        <v>30</v>
      </c>
      <c r="F5900" t="s">
        <v>73</v>
      </c>
      <c r="G5900" t="str">
        <f t="shared" si="241"/>
        <v>017GOLDFINCH</v>
      </c>
      <c r="H5900" s="5">
        <v>1400</v>
      </c>
      <c r="I5900" s="6">
        <v>2138.4</v>
      </c>
      <c r="J5900" s="5">
        <v>16200</v>
      </c>
      <c r="K5900" s="6">
        <f t="shared" si="239"/>
        <v>0.6546950991395436</v>
      </c>
    </row>
    <row r="5901" spans="1:11" hidden="1">
      <c r="A5901" s="4">
        <v>2026</v>
      </c>
      <c r="B5901">
        <v>2</v>
      </c>
      <c r="C5901" t="s">
        <v>54</v>
      </c>
      <c r="D5901" t="s">
        <v>11</v>
      </c>
      <c r="E5901" t="s">
        <v>32</v>
      </c>
      <c r="F5901" t="s">
        <v>86</v>
      </c>
      <c r="G5901" t="str">
        <f t="shared" si="241"/>
        <v>018BRIGHTON</v>
      </c>
      <c r="H5901" s="5">
        <v>1750</v>
      </c>
      <c r="I5901" s="6">
        <v>963.6</v>
      </c>
      <c r="J5901" s="5">
        <v>7570</v>
      </c>
      <c r="K5901" s="6">
        <f t="shared" si="239"/>
        <v>1.8161062681610627</v>
      </c>
    </row>
    <row r="5902" spans="1:11" hidden="1">
      <c r="A5902" s="4">
        <v>2026</v>
      </c>
      <c r="B5902">
        <v>2</v>
      </c>
      <c r="C5902" t="s">
        <v>54</v>
      </c>
      <c r="D5902" t="s">
        <v>11</v>
      </c>
      <c r="E5902" t="s">
        <v>35</v>
      </c>
      <c r="F5902" t="s">
        <v>86</v>
      </c>
      <c r="G5902" t="str">
        <f t="shared" si="241"/>
        <v>019BRIGHTON</v>
      </c>
      <c r="H5902" s="5">
        <v>7000</v>
      </c>
      <c r="I5902" s="6">
        <v>3168</v>
      </c>
      <c r="J5902" s="5">
        <v>24000</v>
      </c>
      <c r="K5902" s="6">
        <f t="shared" si="239"/>
        <v>2.2095959595959598</v>
      </c>
    </row>
    <row r="5903" spans="1:11" hidden="1">
      <c r="A5903" s="4">
        <v>2026</v>
      </c>
      <c r="B5903">
        <v>2</v>
      </c>
      <c r="C5903" t="s">
        <v>54</v>
      </c>
      <c r="D5903" t="s">
        <v>11</v>
      </c>
      <c r="E5903" t="s">
        <v>35</v>
      </c>
      <c r="F5903" t="s">
        <v>96</v>
      </c>
      <c r="G5903" t="str">
        <f t="shared" si="241"/>
        <v>019TABATHA</v>
      </c>
      <c r="H5903" s="5">
        <v>2100</v>
      </c>
      <c r="I5903" s="6">
        <v>1188</v>
      </c>
      <c r="J5903" s="5">
        <v>9000</v>
      </c>
      <c r="K5903" s="6">
        <f t="shared" si="239"/>
        <v>1.7676767676767677</v>
      </c>
    </row>
    <row r="5904" spans="1:11" hidden="1">
      <c r="A5904" s="4">
        <v>2026</v>
      </c>
      <c r="B5904">
        <v>2</v>
      </c>
      <c r="C5904" t="s">
        <v>54</v>
      </c>
      <c r="D5904" t="s">
        <v>11</v>
      </c>
      <c r="E5904" t="s">
        <v>36</v>
      </c>
      <c r="F5904" t="s">
        <v>86</v>
      </c>
      <c r="G5904" t="str">
        <f t="shared" si="241"/>
        <v>020BRIGHTON</v>
      </c>
      <c r="H5904" s="5">
        <v>3475</v>
      </c>
      <c r="I5904" s="6">
        <v>2732.4</v>
      </c>
      <c r="J5904" s="5">
        <v>20700</v>
      </c>
      <c r="K5904" s="6">
        <f t="shared" si="239"/>
        <v>1.2717757282974673</v>
      </c>
    </row>
    <row r="5905" spans="1:11" hidden="1">
      <c r="A5905" s="4">
        <v>2026</v>
      </c>
      <c r="B5905">
        <v>2</v>
      </c>
      <c r="C5905" t="s">
        <v>54</v>
      </c>
      <c r="D5905" t="s">
        <v>11</v>
      </c>
      <c r="E5905" t="s">
        <v>36</v>
      </c>
      <c r="F5905" t="s">
        <v>97</v>
      </c>
      <c r="G5905" t="str">
        <f t="shared" si="241"/>
        <v>020TYCOON</v>
      </c>
      <c r="H5905" s="5">
        <v>1020</v>
      </c>
      <c r="I5905" s="6">
        <v>673.2</v>
      </c>
      <c r="J5905" s="5">
        <v>5100</v>
      </c>
      <c r="K5905" s="6">
        <f t="shared" ref="K5905:K5964" si="242">+H5905/I5905</f>
        <v>1.5151515151515151</v>
      </c>
    </row>
    <row r="5906" spans="1:11" hidden="1">
      <c r="A5906" s="4">
        <v>2026</v>
      </c>
      <c r="B5906">
        <v>2</v>
      </c>
      <c r="C5906" t="s">
        <v>54</v>
      </c>
      <c r="D5906" t="s">
        <v>11</v>
      </c>
      <c r="E5906" t="s">
        <v>38</v>
      </c>
      <c r="F5906" t="s">
        <v>98</v>
      </c>
      <c r="G5906" t="str">
        <f t="shared" si="241"/>
        <v>021SHOW GIRL</v>
      </c>
      <c r="H5906" s="5">
        <v>1125</v>
      </c>
      <c r="I5906" s="6">
        <v>1100.4749999999999</v>
      </c>
      <c r="J5906" s="5">
        <v>8000</v>
      </c>
      <c r="K5906" s="6">
        <f t="shared" si="242"/>
        <v>1.0222858311183809</v>
      </c>
    </row>
    <row r="5907" spans="1:11" hidden="1">
      <c r="A5907" s="4">
        <v>2026</v>
      </c>
      <c r="B5907">
        <v>2</v>
      </c>
      <c r="C5907" t="s">
        <v>54</v>
      </c>
      <c r="D5907" t="s">
        <v>11</v>
      </c>
      <c r="E5907" t="s">
        <v>43</v>
      </c>
      <c r="F5907" t="s">
        <v>99</v>
      </c>
      <c r="G5907" t="str">
        <f t="shared" si="241"/>
        <v>022CORAL REEF</v>
      </c>
      <c r="H5907" s="5">
        <v>2575</v>
      </c>
      <c r="I5907" s="6">
        <v>1287</v>
      </c>
      <c r="J5907" s="5">
        <v>9400</v>
      </c>
      <c r="K5907" s="6">
        <f t="shared" si="242"/>
        <v>2.0007770007770009</v>
      </c>
    </row>
    <row r="5908" spans="1:11" hidden="1">
      <c r="A5908" s="4">
        <v>2026</v>
      </c>
      <c r="B5908">
        <v>2</v>
      </c>
      <c r="C5908" t="s">
        <v>54</v>
      </c>
      <c r="D5908" t="s">
        <v>11</v>
      </c>
      <c r="E5908" t="s">
        <v>100</v>
      </c>
      <c r="F5908" t="s">
        <v>70</v>
      </c>
      <c r="G5908" t="str">
        <f t="shared" si="241"/>
        <v>023COTOPAXI</v>
      </c>
      <c r="H5908" s="5">
        <v>5220</v>
      </c>
      <c r="I5908" s="6">
        <v>2641.14</v>
      </c>
      <c r="J5908" s="5">
        <v>19200</v>
      </c>
      <c r="K5908" s="6">
        <f t="shared" si="242"/>
        <v>1.9764192734955361</v>
      </c>
    </row>
    <row r="5909" spans="1:11" hidden="1">
      <c r="A5909" s="4">
        <v>2026</v>
      </c>
      <c r="B5909">
        <v>2</v>
      </c>
      <c r="C5909" t="s">
        <v>54</v>
      </c>
      <c r="D5909" t="s">
        <v>11</v>
      </c>
      <c r="E5909" t="s">
        <v>100</v>
      </c>
      <c r="F5909" t="s">
        <v>101</v>
      </c>
      <c r="G5909" t="str">
        <f t="shared" si="241"/>
        <v>023FRUTTETO</v>
      </c>
      <c r="H5909" s="5">
        <v>8430</v>
      </c>
      <c r="I5909" s="6">
        <v>2641.14</v>
      </c>
      <c r="J5909" s="5">
        <v>19200</v>
      </c>
      <c r="K5909" s="6">
        <f t="shared" si="242"/>
        <v>3.191803539380722</v>
      </c>
    </row>
    <row r="5910" spans="1:11" hidden="1">
      <c r="A5910" s="4">
        <v>2026</v>
      </c>
      <c r="B5910">
        <v>2</v>
      </c>
      <c r="C5910" t="s">
        <v>54</v>
      </c>
      <c r="D5910" t="s">
        <v>11</v>
      </c>
      <c r="E5910" t="s">
        <v>102</v>
      </c>
      <c r="F5910" t="s">
        <v>70</v>
      </c>
      <c r="G5910" t="str">
        <f t="shared" si="241"/>
        <v>024COTOPAXI</v>
      </c>
      <c r="H5910" s="5">
        <v>3390</v>
      </c>
      <c r="I5910" s="6">
        <v>1430.6174906250001</v>
      </c>
      <c r="J5910" s="5">
        <v>10400</v>
      </c>
      <c r="K5910" s="6">
        <f t="shared" si="242"/>
        <v>2.3696061471462899</v>
      </c>
    </row>
    <row r="5911" spans="1:11" hidden="1">
      <c r="A5911" s="4">
        <v>2026</v>
      </c>
      <c r="B5911">
        <v>2</v>
      </c>
      <c r="C5911" t="s">
        <v>54</v>
      </c>
      <c r="D5911" t="s">
        <v>11</v>
      </c>
      <c r="E5911" t="s">
        <v>102</v>
      </c>
      <c r="F5911" t="s">
        <v>64</v>
      </c>
      <c r="G5911" t="str">
        <f t="shared" si="241"/>
        <v>024SWEETNESS</v>
      </c>
      <c r="H5911" s="5">
        <v>2400</v>
      </c>
      <c r="I5911" s="6">
        <v>1430.6175000000001</v>
      </c>
      <c r="J5911" s="5">
        <v>10400</v>
      </c>
      <c r="K5911" s="6">
        <f t="shared" si="242"/>
        <v>1.6775972613224708</v>
      </c>
    </row>
    <row r="5912" spans="1:11" hidden="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97</v>
      </c>
      <c r="G5912" t="str">
        <f t="shared" si="241"/>
        <v>024TYCOON</v>
      </c>
      <c r="H5912" s="5">
        <v>5490</v>
      </c>
      <c r="I5912" s="6">
        <v>2861.2350000000001</v>
      </c>
      <c r="J5912" s="5">
        <v>20800</v>
      </c>
      <c r="K5912" s="6">
        <f t="shared" si="242"/>
        <v>1.9187518676375761</v>
      </c>
    </row>
    <row r="5913" spans="1:11" hidden="1">
      <c r="A5913" s="4">
        <v>2026</v>
      </c>
      <c r="B5913">
        <v>2</v>
      </c>
      <c r="C5913" t="s">
        <v>54</v>
      </c>
      <c r="D5913" t="s">
        <v>11</v>
      </c>
      <c r="E5913" t="s">
        <v>103</v>
      </c>
      <c r="F5913" t="s">
        <v>104</v>
      </c>
      <c r="G5913" t="str">
        <f t="shared" si="241"/>
        <v>025PINK MONDIAL</v>
      </c>
      <c r="H5913" s="5">
        <v>4125</v>
      </c>
      <c r="I5913" s="6">
        <v>3071.9505625000002</v>
      </c>
      <c r="J5913" s="5">
        <v>22400</v>
      </c>
      <c r="K5913" s="6">
        <f t="shared" si="242"/>
        <v>1.3427950470150185</v>
      </c>
    </row>
    <row r="5914" spans="1:11" hidden="1">
      <c r="A5914" s="4">
        <v>2026</v>
      </c>
      <c r="B5914">
        <v>2</v>
      </c>
      <c r="C5914" t="s">
        <v>54</v>
      </c>
      <c r="D5914" t="s">
        <v>11</v>
      </c>
      <c r="E5914" t="s">
        <v>45</v>
      </c>
      <c r="F5914" t="s">
        <v>105</v>
      </c>
      <c r="G5914" t="str">
        <f t="shared" si="241"/>
        <v>026LOLA</v>
      </c>
      <c r="H5914" s="5">
        <v>5075</v>
      </c>
      <c r="I5914" s="6">
        <v>1097.125</v>
      </c>
      <c r="J5914" s="5">
        <v>8000</v>
      </c>
      <c r="K5914" s="6">
        <f t="shared" si="242"/>
        <v>4.6257263301811555</v>
      </c>
    </row>
    <row r="5915" spans="1:11" hidden="1">
      <c r="A5915" s="4">
        <v>2026</v>
      </c>
      <c r="B5915">
        <v>2</v>
      </c>
      <c r="C5915" t="s">
        <v>54</v>
      </c>
      <c r="D5915" t="s">
        <v>11</v>
      </c>
      <c r="E5915" t="s">
        <v>45</v>
      </c>
      <c r="F5915" t="s">
        <v>106</v>
      </c>
      <c r="G5915" t="str">
        <f t="shared" si="241"/>
        <v>026PALOMA</v>
      </c>
      <c r="H5915" s="5">
        <v>4675</v>
      </c>
      <c r="I5915" s="6">
        <v>2852.5250000000001</v>
      </c>
      <c r="J5915" s="5">
        <v>20800</v>
      </c>
      <c r="K5915" s="6">
        <f t="shared" si="242"/>
        <v>1.638898870299121</v>
      </c>
    </row>
    <row r="5916" spans="1:11" hidden="1">
      <c r="A5916" s="4">
        <v>2026</v>
      </c>
      <c r="B5916">
        <v>2</v>
      </c>
      <c r="C5916" t="s">
        <v>54</v>
      </c>
      <c r="D5916" t="s">
        <v>11</v>
      </c>
      <c r="E5916" t="s">
        <v>107</v>
      </c>
      <c r="F5916" t="s">
        <v>108</v>
      </c>
      <c r="G5916" t="str">
        <f t="shared" si="241"/>
        <v>027SATISFACTION</v>
      </c>
      <c r="H5916" s="5">
        <v>5100</v>
      </c>
      <c r="I5916" s="6">
        <v>2633.1</v>
      </c>
      <c r="J5916" s="5">
        <v>19200</v>
      </c>
      <c r="K5916" s="6">
        <f t="shared" si="242"/>
        <v>1.9368804830807793</v>
      </c>
    </row>
    <row r="5917" spans="1:11" hidden="1">
      <c r="A5917" s="4">
        <v>2026</v>
      </c>
      <c r="B5917">
        <v>2</v>
      </c>
      <c r="C5917" t="s">
        <v>54</v>
      </c>
      <c r="D5917" t="s">
        <v>11</v>
      </c>
      <c r="E5917" t="s">
        <v>107</v>
      </c>
      <c r="F5917" t="s">
        <v>109</v>
      </c>
      <c r="G5917" t="str">
        <f t="shared" si="241"/>
        <v>027TIFFANY</v>
      </c>
      <c r="H5917" s="5">
        <v>5100</v>
      </c>
      <c r="I5917" s="6">
        <v>2633.1</v>
      </c>
      <c r="J5917" s="5">
        <v>19200</v>
      </c>
      <c r="K5917" s="6">
        <f t="shared" si="242"/>
        <v>1.9368804830807793</v>
      </c>
    </row>
    <row r="5918" spans="1:11" hidden="1">
      <c r="A5918" s="4">
        <v>2026</v>
      </c>
      <c r="B5918">
        <v>2</v>
      </c>
      <c r="C5918" t="s">
        <v>54</v>
      </c>
      <c r="D5918" t="s">
        <v>11</v>
      </c>
      <c r="E5918" t="s">
        <v>110</v>
      </c>
      <c r="F5918" t="s">
        <v>70</v>
      </c>
      <c r="G5918" t="str">
        <f t="shared" si="241"/>
        <v>028COTOPAXI</v>
      </c>
      <c r="H5918" s="5">
        <v>6090</v>
      </c>
      <c r="I5918" s="6">
        <v>2852.5250000000001</v>
      </c>
      <c r="J5918" s="5">
        <v>20800</v>
      </c>
      <c r="K5918" s="6">
        <f t="shared" si="242"/>
        <v>2.1349506139297638</v>
      </c>
    </row>
    <row r="5919" spans="1:11" hidden="1">
      <c r="A5919" s="4">
        <v>2026</v>
      </c>
      <c r="B5919">
        <v>2</v>
      </c>
      <c r="C5919" t="s">
        <v>54</v>
      </c>
      <c r="D5919" t="s">
        <v>11</v>
      </c>
      <c r="E5919" t="s">
        <v>110</v>
      </c>
      <c r="F5919" t="s">
        <v>67</v>
      </c>
      <c r="G5919" t="str">
        <f t="shared" si="241"/>
        <v>028DEEP PURPLE</v>
      </c>
      <c r="H5919" s="5">
        <v>7440</v>
      </c>
      <c r="I5919" s="6">
        <v>2852.5250000000001</v>
      </c>
      <c r="J5919" s="5">
        <v>20800</v>
      </c>
      <c r="K5919" s="6">
        <f t="shared" si="242"/>
        <v>2.6082155283476918</v>
      </c>
    </row>
    <row r="5920" spans="1:11" hidden="1">
      <c r="A5920" s="4">
        <v>2026</v>
      </c>
      <c r="B5920">
        <v>2</v>
      </c>
      <c r="C5920" t="s">
        <v>54</v>
      </c>
      <c r="D5920" t="s">
        <v>11</v>
      </c>
      <c r="E5920" t="s">
        <v>111</v>
      </c>
      <c r="F5920" t="s">
        <v>112</v>
      </c>
      <c r="G5920" t="str">
        <f t="shared" si="241"/>
        <v>029PINK FLOYD</v>
      </c>
      <c r="H5920" s="5">
        <v>4450</v>
      </c>
      <c r="I5920" s="6">
        <v>3071.95</v>
      </c>
      <c r="J5920" s="5">
        <v>22400</v>
      </c>
      <c r="K5920" s="6">
        <f t="shared" si="242"/>
        <v>1.4485912856654568</v>
      </c>
    </row>
    <row r="5921" spans="1:11" hidden="1">
      <c r="A5921" s="4">
        <v>2026</v>
      </c>
      <c r="B5921">
        <v>2</v>
      </c>
      <c r="C5921" t="s">
        <v>54</v>
      </c>
      <c r="D5921" t="s">
        <v>11</v>
      </c>
      <c r="E5921" t="s">
        <v>47</v>
      </c>
      <c r="F5921" t="s">
        <v>57</v>
      </c>
      <c r="G5921" t="str">
        <f t="shared" si="241"/>
        <v>030EXPLORER</v>
      </c>
      <c r="H5921" s="5">
        <v>3275</v>
      </c>
      <c r="I5921" s="6">
        <v>1645.6875</v>
      </c>
      <c r="J5921" s="5">
        <v>12000</v>
      </c>
      <c r="K5921" s="6">
        <f t="shared" si="242"/>
        <v>1.9900497512437811</v>
      </c>
    </row>
    <row r="5922" spans="1:11" hidden="1">
      <c r="A5922" s="4">
        <v>2026</v>
      </c>
      <c r="B5922">
        <v>3</v>
      </c>
      <c r="C5922" t="s">
        <v>10</v>
      </c>
      <c r="D5922" t="s">
        <v>11</v>
      </c>
      <c r="E5922" t="s">
        <v>12</v>
      </c>
      <c r="F5922" t="s">
        <v>13</v>
      </c>
      <c r="G5922" t="str">
        <f t="shared" si="241"/>
        <v>002SOMERSET</v>
      </c>
      <c r="H5922" s="5">
        <v>6020</v>
      </c>
      <c r="I5922" s="6">
        <v>4121.4642855494085</v>
      </c>
      <c r="J5922" s="5">
        <v>31200</v>
      </c>
      <c r="K5922" s="6">
        <f t="shared" si="242"/>
        <v>1.4606459216708969</v>
      </c>
    </row>
    <row r="5923" spans="1:11" hidden="1">
      <c r="A5923" s="4">
        <v>2026</v>
      </c>
      <c r="B5923">
        <v>3</v>
      </c>
      <c r="C5923" t="s">
        <v>10</v>
      </c>
      <c r="D5923" t="s">
        <v>11</v>
      </c>
      <c r="E5923" t="s">
        <v>14</v>
      </c>
      <c r="F5923" t="s">
        <v>15</v>
      </c>
      <c r="G5923" t="str">
        <f t="shared" si="241"/>
        <v>004BELLINA</v>
      </c>
      <c r="H5923" s="5">
        <v>2280</v>
      </c>
      <c r="I5923" s="6">
        <v>1056.7857142434418</v>
      </c>
      <c r="J5923" s="5">
        <v>8000</v>
      </c>
      <c r="K5923" s="6">
        <f t="shared" si="242"/>
        <v>2.1574856371258417</v>
      </c>
    </row>
    <row r="5924" spans="1:11" hidden="1">
      <c r="A5924" s="4">
        <v>2026</v>
      </c>
      <c r="B5924">
        <v>3</v>
      </c>
      <c r="C5924" t="s">
        <v>10</v>
      </c>
      <c r="D5924" t="s">
        <v>11</v>
      </c>
      <c r="E5924" t="s">
        <v>16</v>
      </c>
      <c r="F5924" t="s">
        <v>17</v>
      </c>
      <c r="G5924" t="str">
        <f t="shared" si="241"/>
        <v>005ELBA</v>
      </c>
      <c r="H5924" s="5">
        <v>4020</v>
      </c>
      <c r="I5924" s="6">
        <v>2641.9642856076484</v>
      </c>
      <c r="J5924" s="5">
        <v>19996</v>
      </c>
      <c r="K5924" s="6">
        <f t="shared" si="242"/>
        <v>1.5215951335524602</v>
      </c>
    </row>
    <row r="5925" spans="1:11" hidden="1">
      <c r="A5925" s="4">
        <v>2026</v>
      </c>
      <c r="B5925">
        <v>3</v>
      </c>
      <c r="C5925" t="s">
        <v>10</v>
      </c>
      <c r="D5925" t="s">
        <v>11</v>
      </c>
      <c r="E5925" t="s">
        <v>16</v>
      </c>
      <c r="F5925" t="s">
        <v>18</v>
      </c>
      <c r="G5925" t="str">
        <f t="shared" si="241"/>
        <v>005HOT BUBBLES</v>
      </c>
      <c r="H5925" s="5">
        <v>960</v>
      </c>
      <c r="I5925" s="6">
        <v>528.39285712153003</v>
      </c>
      <c r="J5925" s="5">
        <v>4000</v>
      </c>
      <c r="K5925" s="6">
        <f t="shared" si="242"/>
        <v>1.8168300102118917</v>
      </c>
    </row>
    <row r="5926" spans="1:11" hidden="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19</v>
      </c>
      <c r="G5926" t="str">
        <f t="shared" si="241"/>
        <v>005SUSPIRO</v>
      </c>
      <c r="H5926" s="5">
        <v>3510</v>
      </c>
      <c r="I5926" s="6">
        <v>1902.2142856375078</v>
      </c>
      <c r="J5926" s="5">
        <v>14400</v>
      </c>
      <c r="K5926" s="6">
        <f t="shared" si="242"/>
        <v>1.8452179791214527</v>
      </c>
    </row>
    <row r="5927" spans="1:11" hidden="1">
      <c r="A5927" s="4">
        <v>2026</v>
      </c>
      <c r="B5927">
        <v>3</v>
      </c>
      <c r="C5927" t="s">
        <v>10</v>
      </c>
      <c r="D5927" t="s">
        <v>11</v>
      </c>
      <c r="E5927" t="s">
        <v>20</v>
      </c>
      <c r="F5927" t="s">
        <v>21</v>
      </c>
      <c r="G5927" t="str">
        <f t="shared" si="241"/>
        <v>007SNOW BUBBLES</v>
      </c>
      <c r="H5927" s="5">
        <v>580</v>
      </c>
      <c r="I5927" s="6">
        <v>634.05652706821195</v>
      </c>
      <c r="J5927" s="5">
        <v>4800</v>
      </c>
      <c r="K5927" s="6">
        <f t="shared" si="242"/>
        <v>0.91474494030025733</v>
      </c>
    </row>
    <row r="5928" spans="1:11" hidden="1">
      <c r="A5928" s="4">
        <v>2026</v>
      </c>
      <c r="B5928">
        <v>3</v>
      </c>
      <c r="C5928" t="s">
        <v>10</v>
      </c>
      <c r="D5928" t="s">
        <v>11</v>
      </c>
      <c r="E5928" t="s">
        <v>22</v>
      </c>
      <c r="F5928" t="s">
        <v>18</v>
      </c>
      <c r="G5928" t="str">
        <f t="shared" si="241"/>
        <v>009HOT BUBBLES</v>
      </c>
      <c r="H5928" s="5">
        <v>5380</v>
      </c>
      <c r="I5928" s="6">
        <v>4487.9999999102474</v>
      </c>
      <c r="J5928" s="5">
        <v>31740</v>
      </c>
      <c r="K5928" s="6">
        <f t="shared" si="242"/>
        <v>1.1987522281879659</v>
      </c>
    </row>
    <row r="5929" spans="1:11" hidden="1">
      <c r="A5929" s="4">
        <v>2026</v>
      </c>
      <c r="B5929">
        <v>3</v>
      </c>
      <c r="C5929" t="s">
        <v>10</v>
      </c>
      <c r="D5929" t="s">
        <v>11</v>
      </c>
      <c r="E5929" t="s">
        <v>23</v>
      </c>
      <c r="F5929" t="s">
        <v>24</v>
      </c>
      <c r="G5929" t="str">
        <f t="shared" si="241"/>
        <v>014FRUITY BUBBLES</v>
      </c>
      <c r="H5929" s="5">
        <v>3725</v>
      </c>
      <c r="I5929" s="6">
        <v>1702.8</v>
      </c>
      <c r="J5929" s="5">
        <v>12900</v>
      </c>
      <c r="K5929" s="6">
        <f t="shared" si="242"/>
        <v>2.1875734085036411</v>
      </c>
    </row>
    <row r="5930" spans="1:11" hidden="1">
      <c r="A5930" s="4">
        <v>2026</v>
      </c>
      <c r="B5930">
        <v>3</v>
      </c>
      <c r="C5930" t="s">
        <v>10</v>
      </c>
      <c r="D5930" t="s">
        <v>11</v>
      </c>
      <c r="E5930" t="s">
        <v>25</v>
      </c>
      <c r="F5930" t="s">
        <v>26</v>
      </c>
      <c r="G5930" t="str">
        <f t="shared" si="241"/>
        <v>015FELLINI</v>
      </c>
      <c r="H5930" s="5">
        <v>3960</v>
      </c>
      <c r="I5930" s="6">
        <v>3009.6</v>
      </c>
      <c r="J5930" s="5">
        <v>22800</v>
      </c>
      <c r="K5930" s="6">
        <f t="shared" si="242"/>
        <v>1.3157894736842106</v>
      </c>
    </row>
    <row r="5931" spans="1:11" hidden="1">
      <c r="A5931" s="4">
        <v>2026</v>
      </c>
      <c r="B5931">
        <v>3</v>
      </c>
      <c r="C5931" t="s">
        <v>10</v>
      </c>
      <c r="D5931" t="s">
        <v>11</v>
      </c>
      <c r="E5931" t="s">
        <v>27</v>
      </c>
      <c r="F5931" t="s">
        <v>28</v>
      </c>
      <c r="G5931" t="str">
        <f t="shared" si="241"/>
        <v>016GOOD PEACH</v>
      </c>
      <c r="H5931" s="5">
        <v>3030</v>
      </c>
      <c r="I5931" s="6">
        <v>1386</v>
      </c>
      <c r="J5931" s="5">
        <v>10500</v>
      </c>
      <c r="K5931" s="6">
        <f t="shared" si="242"/>
        <v>2.1861471861471862</v>
      </c>
    </row>
    <row r="5932" spans="1:11" hidden="1">
      <c r="A5932" s="4">
        <v>2026</v>
      </c>
      <c r="B5932">
        <v>3</v>
      </c>
      <c r="C5932" t="s">
        <v>10</v>
      </c>
      <c r="D5932" t="s">
        <v>11</v>
      </c>
      <c r="E5932" t="s">
        <v>27</v>
      </c>
      <c r="F5932" t="s">
        <v>29</v>
      </c>
      <c r="G5932" t="str">
        <f t="shared" si="241"/>
        <v>016GOOD YELLOW</v>
      </c>
      <c r="H5932" s="5">
        <v>3390</v>
      </c>
      <c r="I5932" s="6">
        <v>1386</v>
      </c>
      <c r="J5932" s="5">
        <v>10500</v>
      </c>
      <c r="K5932" s="6">
        <f t="shared" si="242"/>
        <v>2.445887445887446</v>
      </c>
    </row>
    <row r="5933" spans="1:11" hidden="1">
      <c r="A5933" s="4">
        <v>2026</v>
      </c>
      <c r="B5933">
        <v>3</v>
      </c>
      <c r="C5933" t="s">
        <v>10</v>
      </c>
      <c r="D5933" t="s">
        <v>11</v>
      </c>
      <c r="E5933" t="s">
        <v>30</v>
      </c>
      <c r="F5933" t="s">
        <v>31</v>
      </c>
      <c r="G5933" t="str">
        <f t="shared" si="241"/>
        <v>017ORANGE STAR</v>
      </c>
      <c r="H5933" s="5">
        <v>1575</v>
      </c>
      <c r="I5933" s="6">
        <v>1029.5999999999999</v>
      </c>
      <c r="J5933" s="5">
        <v>7800</v>
      </c>
      <c r="K5933" s="6">
        <f t="shared" si="242"/>
        <v>1.5297202797202798</v>
      </c>
    </row>
    <row r="5934" spans="1:11" hidden="1">
      <c r="A5934" s="4">
        <v>2026</v>
      </c>
      <c r="B5934">
        <v>3</v>
      </c>
      <c r="C5934" t="s">
        <v>10</v>
      </c>
      <c r="D5934" t="s">
        <v>11</v>
      </c>
      <c r="E5934" t="s">
        <v>32</v>
      </c>
      <c r="F5934" t="s">
        <v>33</v>
      </c>
      <c r="G5934" t="str">
        <f t="shared" si="241"/>
        <v>018COSMO</v>
      </c>
      <c r="H5934" s="5">
        <v>1925</v>
      </c>
      <c r="I5934" s="6">
        <v>2653.2</v>
      </c>
      <c r="J5934" s="5">
        <v>20100</v>
      </c>
      <c r="K5934" s="6">
        <f t="shared" si="242"/>
        <v>0.72553897180762861</v>
      </c>
    </row>
    <row r="5935" spans="1:11" hidden="1">
      <c r="A5935" s="4">
        <v>2026</v>
      </c>
      <c r="B5935">
        <v>3</v>
      </c>
      <c r="C5935" t="s">
        <v>10</v>
      </c>
      <c r="D5935" t="s">
        <v>11</v>
      </c>
      <c r="E5935" t="s">
        <v>32</v>
      </c>
      <c r="F5935" t="s">
        <v>34</v>
      </c>
      <c r="G5935" t="str">
        <f t="shared" si="241"/>
        <v>018RUBICON</v>
      </c>
      <c r="H5935" s="5">
        <v>2670</v>
      </c>
      <c r="I5935" s="6">
        <v>1768.8</v>
      </c>
      <c r="J5935" s="5">
        <v>13400</v>
      </c>
      <c r="K5935" s="6">
        <f t="shared" si="242"/>
        <v>1.5094979647218454</v>
      </c>
    </row>
    <row r="5936" spans="1:11" hidden="1">
      <c r="A5936" s="4">
        <v>2026</v>
      </c>
      <c r="B5936">
        <v>3</v>
      </c>
      <c r="C5936" t="s">
        <v>10</v>
      </c>
      <c r="D5936" t="s">
        <v>11</v>
      </c>
      <c r="E5936" t="s">
        <v>35</v>
      </c>
      <c r="F5936" t="s">
        <v>15</v>
      </c>
      <c r="G5936" t="str">
        <f t="shared" si="241"/>
        <v>019BELLINA</v>
      </c>
      <c r="H5936" s="5">
        <v>1110</v>
      </c>
      <c r="I5936" s="6">
        <v>1029.5999999999999</v>
      </c>
      <c r="J5936" s="5">
        <v>7800</v>
      </c>
      <c r="K5936" s="6">
        <f t="shared" si="242"/>
        <v>1.0780885780885783</v>
      </c>
    </row>
    <row r="5937" spans="1:11" hidden="1">
      <c r="A5937" s="4">
        <v>2026</v>
      </c>
      <c r="B5937">
        <v>3</v>
      </c>
      <c r="C5937" t="s">
        <v>10</v>
      </c>
      <c r="D5937" t="s">
        <v>11</v>
      </c>
      <c r="E5937" t="s">
        <v>36</v>
      </c>
      <c r="F5937" t="s">
        <v>37</v>
      </c>
      <c r="G5937" t="str">
        <f t="shared" si="241"/>
        <v>020SUMMER DANCE</v>
      </c>
      <c r="H5937" s="5">
        <v>3000</v>
      </c>
      <c r="I5937" s="6">
        <v>1346.4</v>
      </c>
      <c r="J5937" s="5">
        <v>10200</v>
      </c>
      <c r="K5937" s="6">
        <f t="shared" si="242"/>
        <v>2.2281639928698751</v>
      </c>
    </row>
    <row r="5938" spans="1:11" hidden="1">
      <c r="A5938" s="4">
        <v>2026</v>
      </c>
      <c r="B5938">
        <v>3</v>
      </c>
      <c r="C5938" t="s">
        <v>10</v>
      </c>
      <c r="D5938" t="s">
        <v>11</v>
      </c>
      <c r="E5938" t="s">
        <v>38</v>
      </c>
      <c r="F5938" t="s">
        <v>39</v>
      </c>
      <c r="G5938" t="str">
        <f t="shared" si="241"/>
        <v>021ELEGANT ROSEVER</v>
      </c>
      <c r="H5938" s="5">
        <v>1020</v>
      </c>
      <c r="I5938" s="6">
        <v>440.18999062500001</v>
      </c>
      <c r="J5938" s="5">
        <v>3200</v>
      </c>
      <c r="K5938" s="6">
        <f t="shared" si="242"/>
        <v>2.3171812665521125</v>
      </c>
    </row>
    <row r="5939" spans="1:11" hidden="1">
      <c r="A5939" s="4">
        <v>2026</v>
      </c>
      <c r="B5939">
        <v>3</v>
      </c>
      <c r="C5939" t="s">
        <v>10</v>
      </c>
      <c r="D5939" t="s">
        <v>11</v>
      </c>
      <c r="E5939" t="s">
        <v>38</v>
      </c>
      <c r="F5939" t="s">
        <v>40</v>
      </c>
      <c r="G5939" t="str">
        <f t="shared" si="241"/>
        <v>021FLAME CLUB</v>
      </c>
      <c r="H5939" s="5">
        <v>1400</v>
      </c>
      <c r="I5939" s="6">
        <v>880.38</v>
      </c>
      <c r="J5939" s="5">
        <v>6400</v>
      </c>
      <c r="K5939" s="6">
        <f t="shared" si="242"/>
        <v>1.5902224039619255</v>
      </c>
    </row>
    <row r="5940" spans="1:11" hidden="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41</v>
      </c>
      <c r="G5940" t="str">
        <f t="shared" si="241"/>
        <v>021KELLY</v>
      </c>
      <c r="H5940" s="5">
        <v>475</v>
      </c>
      <c r="I5940" s="6">
        <v>330.14249999999998</v>
      </c>
      <c r="J5940" s="5">
        <v>2400</v>
      </c>
      <c r="K5940" s="6">
        <f t="shared" si="242"/>
        <v>1.4387726512036469</v>
      </c>
    </row>
    <row r="5941" spans="1:11" hidden="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42</v>
      </c>
      <c r="G5941" t="str">
        <f t="shared" si="241"/>
        <v>021LEILA</v>
      </c>
      <c r="H5941" s="5">
        <v>3000</v>
      </c>
      <c r="I5941" s="6">
        <v>1430.6175000000001</v>
      </c>
      <c r="J5941" s="5">
        <v>10400</v>
      </c>
      <c r="K5941" s="6">
        <f t="shared" si="242"/>
        <v>2.0969965766530887</v>
      </c>
    </row>
    <row r="5942" spans="1:11" hidden="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21</v>
      </c>
      <c r="G5942" t="str">
        <f t="shared" si="241"/>
        <v>021SNOW BUBBLES</v>
      </c>
      <c r="H5942" s="5">
        <v>2300</v>
      </c>
      <c r="I5942" s="6">
        <v>1287.0000000000018</v>
      </c>
      <c r="J5942" s="5">
        <v>9400</v>
      </c>
      <c r="K5942" s="6">
        <f t="shared" si="242"/>
        <v>1.7871017871017845</v>
      </c>
    </row>
    <row r="5943" spans="1:11" hidden="1">
      <c r="A5943" s="4">
        <v>2026</v>
      </c>
      <c r="B5943">
        <v>3</v>
      </c>
      <c r="C5943" t="s">
        <v>10</v>
      </c>
      <c r="D5943" t="s">
        <v>11</v>
      </c>
      <c r="E5943" t="s">
        <v>43</v>
      </c>
      <c r="F5943" t="s">
        <v>24</v>
      </c>
      <c r="G5943" t="str">
        <f t="shared" si="241"/>
        <v>022FRUITY BUBBLES</v>
      </c>
      <c r="H5943" s="5">
        <v>6800</v>
      </c>
      <c r="I5943" s="6">
        <v>2641.14</v>
      </c>
      <c r="J5943" s="5">
        <v>19200</v>
      </c>
      <c r="K5943" s="6">
        <f t="shared" si="242"/>
        <v>2.5746457968907368</v>
      </c>
    </row>
    <row r="5944" spans="1:11" hidden="1">
      <c r="A5944" s="4">
        <v>2026</v>
      </c>
      <c r="B5944">
        <v>3</v>
      </c>
      <c r="C5944" t="s">
        <v>10</v>
      </c>
      <c r="D5944" t="s">
        <v>11</v>
      </c>
      <c r="E5944" t="s">
        <v>43</v>
      </c>
      <c r="F5944" t="s">
        <v>28</v>
      </c>
      <c r="G5944" t="str">
        <f t="shared" si="241"/>
        <v>022GOOD PEACH</v>
      </c>
      <c r="H5944" s="5">
        <v>3240</v>
      </c>
      <c r="I5944" s="6">
        <v>880.38</v>
      </c>
      <c r="J5944" s="5">
        <v>6400</v>
      </c>
      <c r="K5944" s="6">
        <f t="shared" si="242"/>
        <v>3.6802289920261706</v>
      </c>
    </row>
    <row r="5945" spans="1:11" hidden="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44</v>
      </c>
      <c r="G5945" t="str">
        <f t="shared" si="241"/>
        <v>022MIRABEL</v>
      </c>
      <c r="H5945" s="5">
        <v>3000</v>
      </c>
      <c r="I5945" s="6">
        <v>880.38</v>
      </c>
      <c r="J5945" s="5">
        <v>6400</v>
      </c>
      <c r="K5945" s="6">
        <f t="shared" si="242"/>
        <v>3.4076194370612689</v>
      </c>
    </row>
    <row r="5946" spans="1:11" hidden="1">
      <c r="A5946" s="4">
        <v>2026</v>
      </c>
      <c r="B5946">
        <v>3</v>
      </c>
      <c r="C5946" t="s">
        <v>10</v>
      </c>
      <c r="D5946" t="s">
        <v>11</v>
      </c>
      <c r="E5946" t="s">
        <v>47</v>
      </c>
      <c r="F5946" t="s">
        <v>44</v>
      </c>
      <c r="G5946" t="str">
        <f t="shared" si="241"/>
        <v>030MIRABEL</v>
      </c>
      <c r="H5946" s="5">
        <v>3780</v>
      </c>
      <c r="I5946" s="6">
        <v>2413.6749943750001</v>
      </c>
      <c r="J5946" s="5">
        <v>17600</v>
      </c>
      <c r="K5946" s="6">
        <f t="shared" si="242"/>
        <v>1.566076629541749</v>
      </c>
    </row>
    <row r="5947" spans="1:11" hidden="1">
      <c r="A5947" s="4">
        <v>2026</v>
      </c>
      <c r="B5947">
        <v>3</v>
      </c>
      <c r="C5947" t="s">
        <v>10</v>
      </c>
      <c r="D5947" t="s">
        <v>11</v>
      </c>
      <c r="E5947" t="s">
        <v>47</v>
      </c>
      <c r="F5947" t="s">
        <v>13</v>
      </c>
      <c r="G5947" t="str">
        <f t="shared" si="241"/>
        <v>030SOMERSET</v>
      </c>
      <c r="H5947" s="5">
        <v>2260</v>
      </c>
      <c r="I5947" s="6">
        <v>1645.6875</v>
      </c>
      <c r="J5947" s="5">
        <v>12000</v>
      </c>
      <c r="K5947" s="6">
        <f t="shared" si="242"/>
        <v>1.3732862405529604</v>
      </c>
    </row>
    <row r="5948" spans="1:11" hidden="1">
      <c r="A5948" s="4">
        <v>2026</v>
      </c>
      <c r="B5948">
        <v>3</v>
      </c>
      <c r="C5948" t="s">
        <v>10</v>
      </c>
      <c r="D5948" t="s">
        <v>11</v>
      </c>
      <c r="E5948" t="s">
        <v>48</v>
      </c>
      <c r="F5948" t="s">
        <v>49</v>
      </c>
      <c r="G5948" t="str">
        <f t="shared" si="241"/>
        <v>03182989</v>
      </c>
      <c r="H5948" s="5">
        <v>840</v>
      </c>
      <c r="I5948" s="6">
        <v>726.32013058333712</v>
      </c>
      <c r="J5948" s="5">
        <v>5712</v>
      </c>
      <c r="K5948" s="6">
        <f t="shared" si="242"/>
        <v>1.156514826768414</v>
      </c>
    </row>
    <row r="5949" spans="1:11" hidden="1">
      <c r="A5949" s="4">
        <v>2026</v>
      </c>
      <c r="B5949">
        <v>3</v>
      </c>
      <c r="C5949" t="s">
        <v>10</v>
      </c>
      <c r="D5949" t="s">
        <v>11</v>
      </c>
      <c r="E5949" t="s">
        <v>48</v>
      </c>
      <c r="F5949" t="s">
        <v>34</v>
      </c>
      <c r="G5949" t="str">
        <f t="shared" si="241"/>
        <v>031RUBICON</v>
      </c>
      <c r="H5949" s="5">
        <v>1770</v>
      </c>
      <c r="I5949" s="6">
        <v>924.39958333667107</v>
      </c>
      <c r="J5949" s="5">
        <v>6720</v>
      </c>
      <c r="K5949" s="6">
        <f t="shared" si="242"/>
        <v>1.9147563801479526</v>
      </c>
    </row>
    <row r="5950" spans="1:11" hidden="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50</v>
      </c>
      <c r="G5950" t="str">
        <f t="shared" si="241"/>
        <v>031VELVET BLOSSOMS</v>
      </c>
      <c r="H5950" s="5">
        <v>360</v>
      </c>
      <c r="I5950" s="6">
        <v>396.17125000000198</v>
      </c>
      <c r="J5950" s="5">
        <v>2880</v>
      </c>
      <c r="K5950" s="6">
        <f t="shared" si="242"/>
        <v>0.90869794312433882</v>
      </c>
    </row>
    <row r="5951" spans="1:11" hidden="1">
      <c r="A5951" s="4">
        <v>2026</v>
      </c>
      <c r="B5951">
        <v>3</v>
      </c>
      <c r="C5951" t="s">
        <v>10</v>
      </c>
      <c r="D5951" t="s">
        <v>11</v>
      </c>
      <c r="E5951" t="s">
        <v>51</v>
      </c>
      <c r="F5951" t="s">
        <v>17</v>
      </c>
      <c r="G5951" t="str">
        <f t="shared" si="241"/>
        <v>032ELBA</v>
      </c>
      <c r="H5951" s="5">
        <v>2040</v>
      </c>
      <c r="I5951" s="6">
        <v>1535.9749999999999</v>
      </c>
      <c r="J5951" s="5">
        <v>11200</v>
      </c>
      <c r="K5951" s="6">
        <f t="shared" si="242"/>
        <v>1.3281466169696774</v>
      </c>
    </row>
    <row r="5952" spans="1:11" hidden="1">
      <c r="A5952" s="4">
        <v>2026</v>
      </c>
      <c r="B5952">
        <v>3</v>
      </c>
      <c r="C5952" t="s">
        <v>10</v>
      </c>
      <c r="D5952" t="s">
        <v>11</v>
      </c>
      <c r="E5952" t="s">
        <v>51</v>
      </c>
      <c r="F5952" t="s">
        <v>44</v>
      </c>
      <c r="G5952" t="str">
        <f t="shared" si="241"/>
        <v>032MIRABEL</v>
      </c>
      <c r="H5952" s="5">
        <v>3320</v>
      </c>
      <c r="I5952" s="6">
        <v>1535.9749999999999</v>
      </c>
      <c r="J5952" s="5">
        <v>11200</v>
      </c>
      <c r="K5952" s="6">
        <f t="shared" si="242"/>
        <v>2.1614935138918279</v>
      </c>
    </row>
    <row r="5953" spans="1:11" hidden="1">
      <c r="A5953" s="4">
        <v>2026</v>
      </c>
      <c r="B5953">
        <v>3</v>
      </c>
      <c r="C5953" t="s">
        <v>10</v>
      </c>
      <c r="D5953" t="s">
        <v>11</v>
      </c>
      <c r="E5953" t="s">
        <v>52</v>
      </c>
      <c r="F5953" t="s">
        <v>53</v>
      </c>
      <c r="G5953" t="str">
        <f t="shared" si="241"/>
        <v>033CREAMY FOLIES</v>
      </c>
      <c r="H5953" s="5">
        <v>630</v>
      </c>
      <c r="I5953" s="6">
        <v>594.25687500000299</v>
      </c>
      <c r="J5953" s="5">
        <v>4320</v>
      </c>
      <c r="K5953" s="6">
        <f t="shared" si="242"/>
        <v>1.0601476003117285</v>
      </c>
    </row>
    <row r="5954" spans="1:11" hidden="1">
      <c r="A5954" s="4">
        <v>2026</v>
      </c>
      <c r="B5954">
        <v>3</v>
      </c>
      <c r="C5954" t="s">
        <v>10</v>
      </c>
      <c r="D5954" t="s">
        <v>11</v>
      </c>
      <c r="E5954" t="s">
        <v>52</v>
      </c>
      <c r="F5954" t="s">
        <v>18</v>
      </c>
      <c r="G5954" t="str">
        <f t="shared" si="241"/>
        <v>033HOT BUBBLES</v>
      </c>
      <c r="H5954" s="5">
        <v>3720</v>
      </c>
      <c r="I5954" s="6">
        <v>2575.1131250013459</v>
      </c>
      <c r="J5954" s="5">
        <v>18720</v>
      </c>
      <c r="K5954" s="6">
        <f t="shared" si="242"/>
        <v>1.444596730094355</v>
      </c>
    </row>
    <row r="5955" spans="1:11" hidden="1">
      <c r="A5955" s="4">
        <v>2026</v>
      </c>
      <c r="B5955">
        <v>3</v>
      </c>
      <c r="C5955" t="s">
        <v>54</v>
      </c>
      <c r="D5955" t="s">
        <v>11</v>
      </c>
      <c r="E5955" t="s">
        <v>55</v>
      </c>
      <c r="F5955" t="s">
        <v>56</v>
      </c>
      <c r="G5955" t="str">
        <f t="shared" si="241"/>
        <v>001BELIEVE IN PINK</v>
      </c>
      <c r="H5955" s="5">
        <v>900</v>
      </c>
      <c r="I5955" s="6">
        <v>528.37931032368999</v>
      </c>
      <c r="J5955" s="5">
        <v>4000</v>
      </c>
      <c r="K5955" s="6">
        <f t="shared" ref="K5955:K5960" si="243">IFERROR(H5955/I5955,"")</f>
        <v>1.7033218038924571</v>
      </c>
    </row>
    <row r="5956" spans="1:11" hidden="1">
      <c r="A5956" s="4">
        <v>2026</v>
      </c>
      <c r="B5956">
        <v>3</v>
      </c>
      <c r="C5956" t="s">
        <v>54</v>
      </c>
      <c r="D5956" t="s">
        <v>11</v>
      </c>
      <c r="E5956" t="s">
        <v>55</v>
      </c>
      <c r="F5956" t="s">
        <v>57</v>
      </c>
      <c r="G5956" t="str">
        <f t="shared" ref="G5956:G6017" si="244">+E5956&amp;F5956</f>
        <v>001EXPLORER</v>
      </c>
      <c r="H5956" s="5">
        <v>3925</v>
      </c>
      <c r="I5956" s="6">
        <v>2272.0310343918732</v>
      </c>
      <c r="J5956" s="5">
        <v>17200</v>
      </c>
      <c r="K5956" s="6">
        <f t="shared" si="243"/>
        <v>1.7275292197100454</v>
      </c>
    </row>
    <row r="5957" spans="1:11" hidden="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58</v>
      </c>
      <c r="G5957" t="str">
        <f t="shared" si="244"/>
        <v>001GRACE KELLY</v>
      </c>
      <c r="H5957" s="5">
        <v>1290</v>
      </c>
      <c r="I5957" s="6">
        <v>1162.4344827121224</v>
      </c>
      <c r="J5957" s="5">
        <v>8800</v>
      </c>
      <c r="K5957" s="6">
        <f t="shared" si="243"/>
        <v>1.109739963142051</v>
      </c>
    </row>
    <row r="5958" spans="1:11" hidden="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60</v>
      </c>
      <c r="G5958" t="str">
        <f t="shared" si="244"/>
        <v>001LIGHT HOUSE</v>
      </c>
      <c r="H5958" s="5">
        <v>1560</v>
      </c>
      <c r="I5958" s="6">
        <v>1056.7586206473827</v>
      </c>
      <c r="J5958" s="5">
        <v>8000</v>
      </c>
      <c r="K5958" s="6">
        <f t="shared" si="243"/>
        <v>1.4762122300401257</v>
      </c>
    </row>
    <row r="5959" spans="1:11" hidden="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61</v>
      </c>
      <c r="G5959" t="str">
        <f t="shared" si="244"/>
        <v>001LUMIA</v>
      </c>
      <c r="H5959" s="5">
        <v>2730</v>
      </c>
      <c r="I5959" s="6">
        <v>1109.596551679753</v>
      </c>
      <c r="J5959" s="5">
        <v>8400</v>
      </c>
      <c r="K5959" s="6">
        <f t="shared" si="243"/>
        <v>2.4603537167335401</v>
      </c>
    </row>
    <row r="5960" spans="1:11" hidden="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62</v>
      </c>
      <c r="G5960" t="str">
        <f t="shared" si="244"/>
        <v>001MOMENTUM</v>
      </c>
      <c r="H5960" s="5">
        <v>3550</v>
      </c>
      <c r="I5960" s="6">
        <v>1902.1655171652881</v>
      </c>
      <c r="J5960" s="5">
        <v>14400</v>
      </c>
      <c r="K5960" s="6">
        <f t="shared" si="243"/>
        <v>1.8662939517957438</v>
      </c>
    </row>
    <row r="5961" spans="1:11" hidden="1">
      <c r="A5961" s="4">
        <v>2026</v>
      </c>
      <c r="B5961">
        <v>3</v>
      </c>
      <c r="C5961" t="s">
        <v>54</v>
      </c>
      <c r="D5961" t="s">
        <v>11</v>
      </c>
      <c r="E5961" t="s">
        <v>12</v>
      </c>
      <c r="F5961" t="s">
        <v>63</v>
      </c>
      <c r="G5961" t="str">
        <f t="shared" si="244"/>
        <v>002SUMMER ROMANCE</v>
      </c>
      <c r="H5961" s="5">
        <v>1075</v>
      </c>
      <c r="I5961" s="6">
        <v>951.10714281909407</v>
      </c>
      <c r="J5961" s="5">
        <v>7200</v>
      </c>
      <c r="K5961" s="6">
        <f t="shared" si="242"/>
        <v>1.13026172510248</v>
      </c>
    </row>
    <row r="5962" spans="1:11" hidden="1">
      <c r="A5962" s="4">
        <v>2026</v>
      </c>
      <c r="B5962">
        <v>3</v>
      </c>
      <c r="C5962" t="s">
        <v>54</v>
      </c>
      <c r="D5962" t="s">
        <v>11</v>
      </c>
      <c r="E5962" t="s">
        <v>12</v>
      </c>
      <c r="F5962" t="s">
        <v>64</v>
      </c>
      <c r="G5962" t="str">
        <f t="shared" si="244"/>
        <v>002SWEETNESS</v>
      </c>
      <c r="H5962" s="5">
        <v>7440</v>
      </c>
      <c r="I5962" s="6">
        <v>3804.4285712763772</v>
      </c>
      <c r="J5962" s="5">
        <v>28800</v>
      </c>
      <c r="K5962" s="6">
        <f t="shared" si="242"/>
        <v>1.9556156359912671</v>
      </c>
    </row>
    <row r="5963" spans="1:11" hidden="1">
      <c r="A5963" s="4">
        <v>2026</v>
      </c>
      <c r="B5963">
        <v>3</v>
      </c>
      <c r="C5963" t="s">
        <v>54</v>
      </c>
      <c r="D5963" t="s">
        <v>11</v>
      </c>
      <c r="E5963" t="s">
        <v>65</v>
      </c>
      <c r="F5963" t="s">
        <v>66</v>
      </c>
      <c r="G5963" t="str">
        <f t="shared" si="244"/>
        <v>003CABARET</v>
      </c>
      <c r="H5963" s="5">
        <v>6720</v>
      </c>
      <c r="I5963" s="6">
        <v>2641.8965516184649</v>
      </c>
      <c r="J5963" s="5">
        <v>20000</v>
      </c>
      <c r="K5963" s="6">
        <f t="shared" si="242"/>
        <v>2.5436272271460547</v>
      </c>
    </row>
    <row r="5964" spans="1:11" hidden="1">
      <c r="A5964" s="4">
        <v>2026</v>
      </c>
      <c r="B5964">
        <v>3</v>
      </c>
      <c r="C5964" t="s">
        <v>54</v>
      </c>
      <c r="D5964" t="s">
        <v>11</v>
      </c>
      <c r="E5964" t="s">
        <v>65</v>
      </c>
      <c r="F5964" t="s">
        <v>67</v>
      </c>
      <c r="G5964" t="str">
        <f t="shared" si="244"/>
        <v>003DEEP PURPLE</v>
      </c>
      <c r="H5964" s="5">
        <v>12840</v>
      </c>
      <c r="I5964" s="6">
        <v>3592.9793102010913</v>
      </c>
      <c r="J5964" s="5">
        <v>26044</v>
      </c>
      <c r="K5964" s="6">
        <f t="shared" si="242"/>
        <v>3.5736359414998615</v>
      </c>
    </row>
    <row r="5965" spans="1:11" hidden="1">
      <c r="A5965" s="4">
        <v>2026</v>
      </c>
      <c r="B5965">
        <v>3</v>
      </c>
      <c r="C5965" t="s">
        <v>54</v>
      </c>
      <c r="D5965" t="s">
        <v>11</v>
      </c>
      <c r="E5965" t="s">
        <v>65</v>
      </c>
      <c r="F5965" t="s">
        <v>57</v>
      </c>
      <c r="G5965" t="str">
        <f t="shared" si="244"/>
        <v>003EXPLORER</v>
      </c>
      <c r="H5965" s="5">
        <v>2775</v>
      </c>
      <c r="I5965" s="6">
        <v>1268.1103447768633</v>
      </c>
      <c r="J5965" s="5">
        <v>9600</v>
      </c>
      <c r="K5965" s="6">
        <f t="shared" ref="K5965:K6027" si="245">+H5965/I5965</f>
        <v>2.1882953730562691</v>
      </c>
    </row>
    <row r="5966" spans="1:11" hidden="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68</v>
      </c>
      <c r="G5966" t="str">
        <f t="shared" si="244"/>
        <v>003JOCKER</v>
      </c>
      <c r="H5966" s="5">
        <v>725</v>
      </c>
      <c r="I5966" s="6">
        <v>528.37931032368999</v>
      </c>
      <c r="J5966" s="5">
        <v>4000</v>
      </c>
      <c r="K5966" s="6">
        <f t="shared" si="245"/>
        <v>1.3721203420244794</v>
      </c>
    </row>
    <row r="5967" spans="1:11" hidden="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69</v>
      </c>
      <c r="G5967" t="str">
        <f t="shared" si="244"/>
        <v>003QUICKSAND</v>
      </c>
      <c r="H5967" s="5">
        <v>2730</v>
      </c>
      <c r="I5967" s="6">
        <v>1162.4344827121247</v>
      </c>
      <c r="J5967" s="5">
        <v>8800</v>
      </c>
      <c r="K5967" s="6">
        <f t="shared" si="245"/>
        <v>2.3485194568820105</v>
      </c>
    </row>
    <row r="5968" spans="1:11" hidden="1">
      <c r="A5968" s="4">
        <v>2026</v>
      </c>
      <c r="B5968">
        <v>3</v>
      </c>
      <c r="C5968" t="s">
        <v>54</v>
      </c>
      <c r="D5968" t="s">
        <v>11</v>
      </c>
      <c r="E5968" t="s">
        <v>14</v>
      </c>
      <c r="F5968" t="s">
        <v>70</v>
      </c>
      <c r="G5968" t="str">
        <f t="shared" si="244"/>
        <v>004COTOPAXI</v>
      </c>
      <c r="H5968" s="5">
        <v>900</v>
      </c>
      <c r="I5968" s="6">
        <v>528.3915024419166</v>
      </c>
      <c r="J5968" s="5">
        <v>4000</v>
      </c>
      <c r="K5968" s="6">
        <f t="shared" si="245"/>
        <v>1.7032825014042168</v>
      </c>
    </row>
    <row r="5969" spans="1:11" hidden="1">
      <c r="A5969" s="4">
        <v>2026</v>
      </c>
      <c r="B5969">
        <v>3</v>
      </c>
      <c r="C5969" t="s">
        <v>54</v>
      </c>
      <c r="D5969" t="s">
        <v>11</v>
      </c>
      <c r="E5969" t="s">
        <v>14</v>
      </c>
      <c r="F5969" t="s">
        <v>67</v>
      </c>
      <c r="G5969" t="str">
        <f t="shared" si="244"/>
        <v>004DEEP PURPLE</v>
      </c>
      <c r="H5969" s="5">
        <v>15510</v>
      </c>
      <c r="I5969" s="6">
        <v>3910.1071427007282</v>
      </c>
      <c r="J5969" s="5">
        <v>29260</v>
      </c>
      <c r="K5969" s="6">
        <f t="shared" si="245"/>
        <v>3.9666432233074755</v>
      </c>
    </row>
    <row r="5970" spans="1:11" hidden="1">
      <c r="A5970" s="4">
        <v>2026</v>
      </c>
      <c r="B5970">
        <v>3</v>
      </c>
      <c r="C5970" t="s">
        <v>54</v>
      </c>
      <c r="D5970" t="s">
        <v>11</v>
      </c>
      <c r="E5970" t="s">
        <v>14</v>
      </c>
      <c r="F5970" t="s">
        <v>71</v>
      </c>
      <c r="G5970" t="str">
        <f t="shared" si="244"/>
        <v>004HOT EXPLORER</v>
      </c>
      <c r="H5970" s="5">
        <v>2850</v>
      </c>
      <c r="I5970" s="6">
        <v>1902.2142856381945</v>
      </c>
      <c r="J5970" s="5">
        <v>14400</v>
      </c>
      <c r="K5970" s="6">
        <f t="shared" si="245"/>
        <v>1.4982539146707241</v>
      </c>
    </row>
    <row r="5971" spans="1:11" hidden="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72</v>
      </c>
      <c r="G5971" t="str">
        <f t="shared" si="244"/>
        <v>004HOT MERENGUE</v>
      </c>
      <c r="H5971" s="5">
        <v>2850</v>
      </c>
      <c r="I5971" s="6">
        <v>1162.4642856677858</v>
      </c>
      <c r="J5971" s="5">
        <v>8800</v>
      </c>
      <c r="K5971" s="6">
        <f t="shared" si="245"/>
        <v>2.4516882240066389</v>
      </c>
    </row>
    <row r="5972" spans="1:11" hidden="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64</v>
      </c>
      <c r="G5972" t="str">
        <f t="shared" si="244"/>
        <v>004SWEETNESS</v>
      </c>
      <c r="H5972" s="5">
        <v>570</v>
      </c>
      <c r="I5972" s="6">
        <v>317.03571427303262</v>
      </c>
      <c r="J5972" s="5">
        <v>2400</v>
      </c>
      <c r="K5972" s="6">
        <f t="shared" si="245"/>
        <v>1.7979046976048678</v>
      </c>
    </row>
    <row r="5973" spans="1:11" hidden="1">
      <c r="A5973" s="4">
        <v>2026</v>
      </c>
      <c r="B5973">
        <v>3</v>
      </c>
      <c r="C5973" t="s">
        <v>54</v>
      </c>
      <c r="D5973" t="s">
        <v>11</v>
      </c>
      <c r="E5973" t="s">
        <v>16</v>
      </c>
      <c r="F5973" t="s">
        <v>57</v>
      </c>
      <c r="G5973" t="str">
        <f t="shared" si="244"/>
        <v>005EXPLORER</v>
      </c>
      <c r="H5973" s="5">
        <v>2425</v>
      </c>
      <c r="I5973" s="6">
        <v>951.10714281875391</v>
      </c>
      <c r="J5973" s="5">
        <v>7200</v>
      </c>
      <c r="K5973" s="6">
        <f t="shared" si="245"/>
        <v>2.5496601705809248</v>
      </c>
    </row>
    <row r="5974" spans="1:11" hidden="1">
      <c r="A5974" s="4">
        <v>2026</v>
      </c>
      <c r="B5974">
        <v>3</v>
      </c>
      <c r="C5974" t="s">
        <v>54</v>
      </c>
      <c r="D5974" t="s">
        <v>11</v>
      </c>
      <c r="E5974" t="s">
        <v>16</v>
      </c>
      <c r="F5974" t="s">
        <v>73</v>
      </c>
      <c r="G5974" t="str">
        <f t="shared" si="244"/>
        <v>005GOLDFINCH</v>
      </c>
      <c r="H5974" s="5">
        <v>1000</v>
      </c>
      <c r="I5974" s="6">
        <v>898.26785710660101</v>
      </c>
      <c r="J5974" s="5">
        <v>6800</v>
      </c>
      <c r="K5974" s="6">
        <f t="shared" si="245"/>
        <v>1.1132536827278747</v>
      </c>
    </row>
    <row r="5975" spans="1:11" hidden="1">
      <c r="A5975" s="4">
        <v>2026</v>
      </c>
      <c r="B5975">
        <v>3</v>
      </c>
      <c r="C5975" t="s">
        <v>54</v>
      </c>
      <c r="D5975" t="s">
        <v>11</v>
      </c>
      <c r="E5975" t="s">
        <v>16</v>
      </c>
      <c r="F5975" t="s">
        <v>68</v>
      </c>
      <c r="G5975" t="str">
        <f t="shared" si="244"/>
        <v>005JOCKER</v>
      </c>
      <c r="H5975" s="5">
        <v>1700</v>
      </c>
      <c r="I5975" s="6">
        <v>1162.4642856673661</v>
      </c>
      <c r="J5975" s="5">
        <v>8800</v>
      </c>
      <c r="K5975" s="6">
        <f t="shared" si="245"/>
        <v>1.4624105195834354</v>
      </c>
    </row>
    <row r="5976" spans="1:11" hidden="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74</v>
      </c>
      <c r="G5976" t="str">
        <f t="shared" si="244"/>
        <v>005VENDELA</v>
      </c>
      <c r="H5976" s="5">
        <v>1170</v>
      </c>
      <c r="I5976" s="6">
        <v>686.91071425798896</v>
      </c>
      <c r="J5976" s="5">
        <v>5200</v>
      </c>
      <c r="K5976" s="6">
        <f t="shared" si="245"/>
        <v>1.7032781345736485</v>
      </c>
    </row>
    <row r="5977" spans="1:11" hidden="1">
      <c r="A5977" s="4">
        <v>2026</v>
      </c>
      <c r="B5977">
        <v>3</v>
      </c>
      <c r="C5977" t="s">
        <v>54</v>
      </c>
      <c r="D5977" t="s">
        <v>11</v>
      </c>
      <c r="E5977" t="s">
        <v>75</v>
      </c>
      <c r="F5977" t="s">
        <v>76</v>
      </c>
      <c r="G5977" t="str">
        <f t="shared" si="244"/>
        <v>006ATOMIC</v>
      </c>
      <c r="H5977" s="5">
        <v>1125</v>
      </c>
      <c r="I5977" s="6">
        <v>845.428571394752</v>
      </c>
      <c r="J5977" s="5">
        <v>6400</v>
      </c>
      <c r="K5977" s="6">
        <f t="shared" si="245"/>
        <v>1.3306860426351843</v>
      </c>
    </row>
    <row r="5978" spans="1:11" hidden="1">
      <c r="A5978" s="4">
        <v>2026</v>
      </c>
      <c r="B5978">
        <v>3</v>
      </c>
      <c r="C5978" t="s">
        <v>54</v>
      </c>
      <c r="D5978" t="s">
        <v>11</v>
      </c>
      <c r="E5978" t="s">
        <v>75</v>
      </c>
      <c r="F5978" t="s">
        <v>57</v>
      </c>
      <c r="G5978" t="str">
        <f t="shared" si="244"/>
        <v>006EXPLORER</v>
      </c>
      <c r="H5978" s="5">
        <v>5625</v>
      </c>
      <c r="I5978" s="6">
        <v>3910.1071427007355</v>
      </c>
      <c r="J5978" s="5">
        <v>29600</v>
      </c>
      <c r="K5978" s="6">
        <f t="shared" si="245"/>
        <v>1.438579505551548</v>
      </c>
    </row>
    <row r="5979" spans="1:11" hidden="1">
      <c r="A5979" s="4">
        <v>2026</v>
      </c>
      <c r="B5979">
        <v>3</v>
      </c>
      <c r="C5979" t="s">
        <v>54</v>
      </c>
      <c r="D5979" t="s">
        <v>11</v>
      </c>
      <c r="E5979" t="s">
        <v>75</v>
      </c>
      <c r="F5979" t="s">
        <v>77</v>
      </c>
      <c r="G5979" t="str">
        <f t="shared" si="244"/>
        <v>006MONDIAL</v>
      </c>
      <c r="H5979" s="5">
        <v>5950</v>
      </c>
      <c r="I5979" s="6">
        <v>4015.7857141250793</v>
      </c>
      <c r="J5979" s="5">
        <v>30400</v>
      </c>
      <c r="K5979" s="6">
        <f t="shared" si="245"/>
        <v>1.4816527632616296</v>
      </c>
    </row>
    <row r="5980" spans="1:11" hidden="1">
      <c r="A5980" s="4">
        <v>2026</v>
      </c>
      <c r="B5980">
        <v>3</v>
      </c>
      <c r="C5980" t="s">
        <v>54</v>
      </c>
      <c r="D5980" t="s">
        <v>11</v>
      </c>
      <c r="E5980" t="s">
        <v>20</v>
      </c>
      <c r="F5980" t="s">
        <v>70</v>
      </c>
      <c r="G5980" t="str">
        <f t="shared" si="244"/>
        <v>007COTOPAXI</v>
      </c>
      <c r="H5980" s="5">
        <v>3840</v>
      </c>
      <c r="I5980" s="6">
        <v>2747.5751230427709</v>
      </c>
      <c r="J5980" s="5">
        <v>20800</v>
      </c>
      <c r="K5980" s="6">
        <f t="shared" si="245"/>
        <v>1.3975959993943443</v>
      </c>
    </row>
    <row r="5981" spans="1:11" hidden="1">
      <c r="A5981" s="4">
        <v>2026</v>
      </c>
      <c r="B5981">
        <v>3</v>
      </c>
      <c r="C5981" t="s">
        <v>54</v>
      </c>
      <c r="D5981" t="s">
        <v>11</v>
      </c>
      <c r="E5981" t="s">
        <v>20</v>
      </c>
      <c r="F5981" t="s">
        <v>78</v>
      </c>
      <c r="G5981" t="str">
        <f t="shared" si="244"/>
        <v>007REDIANT</v>
      </c>
      <c r="H5981" s="5">
        <v>1080</v>
      </c>
      <c r="I5981" s="6">
        <v>1056.75862064738</v>
      </c>
      <c r="J5981" s="5">
        <v>9600</v>
      </c>
      <c r="K5981" s="6">
        <f t="shared" si="245"/>
        <v>1.0219930823354741</v>
      </c>
    </row>
    <row r="5982" spans="1:11" hidden="1">
      <c r="A5982" s="4">
        <v>2026</v>
      </c>
      <c r="B5982">
        <v>3</v>
      </c>
      <c r="C5982" t="s">
        <v>54</v>
      </c>
      <c r="D5982" t="s">
        <v>11</v>
      </c>
      <c r="E5982" t="s">
        <v>20</v>
      </c>
      <c r="F5982" t="s">
        <v>63</v>
      </c>
      <c r="G5982" t="str">
        <f t="shared" si="244"/>
        <v>007SUMMER ROMANCE</v>
      </c>
      <c r="H5982" s="5">
        <v>150</v>
      </c>
      <c r="I5982" s="6">
        <v>369.86551722658481</v>
      </c>
      <c r="J5982" s="5">
        <v>3080</v>
      </c>
      <c r="K5982" s="6">
        <f t="shared" si="245"/>
        <v>0.405552810450583</v>
      </c>
    </row>
    <row r="5983" spans="1:11" hidden="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74</v>
      </c>
      <c r="G5983" t="str">
        <f t="shared" si="244"/>
        <v>007VENDELA</v>
      </c>
      <c r="H5983" s="5">
        <v>8700</v>
      </c>
      <c r="I5983" s="6">
        <v>3592.9793102011122</v>
      </c>
      <c r="J5983" s="5">
        <v>27820</v>
      </c>
      <c r="K5983" s="6">
        <f t="shared" si="245"/>
        <v>2.4213888388667146</v>
      </c>
    </row>
    <row r="5984" spans="1:11" hidden="1">
      <c r="A5984" s="4">
        <v>2026</v>
      </c>
      <c r="B5984">
        <v>3</v>
      </c>
      <c r="C5984" t="s">
        <v>54</v>
      </c>
      <c r="D5984" t="s">
        <v>11</v>
      </c>
      <c r="E5984" t="s">
        <v>79</v>
      </c>
      <c r="F5984" t="s">
        <v>67</v>
      </c>
      <c r="G5984" t="str">
        <f t="shared" si="244"/>
        <v>008DEEP PURPLE</v>
      </c>
      <c r="H5984" s="5">
        <v>6330</v>
      </c>
      <c r="I5984" s="6">
        <v>1585.2222221588099</v>
      </c>
      <c r="J5984" s="5">
        <v>11490</v>
      </c>
      <c r="K5984" s="6">
        <f t="shared" si="245"/>
        <v>3.9931310017718458</v>
      </c>
    </row>
    <row r="5985" spans="1:11" hidden="1">
      <c r="A5985" s="4">
        <v>2026</v>
      </c>
      <c r="B5985">
        <v>3</v>
      </c>
      <c r="C5985" t="s">
        <v>54</v>
      </c>
      <c r="D5985" t="s">
        <v>11</v>
      </c>
      <c r="E5985" t="s">
        <v>79</v>
      </c>
      <c r="F5985" t="s">
        <v>81</v>
      </c>
      <c r="G5985" t="str">
        <f t="shared" si="244"/>
        <v>008FREEDOM</v>
      </c>
      <c r="H5985" s="5">
        <v>4830</v>
      </c>
      <c r="I5985" s="6">
        <v>2219.311111022334</v>
      </c>
      <c r="J5985" s="5">
        <v>16800</v>
      </c>
      <c r="K5985" s="6">
        <f t="shared" si="245"/>
        <v>2.1763510199230436</v>
      </c>
    </row>
    <row r="5986" spans="1:11" hidden="1">
      <c r="A5986" s="4">
        <v>2026</v>
      </c>
      <c r="B5986">
        <v>3</v>
      </c>
      <c r="C5986" t="s">
        <v>54</v>
      </c>
      <c r="D5986" t="s">
        <v>11</v>
      </c>
      <c r="E5986" t="s">
        <v>79</v>
      </c>
      <c r="F5986" t="s">
        <v>68</v>
      </c>
      <c r="G5986" t="str">
        <f t="shared" si="244"/>
        <v>008JOCKER</v>
      </c>
      <c r="H5986" s="5">
        <v>4725</v>
      </c>
      <c r="I5986" s="6">
        <v>2959.0814813631118</v>
      </c>
      <c r="J5986" s="5">
        <v>22400</v>
      </c>
      <c r="K5986" s="6">
        <f t="shared" si="245"/>
        <v>1.5967792809217984</v>
      </c>
    </row>
    <row r="5987" spans="1:11" hidden="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61</v>
      </c>
      <c r="G5987" t="str">
        <f t="shared" si="244"/>
        <v>008LUMIA</v>
      </c>
      <c r="H5987" s="5">
        <v>300</v>
      </c>
      <c r="I5987" s="6">
        <v>1796.5851851133182</v>
      </c>
      <c r="J5987" s="5">
        <v>13600</v>
      </c>
      <c r="K5987" s="6">
        <f t="shared" si="245"/>
        <v>0.16698345421404426</v>
      </c>
    </row>
    <row r="5988" spans="1:11" hidden="1">
      <c r="A5988" s="4">
        <v>2026</v>
      </c>
      <c r="B5988">
        <v>3</v>
      </c>
      <c r="C5988" t="s">
        <v>54</v>
      </c>
      <c r="D5988" t="s">
        <v>11</v>
      </c>
      <c r="E5988" t="s">
        <v>82</v>
      </c>
      <c r="F5988" t="s">
        <v>83</v>
      </c>
      <c r="G5988" t="str">
        <f t="shared" si="244"/>
        <v>010COOLDOWN</v>
      </c>
      <c r="H5988" s="5">
        <v>2225</v>
      </c>
      <c r="I5988" s="6">
        <v>1912.3542857142861</v>
      </c>
      <c r="J5988" s="5">
        <v>16320</v>
      </c>
      <c r="K5988" s="6">
        <f t="shared" si="245"/>
        <v>1.1634873394648928</v>
      </c>
    </row>
    <row r="5989" spans="1:11" hidden="1">
      <c r="A5989" s="4">
        <v>2026</v>
      </c>
      <c r="B5989">
        <v>3</v>
      </c>
      <c r="C5989" t="s">
        <v>54</v>
      </c>
      <c r="D5989" t="s">
        <v>11</v>
      </c>
      <c r="E5989" t="s">
        <v>82</v>
      </c>
      <c r="F5989" t="s">
        <v>84</v>
      </c>
      <c r="G5989" t="str">
        <f t="shared" si="244"/>
        <v>010VIOLET HILL</v>
      </c>
      <c r="H5989" s="5">
        <v>3210</v>
      </c>
      <c r="I5989" s="6">
        <v>2812.2857142428579</v>
      </c>
      <c r="J5989" s="5">
        <v>20000</v>
      </c>
      <c r="K5989" s="6">
        <f t="shared" si="245"/>
        <v>1.141420298706818</v>
      </c>
    </row>
    <row r="5990" spans="1:11" hidden="1">
      <c r="A5990" s="4">
        <v>2026</v>
      </c>
      <c r="B5990">
        <v>3</v>
      </c>
      <c r="C5990" t="s">
        <v>54</v>
      </c>
      <c r="D5990" t="s">
        <v>11</v>
      </c>
      <c r="E5990" t="s">
        <v>85</v>
      </c>
      <c r="F5990" t="s">
        <v>86</v>
      </c>
      <c r="G5990" t="str">
        <f t="shared" si="244"/>
        <v>011BRIGHTON</v>
      </c>
      <c r="H5990" s="5">
        <v>2600</v>
      </c>
      <c r="I5990" s="6">
        <v>1768.8376470588223</v>
      </c>
      <c r="J5990" s="5">
        <v>12800</v>
      </c>
      <c r="K5990" s="6">
        <f t="shared" si="245"/>
        <v>1.4698918266033139</v>
      </c>
    </row>
    <row r="5991" spans="1:11" hidden="1">
      <c r="A5991" s="4">
        <v>2026</v>
      </c>
      <c r="B5991">
        <v>3</v>
      </c>
      <c r="C5991" t="s">
        <v>54</v>
      </c>
      <c r="D5991" t="s">
        <v>11</v>
      </c>
      <c r="E5991" t="s">
        <v>85</v>
      </c>
      <c r="F5991" t="s">
        <v>87</v>
      </c>
      <c r="G5991" t="str">
        <f t="shared" si="244"/>
        <v>011CANDLELIGHT</v>
      </c>
      <c r="H5991" s="5">
        <v>3020</v>
      </c>
      <c r="I5991" s="6">
        <v>2263.7999998868127</v>
      </c>
      <c r="J5991" s="5">
        <v>17920</v>
      </c>
      <c r="K5991" s="6">
        <f t="shared" si="245"/>
        <v>1.334040109617014</v>
      </c>
    </row>
    <row r="5992" spans="1:11" hidden="1">
      <c r="A5992" s="4">
        <v>2026</v>
      </c>
      <c r="B5992">
        <v>3</v>
      </c>
      <c r="C5992" t="s">
        <v>54</v>
      </c>
      <c r="D5992" t="s">
        <v>11</v>
      </c>
      <c r="E5992" t="s">
        <v>85</v>
      </c>
      <c r="F5992" t="s">
        <v>88</v>
      </c>
      <c r="G5992" t="str">
        <f t="shared" si="244"/>
        <v>011CAYENNE</v>
      </c>
      <c r="H5992" s="5">
        <v>1500</v>
      </c>
      <c r="I5992" s="6">
        <v>994.97117647058747</v>
      </c>
      <c r="J5992" s="5">
        <v>7200</v>
      </c>
      <c r="K5992" s="6">
        <f t="shared" si="245"/>
        <v>1.5075813606187836</v>
      </c>
    </row>
    <row r="5993" spans="1:11" hidden="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61</v>
      </c>
      <c r="G5993" t="str">
        <f t="shared" si="244"/>
        <v>011LUMIA</v>
      </c>
      <c r="H5993" s="5">
        <v>1830</v>
      </c>
      <c r="I5993" s="6">
        <v>994.97117647058747</v>
      </c>
      <c r="J5993" s="5">
        <v>7920</v>
      </c>
      <c r="K5993" s="6">
        <f t="shared" si="245"/>
        <v>1.8392492599549159</v>
      </c>
    </row>
    <row r="5994" spans="1:11" hidden="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89</v>
      </c>
      <c r="G5994" t="str">
        <f t="shared" si="244"/>
        <v>011STARDUST</v>
      </c>
      <c r="H5994" s="5">
        <v>2200</v>
      </c>
      <c r="I5994" s="6">
        <v>2263.7999998868127</v>
      </c>
      <c r="J5994" s="5">
        <v>17920</v>
      </c>
      <c r="K5994" s="6">
        <f t="shared" si="245"/>
        <v>0.97181729839650033</v>
      </c>
    </row>
    <row r="5995" spans="1:11" hidden="1">
      <c r="A5995" s="4">
        <v>2026</v>
      </c>
      <c r="B5995">
        <v>3</v>
      </c>
      <c r="C5995" t="s">
        <v>54</v>
      </c>
      <c r="D5995" t="s">
        <v>11</v>
      </c>
      <c r="E5995" t="s">
        <v>90</v>
      </c>
      <c r="F5995" t="s">
        <v>67</v>
      </c>
      <c r="G5995" t="str">
        <f t="shared" si="244"/>
        <v>012DEEP PURPLE</v>
      </c>
      <c r="H5995" s="5">
        <v>15390</v>
      </c>
      <c r="I5995" s="6">
        <v>6727.0499997982479</v>
      </c>
      <c r="J5995" s="5">
        <v>49210</v>
      </c>
      <c r="K5995" s="6">
        <f t="shared" si="245"/>
        <v>2.2877784467874571</v>
      </c>
    </row>
    <row r="5996" spans="1:11" hidden="1">
      <c r="A5996" s="4">
        <v>2026</v>
      </c>
      <c r="B5996">
        <v>3</v>
      </c>
      <c r="C5996" t="s">
        <v>54</v>
      </c>
      <c r="D5996" t="s">
        <v>11</v>
      </c>
      <c r="E5996" t="s">
        <v>90</v>
      </c>
      <c r="F5996" t="s">
        <v>60</v>
      </c>
      <c r="G5996" t="str">
        <f t="shared" si="244"/>
        <v>012LIGHT HOUSE</v>
      </c>
      <c r="H5996" s="5">
        <v>1290</v>
      </c>
      <c r="I5996" s="6">
        <v>994.95</v>
      </c>
      <c r="J5996" s="5">
        <v>7200</v>
      </c>
      <c r="K5996" s="6">
        <f t="shared" si="245"/>
        <v>1.2965475652042815</v>
      </c>
    </row>
    <row r="5997" spans="1:11" hidden="1">
      <c r="A5997" s="4">
        <v>2026</v>
      </c>
      <c r="B5997">
        <v>3</v>
      </c>
      <c r="C5997" t="s">
        <v>54</v>
      </c>
      <c r="D5997" t="s">
        <v>11</v>
      </c>
      <c r="E5997" t="s">
        <v>91</v>
      </c>
      <c r="F5997" t="s">
        <v>92</v>
      </c>
      <c r="G5997" t="str">
        <f t="shared" si="244"/>
        <v>013COUNTRY BLUES</v>
      </c>
      <c r="H5997" s="5">
        <v>1400</v>
      </c>
      <c r="I5997" s="6">
        <v>831.6</v>
      </c>
      <c r="J5997" s="5">
        <v>6300</v>
      </c>
      <c r="K5997" s="6">
        <f t="shared" si="245"/>
        <v>1.6835016835016834</v>
      </c>
    </row>
    <row r="5998" spans="1:11" hidden="1">
      <c r="A5998" s="4">
        <v>2026</v>
      </c>
      <c r="B5998">
        <v>3</v>
      </c>
      <c r="C5998" t="s">
        <v>54</v>
      </c>
      <c r="D5998" t="s">
        <v>11</v>
      </c>
      <c r="E5998" t="s">
        <v>91</v>
      </c>
      <c r="F5998" t="s">
        <v>93</v>
      </c>
      <c r="G5998" t="str">
        <f t="shared" si="244"/>
        <v>013LORRAINE</v>
      </c>
      <c r="H5998" s="5">
        <v>2975</v>
      </c>
      <c r="I5998" s="6">
        <v>1267.2</v>
      </c>
      <c r="J5998" s="5">
        <v>9600</v>
      </c>
      <c r="K5998" s="6">
        <f t="shared" si="245"/>
        <v>2.3476957070707072</v>
      </c>
    </row>
    <row r="5999" spans="1:11" hidden="1">
      <c r="A5999" s="4">
        <v>2026</v>
      </c>
      <c r="B5999">
        <v>3</v>
      </c>
      <c r="C5999" t="s">
        <v>54</v>
      </c>
      <c r="D5999" t="s">
        <v>11</v>
      </c>
      <c r="E5999" t="s">
        <v>91</v>
      </c>
      <c r="F5999" t="s">
        <v>61</v>
      </c>
      <c r="G5999" t="str">
        <f t="shared" si="244"/>
        <v>013LUMIA</v>
      </c>
      <c r="H5999" s="5">
        <v>1020</v>
      </c>
      <c r="I5999" s="6">
        <v>316.8</v>
      </c>
      <c r="J5999" s="5">
        <v>2400</v>
      </c>
      <c r="K5999" s="6">
        <f t="shared" si="245"/>
        <v>3.2196969696969697</v>
      </c>
    </row>
    <row r="6000" spans="1:11" hidden="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74</v>
      </c>
      <c r="G6000" t="str">
        <f t="shared" si="244"/>
        <v>013VENDELA</v>
      </c>
      <c r="H6000" s="5">
        <v>8790</v>
      </c>
      <c r="I6000" s="6">
        <v>3603.6</v>
      </c>
      <c r="J6000" s="5">
        <v>27296</v>
      </c>
      <c r="K6000" s="6">
        <f t="shared" si="245"/>
        <v>2.4392274392274391</v>
      </c>
    </row>
    <row r="6001" spans="1:11" hidden="1">
      <c r="A6001" s="4">
        <v>2026</v>
      </c>
      <c r="B6001">
        <v>3</v>
      </c>
      <c r="C6001" t="s">
        <v>54</v>
      </c>
      <c r="D6001" t="s">
        <v>11</v>
      </c>
      <c r="E6001" t="s">
        <v>23</v>
      </c>
      <c r="F6001" t="s">
        <v>89</v>
      </c>
      <c r="G6001" t="str">
        <f t="shared" si="244"/>
        <v>014STARDUST</v>
      </c>
      <c r="H6001" s="5">
        <v>4150</v>
      </c>
      <c r="I6001" s="6">
        <v>3682.8</v>
      </c>
      <c r="J6001" s="5">
        <v>27900</v>
      </c>
      <c r="K6001" s="6">
        <f t="shared" si="245"/>
        <v>1.1268599978277396</v>
      </c>
    </row>
    <row r="6002" spans="1:11" hidden="1">
      <c r="A6002" s="4">
        <v>2026</v>
      </c>
      <c r="B6002">
        <v>3</v>
      </c>
      <c r="C6002" t="s">
        <v>54</v>
      </c>
      <c r="D6002" t="s">
        <v>11</v>
      </c>
      <c r="E6002" t="s">
        <v>25</v>
      </c>
      <c r="F6002" t="s">
        <v>68</v>
      </c>
      <c r="G6002" t="str">
        <f t="shared" si="244"/>
        <v>015JOCKER</v>
      </c>
      <c r="H6002" s="5">
        <v>3500</v>
      </c>
      <c r="I6002" s="6">
        <v>2376</v>
      </c>
      <c r="J6002" s="5">
        <v>18000</v>
      </c>
      <c r="K6002" s="6">
        <f t="shared" si="245"/>
        <v>1.473063973063973</v>
      </c>
    </row>
    <row r="6003" spans="1:11" hidden="1">
      <c r="A6003" s="4">
        <v>2026</v>
      </c>
      <c r="B6003">
        <v>3</v>
      </c>
      <c r="C6003" t="s">
        <v>54</v>
      </c>
      <c r="D6003" t="s">
        <v>11</v>
      </c>
      <c r="E6003" t="s">
        <v>27</v>
      </c>
      <c r="F6003" t="s">
        <v>94</v>
      </c>
      <c r="G6003" t="str">
        <f t="shared" si="244"/>
        <v>016DREAM IN PEACH</v>
      </c>
      <c r="H6003" s="5">
        <v>1020</v>
      </c>
      <c r="I6003" s="6">
        <v>950.4</v>
      </c>
      <c r="J6003" s="5">
        <v>7200</v>
      </c>
      <c r="K6003" s="6">
        <f t="shared" si="245"/>
        <v>1.0732323232323233</v>
      </c>
    </row>
    <row r="6004" spans="1:11" hidden="1">
      <c r="A6004" s="4">
        <v>2026</v>
      </c>
      <c r="B6004">
        <v>3</v>
      </c>
      <c r="C6004" t="s">
        <v>54</v>
      </c>
      <c r="D6004" t="s">
        <v>11</v>
      </c>
      <c r="E6004" t="s">
        <v>27</v>
      </c>
      <c r="F6004" t="s">
        <v>95</v>
      </c>
      <c r="G6004" t="str">
        <f t="shared" si="244"/>
        <v>016NINA</v>
      </c>
      <c r="H6004" s="5">
        <v>2275</v>
      </c>
      <c r="I6004" s="6">
        <v>1346.4</v>
      </c>
      <c r="J6004" s="5">
        <v>10200</v>
      </c>
      <c r="K6004" s="6">
        <f t="shared" si="245"/>
        <v>1.689691027926322</v>
      </c>
    </row>
    <row r="6005" spans="1:11" hidden="1">
      <c r="A6005" s="4">
        <v>2026</v>
      </c>
      <c r="B6005">
        <v>3</v>
      </c>
      <c r="C6005" t="s">
        <v>54</v>
      </c>
      <c r="D6005" t="s">
        <v>11</v>
      </c>
      <c r="E6005" t="s">
        <v>30</v>
      </c>
      <c r="F6005" t="s">
        <v>81</v>
      </c>
      <c r="G6005" t="str">
        <f t="shared" si="244"/>
        <v>017FREEDOM</v>
      </c>
      <c r="H6005" s="5">
        <v>3960</v>
      </c>
      <c r="I6005" s="6">
        <v>2851.2</v>
      </c>
      <c r="J6005" s="5">
        <v>21600</v>
      </c>
      <c r="K6005" s="6">
        <f t="shared" si="245"/>
        <v>1.3888888888888891</v>
      </c>
    </row>
    <row r="6006" spans="1:11" hidden="1">
      <c r="A6006" s="4">
        <v>2026</v>
      </c>
      <c r="B6006">
        <v>3</v>
      </c>
      <c r="C6006" t="s">
        <v>54</v>
      </c>
      <c r="D6006" t="s">
        <v>11</v>
      </c>
      <c r="E6006" t="s">
        <v>30</v>
      </c>
      <c r="F6006" t="s">
        <v>73</v>
      </c>
      <c r="G6006" t="str">
        <f t="shared" si="244"/>
        <v>017GOLDFINCH</v>
      </c>
      <c r="H6006" s="5">
        <v>1250</v>
      </c>
      <c r="I6006" s="6">
        <v>2138.4</v>
      </c>
      <c r="J6006" s="5">
        <v>16200</v>
      </c>
      <c r="K6006" s="6">
        <f t="shared" si="245"/>
        <v>0.58454919566030672</v>
      </c>
    </row>
    <row r="6007" spans="1:11" hidden="1">
      <c r="A6007" s="4">
        <v>2026</v>
      </c>
      <c r="B6007">
        <v>3</v>
      </c>
      <c r="C6007" t="s">
        <v>54</v>
      </c>
      <c r="D6007" t="s">
        <v>11</v>
      </c>
      <c r="E6007" t="s">
        <v>32</v>
      </c>
      <c r="F6007" t="s">
        <v>86</v>
      </c>
      <c r="G6007" t="str">
        <f t="shared" si="244"/>
        <v>018BRIGHTON</v>
      </c>
      <c r="H6007" s="5">
        <v>1025</v>
      </c>
      <c r="I6007" s="6">
        <v>963.6</v>
      </c>
      <c r="J6007" s="5">
        <v>7570</v>
      </c>
      <c r="K6007" s="6">
        <f t="shared" si="245"/>
        <v>1.0637193856371938</v>
      </c>
    </row>
    <row r="6008" spans="1:11" hidden="1">
      <c r="A6008" s="4">
        <v>2026</v>
      </c>
      <c r="B6008">
        <v>3</v>
      </c>
      <c r="C6008" t="s">
        <v>54</v>
      </c>
      <c r="D6008" t="s">
        <v>11</v>
      </c>
      <c r="E6008" t="s">
        <v>35</v>
      </c>
      <c r="F6008" t="s">
        <v>86</v>
      </c>
      <c r="G6008" t="str">
        <f t="shared" si="244"/>
        <v>019BRIGHTON</v>
      </c>
      <c r="H6008" s="5">
        <v>6050</v>
      </c>
      <c r="I6008" s="6">
        <v>3168</v>
      </c>
      <c r="J6008" s="5">
        <v>24000</v>
      </c>
      <c r="K6008" s="6">
        <f t="shared" si="245"/>
        <v>1.9097222222222223</v>
      </c>
    </row>
    <row r="6009" spans="1:11" hidden="1">
      <c r="A6009" s="4">
        <v>2026</v>
      </c>
      <c r="B6009">
        <v>3</v>
      </c>
      <c r="C6009" t="s">
        <v>54</v>
      </c>
      <c r="D6009" t="s">
        <v>11</v>
      </c>
      <c r="E6009" t="s">
        <v>35</v>
      </c>
      <c r="F6009" t="s">
        <v>96</v>
      </c>
      <c r="G6009" t="str">
        <f t="shared" si="244"/>
        <v>019TABATHA</v>
      </c>
      <c r="H6009" s="5">
        <v>2160</v>
      </c>
      <c r="I6009" s="6">
        <v>1188</v>
      </c>
      <c r="J6009" s="5">
        <v>9000</v>
      </c>
      <c r="K6009" s="6">
        <f t="shared" si="245"/>
        <v>1.8181818181818181</v>
      </c>
    </row>
    <row r="6010" spans="1:11" hidden="1">
      <c r="A6010" s="4">
        <v>2026</v>
      </c>
      <c r="B6010">
        <v>3</v>
      </c>
      <c r="C6010" t="s">
        <v>54</v>
      </c>
      <c r="D6010" t="s">
        <v>11</v>
      </c>
      <c r="E6010" t="s">
        <v>36</v>
      </c>
      <c r="F6010" t="s">
        <v>86</v>
      </c>
      <c r="G6010" t="str">
        <f t="shared" si="244"/>
        <v>020BRIGHTON</v>
      </c>
      <c r="H6010" s="5">
        <v>3300</v>
      </c>
      <c r="I6010" s="6">
        <v>2732.4</v>
      </c>
      <c r="J6010" s="5">
        <v>20700</v>
      </c>
      <c r="K6010" s="6">
        <f t="shared" si="245"/>
        <v>1.2077294685990339</v>
      </c>
    </row>
    <row r="6011" spans="1:11" hidden="1">
      <c r="A6011" s="4">
        <v>2026</v>
      </c>
      <c r="B6011">
        <v>3</v>
      </c>
      <c r="C6011" t="s">
        <v>54</v>
      </c>
      <c r="D6011" t="s">
        <v>11</v>
      </c>
      <c r="E6011" t="s">
        <v>36</v>
      </c>
      <c r="F6011" t="s">
        <v>97</v>
      </c>
      <c r="G6011" t="str">
        <f t="shared" si="244"/>
        <v>020TYCOON</v>
      </c>
      <c r="H6011" s="5">
        <v>990</v>
      </c>
      <c r="I6011" s="6">
        <v>673.2</v>
      </c>
      <c r="J6011" s="5">
        <v>5100</v>
      </c>
      <c r="K6011" s="6">
        <f t="shared" si="245"/>
        <v>1.4705882352941175</v>
      </c>
    </row>
    <row r="6012" spans="1:11" hidden="1">
      <c r="A6012" s="4">
        <v>2026</v>
      </c>
      <c r="B6012">
        <v>3</v>
      </c>
      <c r="C6012" t="s">
        <v>54</v>
      </c>
      <c r="D6012" t="s">
        <v>11</v>
      </c>
      <c r="E6012" t="s">
        <v>38</v>
      </c>
      <c r="F6012" t="s">
        <v>98</v>
      </c>
      <c r="G6012" t="str">
        <f t="shared" si="244"/>
        <v>021SHOW GIRL</v>
      </c>
      <c r="H6012" s="5">
        <v>1500</v>
      </c>
      <c r="I6012" s="6">
        <v>1100.4749999999999</v>
      </c>
      <c r="J6012" s="5">
        <v>8000</v>
      </c>
      <c r="K6012" s="6">
        <f t="shared" si="245"/>
        <v>1.3630477748245078</v>
      </c>
    </row>
    <row r="6013" spans="1:11" hidden="1">
      <c r="A6013" s="4">
        <v>2026</v>
      </c>
      <c r="B6013">
        <v>3</v>
      </c>
      <c r="C6013" t="s">
        <v>54</v>
      </c>
      <c r="D6013" t="s">
        <v>11</v>
      </c>
      <c r="E6013" t="s">
        <v>43</v>
      </c>
      <c r="F6013" t="s">
        <v>99</v>
      </c>
      <c r="G6013" t="str">
        <f t="shared" si="244"/>
        <v>022CORAL REEF</v>
      </c>
      <c r="H6013" s="5">
        <v>2400</v>
      </c>
      <c r="I6013" s="6">
        <v>1287</v>
      </c>
      <c r="J6013" s="5">
        <v>9400</v>
      </c>
      <c r="K6013" s="6">
        <f t="shared" si="245"/>
        <v>1.8648018648018647</v>
      </c>
    </row>
    <row r="6014" spans="1:11" hidden="1">
      <c r="A6014" s="4">
        <v>2026</v>
      </c>
      <c r="B6014">
        <v>3</v>
      </c>
      <c r="C6014" t="s">
        <v>54</v>
      </c>
      <c r="D6014" t="s">
        <v>11</v>
      </c>
      <c r="E6014" t="s">
        <v>100</v>
      </c>
      <c r="F6014" t="s">
        <v>70</v>
      </c>
      <c r="G6014" t="str">
        <f t="shared" si="244"/>
        <v>023COTOPAXI</v>
      </c>
      <c r="H6014" s="5">
        <v>4710</v>
      </c>
      <c r="I6014" s="6">
        <v>2641.14</v>
      </c>
      <c r="J6014" s="5">
        <v>19200</v>
      </c>
      <c r="K6014" s="6">
        <f t="shared" si="245"/>
        <v>1.7833208387287309</v>
      </c>
    </row>
    <row r="6015" spans="1:11" hidden="1">
      <c r="A6015" s="4">
        <v>2026</v>
      </c>
      <c r="B6015">
        <v>3</v>
      </c>
      <c r="C6015" t="s">
        <v>54</v>
      </c>
      <c r="D6015" t="s">
        <v>11</v>
      </c>
      <c r="E6015" t="s">
        <v>100</v>
      </c>
      <c r="F6015" t="s">
        <v>101</v>
      </c>
      <c r="G6015" t="str">
        <f t="shared" si="244"/>
        <v>023FRUTTETO</v>
      </c>
      <c r="H6015" s="5">
        <v>6720</v>
      </c>
      <c r="I6015" s="6">
        <v>2641.14</v>
      </c>
      <c r="J6015" s="5">
        <v>19200</v>
      </c>
      <c r="K6015" s="6">
        <f t="shared" si="245"/>
        <v>2.544355846339081</v>
      </c>
    </row>
    <row r="6016" spans="1:11" hidden="1">
      <c r="A6016" s="4">
        <v>2026</v>
      </c>
      <c r="B6016">
        <v>3</v>
      </c>
      <c r="C6016" t="s">
        <v>54</v>
      </c>
      <c r="D6016" t="s">
        <v>11</v>
      </c>
      <c r="E6016" t="s">
        <v>102</v>
      </c>
      <c r="F6016" t="s">
        <v>70</v>
      </c>
      <c r="G6016" t="str">
        <f t="shared" si="244"/>
        <v>024COTOPAXI</v>
      </c>
      <c r="H6016" s="5">
        <v>3660</v>
      </c>
      <c r="I6016" s="6">
        <v>1430.6174906250001</v>
      </c>
      <c r="J6016" s="5">
        <v>10400</v>
      </c>
      <c r="K6016" s="6">
        <f t="shared" si="245"/>
        <v>2.5583358402818352</v>
      </c>
    </row>
    <row r="6017" spans="1:11" hidden="1">
      <c r="A6017" s="4">
        <v>2026</v>
      </c>
      <c r="B6017">
        <v>3</v>
      </c>
      <c r="C6017" t="s">
        <v>54</v>
      </c>
      <c r="D6017" t="s">
        <v>11</v>
      </c>
      <c r="E6017" t="s">
        <v>102</v>
      </c>
      <c r="F6017" t="s">
        <v>64</v>
      </c>
      <c r="G6017" t="str">
        <f t="shared" si="244"/>
        <v>024SWEETNESS</v>
      </c>
      <c r="H6017" s="5">
        <v>2910</v>
      </c>
      <c r="I6017" s="6">
        <v>1430.6175000000001</v>
      </c>
      <c r="J6017" s="5">
        <v>10400</v>
      </c>
      <c r="K6017" s="6">
        <f t="shared" si="245"/>
        <v>2.034086679353496</v>
      </c>
    </row>
    <row r="6018" spans="1:11" hidden="1">
      <c r="A6018" s="4">
        <v>2026</v>
      </c>
      <c r="B6018">
        <v>3</v>
      </c>
      <c r="C6018" t="s">
        <v>54</v>
      </c>
      <c r="D6018" t="s">
        <v>11</v>
      </c>
      <c r="E6018" t="s">
        <v>102</v>
      </c>
      <c r="F6018" t="s">
        <v>97</v>
      </c>
      <c r="G6018" t="str">
        <f t="shared" ref="G6018:G6078" si="246">+E6018&amp;F6018</f>
        <v>024TYCOON</v>
      </c>
      <c r="H6018" s="5">
        <v>5880</v>
      </c>
      <c r="I6018" s="6">
        <v>2861.2350000000001</v>
      </c>
      <c r="J6018" s="5">
        <v>20800</v>
      </c>
      <c r="K6018" s="6">
        <f t="shared" si="245"/>
        <v>2.0550566451200267</v>
      </c>
    </row>
    <row r="6019" spans="1:11" hidden="1">
      <c r="A6019" s="4">
        <v>2026</v>
      </c>
      <c r="B6019">
        <v>3</v>
      </c>
      <c r="C6019" t="s">
        <v>54</v>
      </c>
      <c r="D6019" t="s">
        <v>11</v>
      </c>
      <c r="E6019" t="s">
        <v>103</v>
      </c>
      <c r="F6019" t="s">
        <v>104</v>
      </c>
      <c r="G6019" t="str">
        <f t="shared" si="246"/>
        <v>025PINK MONDIAL</v>
      </c>
      <c r="H6019" s="5">
        <v>4400</v>
      </c>
      <c r="I6019" s="6">
        <v>3071.9505625000002</v>
      </c>
      <c r="J6019" s="5">
        <v>22400</v>
      </c>
      <c r="K6019" s="6">
        <f t="shared" si="245"/>
        <v>1.4323147168160197</v>
      </c>
    </row>
    <row r="6020" spans="1:11" hidden="1">
      <c r="A6020" s="4">
        <v>2026</v>
      </c>
      <c r="B6020">
        <v>3</v>
      </c>
      <c r="C6020" t="s">
        <v>54</v>
      </c>
      <c r="D6020" t="s">
        <v>11</v>
      </c>
      <c r="E6020" t="s">
        <v>45</v>
      </c>
      <c r="F6020" t="s">
        <v>105</v>
      </c>
      <c r="G6020" t="str">
        <f t="shared" si="246"/>
        <v>026LOLA</v>
      </c>
      <c r="H6020" s="5">
        <v>6450</v>
      </c>
      <c r="I6020" s="6">
        <v>1097.125</v>
      </c>
      <c r="J6020" s="5">
        <v>8000</v>
      </c>
      <c r="K6020" s="6">
        <f t="shared" si="245"/>
        <v>5.8790019368804831</v>
      </c>
    </row>
    <row r="6021" spans="1:11" hidden="1">
      <c r="A6021" s="4">
        <v>2026</v>
      </c>
      <c r="B6021">
        <v>3</v>
      </c>
      <c r="C6021" t="s">
        <v>54</v>
      </c>
      <c r="D6021" t="s">
        <v>11</v>
      </c>
      <c r="E6021" t="s">
        <v>45</v>
      </c>
      <c r="F6021" t="s">
        <v>106</v>
      </c>
      <c r="G6021" t="str">
        <f t="shared" si="246"/>
        <v>026PALOMA</v>
      </c>
      <c r="H6021" s="5">
        <v>7425</v>
      </c>
      <c r="I6021" s="6">
        <v>2852.5250000000001</v>
      </c>
      <c r="J6021" s="5">
        <v>20800</v>
      </c>
      <c r="K6021" s="6">
        <f t="shared" si="245"/>
        <v>2.602957029298604</v>
      </c>
    </row>
    <row r="6022" spans="1:11" hidden="1">
      <c r="A6022" s="4">
        <v>2026</v>
      </c>
      <c r="B6022">
        <v>3</v>
      </c>
      <c r="C6022" t="s">
        <v>54</v>
      </c>
      <c r="D6022" t="s">
        <v>11</v>
      </c>
      <c r="E6022" t="s">
        <v>107</v>
      </c>
      <c r="F6022" t="s">
        <v>108</v>
      </c>
      <c r="G6022" t="str">
        <f t="shared" si="246"/>
        <v>027SATISFACTION</v>
      </c>
      <c r="H6022" s="5">
        <v>3690</v>
      </c>
      <c r="I6022" s="6">
        <v>2633.1</v>
      </c>
      <c r="J6022" s="5">
        <v>19200</v>
      </c>
      <c r="K6022" s="6">
        <f t="shared" si="245"/>
        <v>1.4013899965819756</v>
      </c>
    </row>
    <row r="6023" spans="1:11" hidden="1">
      <c r="A6023" s="4">
        <v>2026</v>
      </c>
      <c r="B6023">
        <v>3</v>
      </c>
      <c r="C6023" t="s">
        <v>54</v>
      </c>
      <c r="D6023" t="s">
        <v>11</v>
      </c>
      <c r="E6023" t="s">
        <v>107</v>
      </c>
      <c r="F6023" t="s">
        <v>109</v>
      </c>
      <c r="G6023" t="str">
        <f t="shared" si="246"/>
        <v>027TIFFANY</v>
      </c>
      <c r="H6023" s="5">
        <v>3420</v>
      </c>
      <c r="I6023" s="6">
        <v>2633.1</v>
      </c>
      <c r="J6023" s="5">
        <v>19200</v>
      </c>
      <c r="K6023" s="6">
        <f t="shared" si="245"/>
        <v>1.2988492651247578</v>
      </c>
    </row>
    <row r="6024" spans="1:11" hidden="1">
      <c r="A6024" s="4">
        <v>2026</v>
      </c>
      <c r="B6024">
        <v>3</v>
      </c>
      <c r="C6024" t="s">
        <v>54</v>
      </c>
      <c r="D6024" t="s">
        <v>11</v>
      </c>
      <c r="E6024" t="s">
        <v>110</v>
      </c>
      <c r="F6024" t="s">
        <v>70</v>
      </c>
      <c r="G6024" t="str">
        <f t="shared" si="246"/>
        <v>028COTOPAXI</v>
      </c>
      <c r="H6024" s="5">
        <v>3660</v>
      </c>
      <c r="I6024" s="6">
        <v>2852.5250000000001</v>
      </c>
      <c r="J6024" s="5">
        <v>20800</v>
      </c>
      <c r="K6024" s="6">
        <f t="shared" si="245"/>
        <v>1.2830737679774935</v>
      </c>
    </row>
    <row r="6025" spans="1:11" hidden="1">
      <c r="A6025" s="4">
        <v>2026</v>
      </c>
      <c r="B6025">
        <v>3</v>
      </c>
      <c r="C6025" t="s">
        <v>54</v>
      </c>
      <c r="D6025" t="s">
        <v>11</v>
      </c>
      <c r="E6025" t="s">
        <v>110</v>
      </c>
      <c r="F6025" t="s">
        <v>67</v>
      </c>
      <c r="G6025" t="str">
        <f t="shared" si="246"/>
        <v>028DEEP PURPLE</v>
      </c>
      <c r="H6025" s="5">
        <v>8130</v>
      </c>
      <c r="I6025" s="6">
        <v>2852.5250000000001</v>
      </c>
      <c r="J6025" s="5">
        <v>20800</v>
      </c>
      <c r="K6025" s="6">
        <f t="shared" si="245"/>
        <v>2.8501064846057438</v>
      </c>
    </row>
    <row r="6026" spans="1:11" hidden="1">
      <c r="A6026" s="4">
        <v>2026</v>
      </c>
      <c r="B6026">
        <v>3</v>
      </c>
      <c r="C6026" t="s">
        <v>54</v>
      </c>
      <c r="D6026" t="s">
        <v>11</v>
      </c>
      <c r="E6026" t="s">
        <v>111</v>
      </c>
      <c r="F6026" t="s">
        <v>112</v>
      </c>
      <c r="G6026" t="str">
        <f t="shared" si="246"/>
        <v>029PINK FLOYD</v>
      </c>
      <c r="H6026" s="5">
        <v>3625</v>
      </c>
      <c r="I6026" s="6">
        <v>3071.95</v>
      </c>
      <c r="J6026" s="5">
        <v>22400</v>
      </c>
      <c r="K6026" s="6">
        <f t="shared" si="245"/>
        <v>1.1800322270870294</v>
      </c>
    </row>
    <row r="6027" spans="1:11" hidden="1">
      <c r="A6027" s="4">
        <v>2026</v>
      </c>
      <c r="B6027">
        <v>3</v>
      </c>
      <c r="C6027" t="s">
        <v>54</v>
      </c>
      <c r="D6027" t="s">
        <v>11</v>
      </c>
      <c r="E6027" t="s">
        <v>47</v>
      </c>
      <c r="F6027" t="s">
        <v>57</v>
      </c>
      <c r="G6027" t="str">
        <f t="shared" si="246"/>
        <v>030EXPLORER</v>
      </c>
      <c r="H6027" s="5">
        <v>2800</v>
      </c>
      <c r="I6027" s="6">
        <v>1645.6875</v>
      </c>
      <c r="J6027" s="5">
        <v>12000</v>
      </c>
      <c r="K6027" s="6">
        <f t="shared" si="245"/>
        <v>1.7014165812160571</v>
      </c>
    </row>
    <row r="6028" spans="1:11" hidden="1">
      <c r="A6028" s="4">
        <v>2026</v>
      </c>
      <c r="B6028">
        <v>4</v>
      </c>
      <c r="C6028" t="s">
        <v>10</v>
      </c>
      <c r="D6028" t="s">
        <v>11</v>
      </c>
      <c r="E6028" t="s">
        <v>12</v>
      </c>
      <c r="F6028" t="s">
        <v>13</v>
      </c>
      <c r="G6028" t="str">
        <f t="shared" si="246"/>
        <v>002SOMERSET</v>
      </c>
      <c r="H6028" s="5">
        <v>11220</v>
      </c>
      <c r="I6028" s="6">
        <v>4121.4642855494085</v>
      </c>
      <c r="J6028" s="5">
        <v>31200</v>
      </c>
      <c r="K6028" s="6">
        <f t="shared" ref="K6028:K6087" si="247">+H6028/I6028</f>
        <v>2.7223334287620369</v>
      </c>
    </row>
    <row r="6029" spans="1:11" hidden="1">
      <c r="A6029" s="4">
        <v>2026</v>
      </c>
      <c r="B6029">
        <v>4</v>
      </c>
      <c r="C6029" t="s">
        <v>10</v>
      </c>
      <c r="D6029" t="s">
        <v>11</v>
      </c>
      <c r="E6029" t="s">
        <v>14</v>
      </c>
      <c r="F6029" t="s">
        <v>15</v>
      </c>
      <c r="G6029" t="str">
        <f t="shared" si="246"/>
        <v>004BELLINA</v>
      </c>
      <c r="H6029" s="5">
        <v>3300</v>
      </c>
      <c r="I6029" s="6">
        <v>1056.7857142434418</v>
      </c>
      <c r="J6029" s="5">
        <v>8000</v>
      </c>
      <c r="K6029" s="6">
        <f t="shared" si="247"/>
        <v>3.1226765800505607</v>
      </c>
    </row>
    <row r="6030" spans="1:11" hidden="1">
      <c r="A6030" s="4">
        <v>2026</v>
      </c>
      <c r="B6030">
        <v>4</v>
      </c>
      <c r="C6030" t="s">
        <v>10</v>
      </c>
      <c r="D6030" t="s">
        <v>11</v>
      </c>
      <c r="E6030" t="s">
        <v>16</v>
      </c>
      <c r="F6030" t="s">
        <v>17</v>
      </c>
      <c r="G6030" t="str">
        <f t="shared" si="246"/>
        <v>005ELBA</v>
      </c>
      <c r="H6030" s="5">
        <v>11670</v>
      </c>
      <c r="I6030" s="6">
        <v>2641.9642856076484</v>
      </c>
      <c r="J6030" s="5">
        <v>19996</v>
      </c>
      <c r="K6030" s="6">
        <f t="shared" si="247"/>
        <v>4.4171679623276647</v>
      </c>
    </row>
    <row r="6031" spans="1:11" hidden="1">
      <c r="A6031" s="4">
        <v>2026</v>
      </c>
      <c r="B6031">
        <v>4</v>
      </c>
      <c r="C6031" t="s">
        <v>10</v>
      </c>
      <c r="D6031" t="s">
        <v>11</v>
      </c>
      <c r="E6031" t="s">
        <v>16</v>
      </c>
      <c r="F6031" t="s">
        <v>18</v>
      </c>
      <c r="G6031" t="str">
        <f t="shared" si="246"/>
        <v>005HOT BUBBLES</v>
      </c>
      <c r="H6031" s="5">
        <v>2160</v>
      </c>
      <c r="I6031" s="6">
        <v>528.39285712153003</v>
      </c>
      <c r="J6031" s="5">
        <v>4000</v>
      </c>
      <c r="K6031" s="6">
        <f t="shared" si="247"/>
        <v>4.0878675229767563</v>
      </c>
    </row>
    <row r="6032" spans="1:11" hidden="1">
      <c r="A6032" s="4">
        <v>2026</v>
      </c>
      <c r="B6032">
        <v>4</v>
      </c>
      <c r="C6032" t="s">
        <v>10</v>
      </c>
      <c r="D6032" t="s">
        <v>11</v>
      </c>
      <c r="E6032" t="s">
        <v>16</v>
      </c>
      <c r="F6032" t="s">
        <v>19</v>
      </c>
      <c r="G6032" t="str">
        <f t="shared" si="246"/>
        <v>005SUSPIRO</v>
      </c>
      <c r="H6032" s="5">
        <v>6000</v>
      </c>
      <c r="I6032" s="6">
        <v>1902.2142856375078</v>
      </c>
      <c r="J6032" s="5">
        <v>14400</v>
      </c>
      <c r="K6032" s="6">
        <f t="shared" si="247"/>
        <v>3.1542187677289788</v>
      </c>
    </row>
    <row r="6033" spans="1:11" hidden="1">
      <c r="A6033" s="4">
        <v>2026</v>
      </c>
      <c r="B6033">
        <v>4</v>
      </c>
      <c r="C6033" t="s">
        <v>10</v>
      </c>
      <c r="D6033" t="s">
        <v>11</v>
      </c>
      <c r="E6033" t="s">
        <v>20</v>
      </c>
      <c r="F6033" t="s">
        <v>21</v>
      </c>
      <c r="G6033" t="str">
        <f t="shared" si="246"/>
        <v>007SNOW BUBBLES</v>
      </c>
      <c r="H6033" s="5">
        <v>2660</v>
      </c>
      <c r="I6033" s="6">
        <v>634.05652706821195</v>
      </c>
      <c r="J6033" s="5">
        <v>4800</v>
      </c>
      <c r="K6033" s="6">
        <f t="shared" si="247"/>
        <v>4.1952095537908347</v>
      </c>
    </row>
    <row r="6034" spans="1:11" hidden="1">
      <c r="A6034" s="4">
        <v>2026</v>
      </c>
      <c r="B6034">
        <v>4</v>
      </c>
      <c r="C6034" t="s">
        <v>10</v>
      </c>
      <c r="D6034" t="s">
        <v>11</v>
      </c>
      <c r="E6034" t="s">
        <v>22</v>
      </c>
      <c r="F6034" t="s">
        <v>18</v>
      </c>
      <c r="G6034" t="str">
        <f t="shared" si="246"/>
        <v>009HOT BUBBLES</v>
      </c>
      <c r="H6034" s="5">
        <v>16320</v>
      </c>
      <c r="I6034" s="6">
        <v>4487.9999999102474</v>
      </c>
      <c r="J6034" s="5">
        <v>31740</v>
      </c>
      <c r="K6034" s="6">
        <f t="shared" si="247"/>
        <v>3.6363636364363576</v>
      </c>
    </row>
    <row r="6035" spans="1:11" hidden="1">
      <c r="A6035" s="4">
        <v>2026</v>
      </c>
      <c r="B6035">
        <v>4</v>
      </c>
      <c r="C6035" t="s">
        <v>10</v>
      </c>
      <c r="D6035" t="s">
        <v>11</v>
      </c>
      <c r="E6035" t="s">
        <v>23</v>
      </c>
      <c r="F6035" t="s">
        <v>24</v>
      </c>
      <c r="G6035" t="str">
        <f t="shared" si="246"/>
        <v>014FRUITY BUBBLES</v>
      </c>
      <c r="H6035" s="5">
        <v>5450</v>
      </c>
      <c r="I6035" s="6">
        <v>1702.8</v>
      </c>
      <c r="J6035" s="5">
        <v>12900</v>
      </c>
      <c r="K6035" s="6">
        <f t="shared" si="247"/>
        <v>3.2006107587502939</v>
      </c>
    </row>
    <row r="6036" spans="1:11" hidden="1">
      <c r="A6036" s="4">
        <v>2026</v>
      </c>
      <c r="B6036">
        <v>4</v>
      </c>
      <c r="C6036" t="s">
        <v>10</v>
      </c>
      <c r="D6036" t="s">
        <v>11</v>
      </c>
      <c r="E6036" t="s">
        <v>25</v>
      </c>
      <c r="F6036" t="s">
        <v>26</v>
      </c>
      <c r="G6036" t="str">
        <f t="shared" si="246"/>
        <v>015FELLINI</v>
      </c>
      <c r="H6036" s="5">
        <v>6380</v>
      </c>
      <c r="I6036" s="6">
        <v>3009.6</v>
      </c>
      <c r="J6036" s="5">
        <v>22800</v>
      </c>
      <c r="K6036" s="6">
        <f t="shared" si="247"/>
        <v>2.1198830409356724</v>
      </c>
    </row>
    <row r="6037" spans="1:11" hidden="1">
      <c r="A6037" s="4">
        <v>2026</v>
      </c>
      <c r="B6037">
        <v>4</v>
      </c>
      <c r="C6037" t="s">
        <v>10</v>
      </c>
      <c r="D6037" t="s">
        <v>11</v>
      </c>
      <c r="E6037" t="s">
        <v>27</v>
      </c>
      <c r="F6037" t="s">
        <v>28</v>
      </c>
      <c r="G6037" t="str">
        <f t="shared" si="246"/>
        <v>016GOOD PEACH</v>
      </c>
      <c r="H6037" s="5">
        <v>5460</v>
      </c>
      <c r="I6037" s="6">
        <v>1386</v>
      </c>
      <c r="J6037" s="5">
        <v>10500</v>
      </c>
      <c r="K6037" s="6">
        <f t="shared" si="247"/>
        <v>3.9393939393939394</v>
      </c>
    </row>
    <row r="6038" spans="1:11" hidden="1">
      <c r="A6038" s="4">
        <v>2026</v>
      </c>
      <c r="B6038">
        <v>4</v>
      </c>
      <c r="C6038" t="s">
        <v>10</v>
      </c>
      <c r="D6038" t="s">
        <v>11</v>
      </c>
      <c r="E6038" t="s">
        <v>27</v>
      </c>
      <c r="F6038" t="s">
        <v>29</v>
      </c>
      <c r="G6038" t="str">
        <f t="shared" si="246"/>
        <v>016GOOD YELLOW</v>
      </c>
      <c r="H6038" s="5">
        <v>5580</v>
      </c>
      <c r="I6038" s="6">
        <v>1386</v>
      </c>
      <c r="J6038" s="5">
        <v>10500</v>
      </c>
      <c r="K6038" s="6">
        <f t="shared" si="247"/>
        <v>4.0259740259740262</v>
      </c>
    </row>
    <row r="6039" spans="1:11" hidden="1">
      <c r="A6039" s="4">
        <v>2026</v>
      </c>
      <c r="B6039">
        <v>4</v>
      </c>
      <c r="C6039" t="s">
        <v>10</v>
      </c>
      <c r="D6039" t="s">
        <v>11</v>
      </c>
      <c r="E6039" t="s">
        <v>30</v>
      </c>
      <c r="F6039" t="s">
        <v>31</v>
      </c>
      <c r="G6039" t="str">
        <f t="shared" si="246"/>
        <v>017ORANGE STAR</v>
      </c>
      <c r="H6039" s="5">
        <v>3325</v>
      </c>
      <c r="I6039" s="6">
        <v>1029.5999999999999</v>
      </c>
      <c r="J6039" s="5">
        <v>7800</v>
      </c>
      <c r="K6039" s="6">
        <f t="shared" si="247"/>
        <v>3.2294094794094796</v>
      </c>
    </row>
    <row r="6040" spans="1:11" hidden="1">
      <c r="A6040" s="4">
        <v>2026</v>
      </c>
      <c r="B6040">
        <v>4</v>
      </c>
      <c r="C6040" t="s">
        <v>10</v>
      </c>
      <c r="D6040" t="s">
        <v>11</v>
      </c>
      <c r="E6040" t="s">
        <v>32</v>
      </c>
      <c r="F6040" t="s">
        <v>33</v>
      </c>
      <c r="G6040" t="str">
        <f t="shared" si="246"/>
        <v>018COSMO</v>
      </c>
      <c r="H6040" s="5">
        <v>3850</v>
      </c>
      <c r="I6040" s="6">
        <v>2653.2</v>
      </c>
      <c r="J6040" s="5">
        <v>20100</v>
      </c>
      <c r="K6040" s="6">
        <f t="shared" si="247"/>
        <v>1.4510779436152572</v>
      </c>
    </row>
    <row r="6041" spans="1:11" hidden="1">
      <c r="A6041" s="4">
        <v>2026</v>
      </c>
      <c r="B6041">
        <v>4</v>
      </c>
      <c r="C6041" t="s">
        <v>10</v>
      </c>
      <c r="D6041" t="s">
        <v>11</v>
      </c>
      <c r="E6041" t="s">
        <v>32</v>
      </c>
      <c r="F6041" t="s">
        <v>34</v>
      </c>
      <c r="G6041" t="str">
        <f t="shared" si="246"/>
        <v>018RUBICON</v>
      </c>
      <c r="H6041" s="5">
        <v>5250</v>
      </c>
      <c r="I6041" s="6">
        <v>1768.8</v>
      </c>
      <c r="J6041" s="5">
        <v>13400</v>
      </c>
      <c r="K6041" s="6">
        <f t="shared" si="247"/>
        <v>2.9681139755766623</v>
      </c>
    </row>
    <row r="6042" spans="1:11" hidden="1">
      <c r="A6042" s="4">
        <v>2026</v>
      </c>
      <c r="B6042">
        <v>4</v>
      </c>
      <c r="C6042" t="s">
        <v>10</v>
      </c>
      <c r="D6042" t="s">
        <v>11</v>
      </c>
      <c r="E6042" t="s">
        <v>35</v>
      </c>
      <c r="F6042" t="s">
        <v>15</v>
      </c>
      <c r="G6042" t="str">
        <f t="shared" si="246"/>
        <v>019BELLINA</v>
      </c>
      <c r="H6042" s="5">
        <v>2310</v>
      </c>
      <c r="I6042" s="6">
        <v>1029.5999999999999</v>
      </c>
      <c r="J6042" s="5">
        <v>7800</v>
      </c>
      <c r="K6042" s="6">
        <f t="shared" si="247"/>
        <v>2.2435897435897436</v>
      </c>
    </row>
    <row r="6043" spans="1:11" hidden="1">
      <c r="A6043" s="4">
        <v>2026</v>
      </c>
      <c r="B6043">
        <v>4</v>
      </c>
      <c r="C6043" t="s">
        <v>10</v>
      </c>
      <c r="D6043" t="s">
        <v>11</v>
      </c>
      <c r="E6043" t="s">
        <v>36</v>
      </c>
      <c r="F6043" t="s">
        <v>37</v>
      </c>
      <c r="G6043" t="str">
        <f t="shared" si="246"/>
        <v>020SUMMER DANCE</v>
      </c>
      <c r="H6043" s="5">
        <v>6200</v>
      </c>
      <c r="I6043" s="6">
        <v>1346.4</v>
      </c>
      <c r="J6043" s="5">
        <v>10200</v>
      </c>
      <c r="K6043" s="6">
        <f t="shared" si="247"/>
        <v>4.6048722519310754</v>
      </c>
    </row>
    <row r="6044" spans="1:11" hidden="1">
      <c r="A6044" s="4">
        <v>2026</v>
      </c>
      <c r="B6044">
        <v>4</v>
      </c>
      <c r="C6044" t="s">
        <v>10</v>
      </c>
      <c r="D6044" t="s">
        <v>11</v>
      </c>
      <c r="E6044" t="s">
        <v>38</v>
      </c>
      <c r="F6044" t="s">
        <v>39</v>
      </c>
      <c r="G6044" t="str">
        <f t="shared" si="246"/>
        <v>021ELEGANT ROSEVER</v>
      </c>
      <c r="H6044" s="5">
        <v>1290</v>
      </c>
      <c r="I6044" s="6">
        <v>440.18999062500001</v>
      </c>
      <c r="J6044" s="5">
        <v>3200</v>
      </c>
      <c r="K6044" s="6">
        <f t="shared" si="247"/>
        <v>2.9305527782864953</v>
      </c>
    </row>
    <row r="6045" spans="1:11" hidden="1">
      <c r="A6045" s="4">
        <v>2026</v>
      </c>
      <c r="B6045">
        <v>4</v>
      </c>
      <c r="C6045" t="s">
        <v>10</v>
      </c>
      <c r="D6045" t="s">
        <v>11</v>
      </c>
      <c r="E6045" t="s">
        <v>38</v>
      </c>
      <c r="F6045" t="s">
        <v>40</v>
      </c>
      <c r="G6045" t="str">
        <f t="shared" si="246"/>
        <v>021FLAME CLUB</v>
      </c>
      <c r="H6045" s="5">
        <v>2025</v>
      </c>
      <c r="I6045" s="6">
        <v>880.38</v>
      </c>
      <c r="J6045" s="5">
        <v>6400</v>
      </c>
      <c r="K6045" s="6">
        <f t="shared" si="247"/>
        <v>2.3001431200163567</v>
      </c>
    </row>
    <row r="6046" spans="1:11" hidden="1">
      <c r="A6046" s="4">
        <v>2026</v>
      </c>
      <c r="B6046">
        <v>4</v>
      </c>
      <c r="C6046" t="s">
        <v>10</v>
      </c>
      <c r="D6046" t="s">
        <v>11</v>
      </c>
      <c r="E6046" t="s">
        <v>38</v>
      </c>
      <c r="F6046" t="s">
        <v>41</v>
      </c>
      <c r="G6046" t="str">
        <f t="shared" si="246"/>
        <v>021KELLY</v>
      </c>
      <c r="H6046" s="5">
        <v>575</v>
      </c>
      <c r="I6046" s="6">
        <v>330.14249999999998</v>
      </c>
      <c r="J6046" s="5">
        <v>2400</v>
      </c>
      <c r="K6046" s="6">
        <f t="shared" si="247"/>
        <v>1.7416721567202043</v>
      </c>
    </row>
    <row r="6047" spans="1:11" hidden="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42</v>
      </c>
      <c r="G6047" t="str">
        <f t="shared" si="246"/>
        <v>021LEILA</v>
      </c>
      <c r="H6047" s="5">
        <v>2950</v>
      </c>
      <c r="I6047" s="6">
        <v>1430.6175000000001</v>
      </c>
      <c r="J6047" s="5">
        <v>10400</v>
      </c>
      <c r="K6047" s="6">
        <f t="shared" si="247"/>
        <v>2.0620466337088703</v>
      </c>
    </row>
    <row r="6048" spans="1:11" hidden="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21</v>
      </c>
      <c r="G6048" t="str">
        <f t="shared" si="246"/>
        <v>021SNOW BUBBLES</v>
      </c>
      <c r="H6048" s="5">
        <v>3760</v>
      </c>
      <c r="I6048" s="6">
        <v>1287.0000000000018</v>
      </c>
      <c r="J6048" s="5">
        <v>9400</v>
      </c>
      <c r="K6048" s="6">
        <f t="shared" si="247"/>
        <v>2.9215229215229175</v>
      </c>
    </row>
    <row r="6049" spans="1:11" hidden="1">
      <c r="A6049" s="4">
        <v>2026</v>
      </c>
      <c r="B6049">
        <v>4</v>
      </c>
      <c r="C6049" t="s">
        <v>10</v>
      </c>
      <c r="D6049" t="s">
        <v>11</v>
      </c>
      <c r="E6049" t="s">
        <v>43</v>
      </c>
      <c r="F6049" t="s">
        <v>24</v>
      </c>
      <c r="G6049" t="str">
        <f t="shared" si="246"/>
        <v>022FRUITY BUBBLES</v>
      </c>
      <c r="H6049" s="5">
        <v>8925</v>
      </c>
      <c r="I6049" s="6">
        <v>2641.14</v>
      </c>
      <c r="J6049" s="5">
        <v>19200</v>
      </c>
      <c r="K6049" s="6">
        <f t="shared" si="247"/>
        <v>3.3792226084190919</v>
      </c>
    </row>
    <row r="6050" spans="1:11" hidden="1">
      <c r="A6050" s="4">
        <v>2026</v>
      </c>
      <c r="B6050">
        <v>4</v>
      </c>
      <c r="C6050" t="s">
        <v>10</v>
      </c>
      <c r="D6050" t="s">
        <v>11</v>
      </c>
      <c r="E6050" t="s">
        <v>43</v>
      </c>
      <c r="F6050" t="s">
        <v>28</v>
      </c>
      <c r="G6050" t="str">
        <f t="shared" si="246"/>
        <v>022GOOD PEACH</v>
      </c>
      <c r="H6050" s="5">
        <v>3510</v>
      </c>
      <c r="I6050" s="6">
        <v>880.38</v>
      </c>
      <c r="J6050" s="5">
        <v>6400</v>
      </c>
      <c r="K6050" s="6">
        <f t="shared" si="247"/>
        <v>3.9869147413616846</v>
      </c>
    </row>
    <row r="6051" spans="1:11" hidden="1">
      <c r="A6051" s="4">
        <v>2026</v>
      </c>
      <c r="B6051">
        <v>4</v>
      </c>
      <c r="C6051" t="s">
        <v>10</v>
      </c>
      <c r="D6051" t="s">
        <v>11</v>
      </c>
      <c r="E6051" t="s">
        <v>43</v>
      </c>
      <c r="F6051" t="s">
        <v>44</v>
      </c>
      <c r="G6051" t="str">
        <f t="shared" si="246"/>
        <v>022MIRABEL</v>
      </c>
      <c r="H6051" s="5">
        <v>2560</v>
      </c>
      <c r="I6051" s="6">
        <v>880.38</v>
      </c>
      <c r="J6051" s="5">
        <v>6400</v>
      </c>
      <c r="K6051" s="6">
        <f t="shared" si="247"/>
        <v>2.9078352529589497</v>
      </c>
    </row>
    <row r="6052" spans="1:11" hidden="1">
      <c r="A6052" s="4">
        <v>2026</v>
      </c>
      <c r="B6052">
        <v>4</v>
      </c>
      <c r="C6052" t="s">
        <v>10</v>
      </c>
      <c r="D6052" t="s">
        <v>11</v>
      </c>
      <c r="E6052" t="s">
        <v>47</v>
      </c>
      <c r="F6052" t="s">
        <v>44</v>
      </c>
      <c r="G6052" t="str">
        <f t="shared" si="246"/>
        <v>030MIRABEL</v>
      </c>
      <c r="H6052" s="5">
        <v>6180</v>
      </c>
      <c r="I6052" s="6">
        <v>2413.6749943750001</v>
      </c>
      <c r="J6052" s="5">
        <v>17600</v>
      </c>
      <c r="K6052" s="6">
        <f t="shared" si="247"/>
        <v>2.5604109975047642</v>
      </c>
    </row>
    <row r="6053" spans="1:11" hidden="1">
      <c r="A6053" s="4">
        <v>2026</v>
      </c>
      <c r="B6053">
        <v>4</v>
      </c>
      <c r="C6053" t="s">
        <v>10</v>
      </c>
      <c r="D6053" t="s">
        <v>11</v>
      </c>
      <c r="E6053" t="s">
        <v>47</v>
      </c>
      <c r="F6053" t="s">
        <v>13</v>
      </c>
      <c r="G6053" t="str">
        <f t="shared" si="246"/>
        <v>030SOMERSET</v>
      </c>
      <c r="H6053" s="5">
        <v>4860</v>
      </c>
      <c r="I6053" s="6">
        <v>1645.6875</v>
      </c>
      <c r="J6053" s="5">
        <v>12000</v>
      </c>
      <c r="K6053" s="6">
        <f t="shared" si="247"/>
        <v>2.9531730659678708</v>
      </c>
    </row>
    <row r="6054" spans="1:11" hidden="1">
      <c r="A6054" s="4">
        <v>2026</v>
      </c>
      <c r="B6054">
        <v>4</v>
      </c>
      <c r="C6054" t="s">
        <v>10</v>
      </c>
      <c r="D6054" t="s">
        <v>11</v>
      </c>
      <c r="E6054" t="s">
        <v>48</v>
      </c>
      <c r="F6054" t="s">
        <v>49</v>
      </c>
      <c r="G6054" t="str">
        <f t="shared" si="246"/>
        <v>03182989</v>
      </c>
      <c r="H6054" s="5">
        <v>1180</v>
      </c>
      <c r="I6054" s="6">
        <v>726.32013058333712</v>
      </c>
      <c r="J6054" s="5">
        <v>5712</v>
      </c>
      <c r="K6054" s="6">
        <f t="shared" si="247"/>
        <v>1.6246279709365816</v>
      </c>
    </row>
    <row r="6055" spans="1:11" hidden="1">
      <c r="A6055" s="4">
        <v>2026</v>
      </c>
      <c r="B6055">
        <v>4</v>
      </c>
      <c r="C6055" t="s">
        <v>10</v>
      </c>
      <c r="D6055" t="s">
        <v>11</v>
      </c>
      <c r="E6055" t="s">
        <v>48</v>
      </c>
      <c r="F6055" t="s">
        <v>34</v>
      </c>
      <c r="G6055" t="str">
        <f t="shared" si="246"/>
        <v>031RUBICON</v>
      </c>
      <c r="H6055" s="5">
        <v>2610</v>
      </c>
      <c r="I6055" s="6">
        <v>924.39958333667107</v>
      </c>
      <c r="J6055" s="5">
        <v>6720</v>
      </c>
      <c r="K6055" s="6">
        <f t="shared" si="247"/>
        <v>2.823454323269015</v>
      </c>
    </row>
    <row r="6056" spans="1:11" hidden="1">
      <c r="A6056" s="4">
        <v>2026</v>
      </c>
      <c r="B6056">
        <v>4</v>
      </c>
      <c r="C6056" t="s">
        <v>10</v>
      </c>
      <c r="D6056" t="s">
        <v>11</v>
      </c>
      <c r="E6056" t="s">
        <v>48</v>
      </c>
      <c r="F6056" t="s">
        <v>13</v>
      </c>
      <c r="G6056" t="str">
        <f t="shared" si="246"/>
        <v>031SOMERSET</v>
      </c>
      <c r="H6056" s="5">
        <v>540</v>
      </c>
      <c r="I6056" s="6">
        <v>1122.485208333339</v>
      </c>
      <c r="J6056" s="5">
        <v>8160</v>
      </c>
      <c r="K6056" s="6">
        <f t="shared" si="247"/>
        <v>0.48107538165406172</v>
      </c>
    </row>
    <row r="6057" spans="1:11" hidden="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50</v>
      </c>
      <c r="G6057" t="str">
        <f t="shared" si="246"/>
        <v>031VELVET BLOSSOMS</v>
      </c>
      <c r="H6057" s="5">
        <v>1040</v>
      </c>
      <c r="I6057" s="6">
        <v>396.17125000000198</v>
      </c>
      <c r="J6057" s="5">
        <v>2880</v>
      </c>
      <c r="K6057" s="6">
        <f t="shared" si="247"/>
        <v>2.6251273912480899</v>
      </c>
    </row>
    <row r="6058" spans="1:11" hidden="1">
      <c r="A6058" s="4">
        <v>2026</v>
      </c>
      <c r="B6058">
        <v>4</v>
      </c>
      <c r="C6058" t="s">
        <v>10</v>
      </c>
      <c r="D6058" t="s">
        <v>11</v>
      </c>
      <c r="E6058" t="s">
        <v>51</v>
      </c>
      <c r="F6058" t="s">
        <v>17</v>
      </c>
      <c r="G6058" t="str">
        <f t="shared" si="246"/>
        <v>032ELBA</v>
      </c>
      <c r="H6058" s="5">
        <v>4740</v>
      </c>
      <c r="I6058" s="6">
        <v>1535.9749999999999</v>
      </c>
      <c r="J6058" s="5">
        <v>11200</v>
      </c>
      <c r="K6058" s="6">
        <f t="shared" si="247"/>
        <v>3.0859877276648384</v>
      </c>
    </row>
    <row r="6059" spans="1:11" hidden="1">
      <c r="A6059" s="4">
        <v>2026</v>
      </c>
      <c r="B6059">
        <v>4</v>
      </c>
      <c r="C6059" t="s">
        <v>10</v>
      </c>
      <c r="D6059" t="s">
        <v>11</v>
      </c>
      <c r="E6059" t="s">
        <v>51</v>
      </c>
      <c r="F6059" t="s">
        <v>44</v>
      </c>
      <c r="G6059" t="str">
        <f t="shared" si="246"/>
        <v>032MIRABEL</v>
      </c>
      <c r="H6059" s="5">
        <v>4720</v>
      </c>
      <c r="I6059" s="6">
        <v>1535.9749999999999</v>
      </c>
      <c r="J6059" s="5">
        <v>11200</v>
      </c>
      <c r="K6059" s="6">
        <f t="shared" si="247"/>
        <v>3.07296668240043</v>
      </c>
    </row>
    <row r="6060" spans="1:11" hidden="1">
      <c r="A6060" s="4">
        <v>2026</v>
      </c>
      <c r="B6060">
        <v>4</v>
      </c>
      <c r="C6060" t="s">
        <v>10</v>
      </c>
      <c r="D6060" t="s">
        <v>11</v>
      </c>
      <c r="E6060" t="s">
        <v>52</v>
      </c>
      <c r="F6060" t="s">
        <v>53</v>
      </c>
      <c r="G6060" t="str">
        <f t="shared" si="246"/>
        <v>033CREAMY FOLIES</v>
      </c>
      <c r="H6060" s="5">
        <v>870</v>
      </c>
      <c r="I6060" s="6">
        <v>594.25687500000299</v>
      </c>
      <c r="J6060" s="5">
        <v>4320</v>
      </c>
      <c r="K6060" s="6">
        <f t="shared" si="247"/>
        <v>1.4640133528114347</v>
      </c>
    </row>
    <row r="6061" spans="1:11" hidden="1">
      <c r="A6061" s="4">
        <v>2026</v>
      </c>
      <c r="B6061">
        <v>4</v>
      </c>
      <c r="C6061" t="s">
        <v>10</v>
      </c>
      <c r="D6061" t="s">
        <v>11</v>
      </c>
      <c r="E6061" t="s">
        <v>52</v>
      </c>
      <c r="F6061" t="s">
        <v>18</v>
      </c>
      <c r="G6061" t="str">
        <f t="shared" si="246"/>
        <v>033HOT BUBBLES</v>
      </c>
      <c r="H6061" s="5">
        <v>6500</v>
      </c>
      <c r="I6061" s="6">
        <v>2575.1131250013459</v>
      </c>
      <c r="J6061" s="5">
        <v>18720</v>
      </c>
      <c r="K6061" s="6">
        <f t="shared" si="247"/>
        <v>2.5241609531218567</v>
      </c>
    </row>
    <row r="6062" spans="1:11" hidden="1">
      <c r="A6062" s="4">
        <v>2026</v>
      </c>
      <c r="B6062">
        <v>4</v>
      </c>
      <c r="C6062" t="s">
        <v>54</v>
      </c>
      <c r="D6062" t="s">
        <v>11</v>
      </c>
      <c r="E6062" t="s">
        <v>55</v>
      </c>
      <c r="F6062" t="s">
        <v>56</v>
      </c>
      <c r="G6062" t="str">
        <f t="shared" si="246"/>
        <v>001BELIEVE IN PINK</v>
      </c>
      <c r="H6062" s="5">
        <v>2310</v>
      </c>
      <c r="I6062" s="6">
        <v>528.37931032368999</v>
      </c>
      <c r="J6062" s="5">
        <v>4000</v>
      </c>
      <c r="K6062" s="6">
        <f t="shared" ref="K6062:K6067" si="248">IFERROR(H6062/I6062,"")</f>
        <v>4.3718592966573064</v>
      </c>
    </row>
    <row r="6063" spans="1:11" hidden="1">
      <c r="A6063" s="4">
        <v>2026</v>
      </c>
      <c r="B6063">
        <v>4</v>
      </c>
      <c r="C6063" t="s">
        <v>54</v>
      </c>
      <c r="D6063" t="s">
        <v>11</v>
      </c>
      <c r="E6063" t="s">
        <v>55</v>
      </c>
      <c r="F6063" t="s">
        <v>57</v>
      </c>
      <c r="G6063" t="str">
        <f t="shared" si="246"/>
        <v>001EXPLORER</v>
      </c>
      <c r="H6063" s="5">
        <v>6225</v>
      </c>
      <c r="I6063" s="6">
        <v>2272.0310343918732</v>
      </c>
      <c r="J6063" s="5">
        <v>17200</v>
      </c>
      <c r="K6063" s="6">
        <f t="shared" si="248"/>
        <v>2.7398393357184796</v>
      </c>
    </row>
    <row r="6064" spans="1:11" hidden="1">
      <c r="A6064" s="4">
        <v>2026</v>
      </c>
      <c r="B6064">
        <v>4</v>
      </c>
      <c r="C6064" t="s">
        <v>54</v>
      </c>
      <c r="D6064" t="s">
        <v>11</v>
      </c>
      <c r="E6064" t="s">
        <v>55</v>
      </c>
      <c r="F6064" t="s">
        <v>58</v>
      </c>
      <c r="G6064" t="str">
        <f t="shared" si="246"/>
        <v>001GRACE KELLY</v>
      </c>
      <c r="H6064" s="5">
        <v>2670</v>
      </c>
      <c r="I6064" s="6">
        <v>1162.4344827121224</v>
      </c>
      <c r="J6064" s="5">
        <v>8800</v>
      </c>
      <c r="K6064" s="6">
        <f t="shared" si="248"/>
        <v>2.2969036446428501</v>
      </c>
    </row>
    <row r="6065" spans="1:11" hidden="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60</v>
      </c>
      <c r="G6065" t="str">
        <f t="shared" si="246"/>
        <v>001LIGHT HOUSE</v>
      </c>
      <c r="H6065" s="5">
        <v>3900</v>
      </c>
      <c r="I6065" s="6">
        <v>1056.7586206473827</v>
      </c>
      <c r="J6065" s="5">
        <v>8000</v>
      </c>
      <c r="K6065" s="6">
        <f t="shared" si="248"/>
        <v>3.6905305751003139</v>
      </c>
    </row>
    <row r="6066" spans="1:11" hidden="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61</v>
      </c>
      <c r="G6066" t="str">
        <f t="shared" si="246"/>
        <v>001LUMIA</v>
      </c>
      <c r="H6066" s="5">
        <v>6330</v>
      </c>
      <c r="I6066" s="6">
        <v>1109.596551679753</v>
      </c>
      <c r="J6066" s="5">
        <v>8400</v>
      </c>
      <c r="K6066" s="6">
        <f t="shared" si="248"/>
        <v>5.7047762003382081</v>
      </c>
    </row>
    <row r="6067" spans="1:11" hidden="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62</v>
      </c>
      <c r="G6067" t="str">
        <f t="shared" si="246"/>
        <v>001MOMENTUM</v>
      </c>
      <c r="H6067" s="5">
        <v>5675</v>
      </c>
      <c r="I6067" s="6">
        <v>1902.1655171652881</v>
      </c>
      <c r="J6067" s="5">
        <v>14400</v>
      </c>
      <c r="K6067" s="6">
        <f t="shared" si="248"/>
        <v>2.9834417398424917</v>
      </c>
    </row>
    <row r="6068" spans="1:11" hidden="1">
      <c r="A6068" s="4">
        <v>2026</v>
      </c>
      <c r="B6068">
        <v>4</v>
      </c>
      <c r="C6068" t="s">
        <v>54</v>
      </c>
      <c r="D6068" t="s">
        <v>11</v>
      </c>
      <c r="E6068" t="s">
        <v>12</v>
      </c>
      <c r="F6068" t="s">
        <v>63</v>
      </c>
      <c r="G6068" t="str">
        <f t="shared" si="246"/>
        <v>002SUMMER ROMANCE</v>
      </c>
      <c r="H6068" s="5">
        <v>1425</v>
      </c>
      <c r="I6068" s="6">
        <v>951.10714281909407</v>
      </c>
      <c r="J6068" s="5">
        <v>7200</v>
      </c>
      <c r="K6068" s="6">
        <f t="shared" si="247"/>
        <v>1.4982539146707292</v>
      </c>
    </row>
    <row r="6069" spans="1:11" hidden="1">
      <c r="A6069" s="4">
        <v>2026</v>
      </c>
      <c r="B6069">
        <v>4</v>
      </c>
      <c r="C6069" t="s">
        <v>54</v>
      </c>
      <c r="D6069" t="s">
        <v>11</v>
      </c>
      <c r="E6069" t="s">
        <v>12</v>
      </c>
      <c r="F6069" t="s">
        <v>64</v>
      </c>
      <c r="G6069" t="str">
        <f t="shared" si="246"/>
        <v>002SWEETNESS</v>
      </c>
      <c r="H6069" s="5">
        <v>12000</v>
      </c>
      <c r="I6069" s="6">
        <v>3804.4285712763772</v>
      </c>
      <c r="J6069" s="5">
        <v>28800</v>
      </c>
      <c r="K6069" s="6">
        <f t="shared" si="247"/>
        <v>3.1542187677278504</v>
      </c>
    </row>
    <row r="6070" spans="1:11" hidden="1">
      <c r="A6070" s="4">
        <v>2026</v>
      </c>
      <c r="B6070">
        <v>4</v>
      </c>
      <c r="C6070" t="s">
        <v>54</v>
      </c>
      <c r="D6070" t="s">
        <v>11</v>
      </c>
      <c r="E6070" t="s">
        <v>65</v>
      </c>
      <c r="F6070" t="s">
        <v>66</v>
      </c>
      <c r="G6070" t="str">
        <f t="shared" si="246"/>
        <v>003CABARET</v>
      </c>
      <c r="H6070" s="5">
        <v>10440</v>
      </c>
      <c r="I6070" s="6">
        <v>2641.8965516184649</v>
      </c>
      <c r="J6070" s="5">
        <v>20000</v>
      </c>
      <c r="K6070" s="6">
        <f t="shared" si="247"/>
        <v>3.951706585030478</v>
      </c>
    </row>
    <row r="6071" spans="1:11" hidden="1">
      <c r="A6071" s="4">
        <v>2026</v>
      </c>
      <c r="B6071">
        <v>4</v>
      </c>
      <c r="C6071" t="s">
        <v>54</v>
      </c>
      <c r="D6071" t="s">
        <v>11</v>
      </c>
      <c r="E6071" t="s">
        <v>65</v>
      </c>
      <c r="F6071" t="s">
        <v>67</v>
      </c>
      <c r="G6071" t="str">
        <f t="shared" si="246"/>
        <v>003DEEP PURPLE</v>
      </c>
      <c r="H6071" s="5">
        <v>16830</v>
      </c>
      <c r="I6071" s="6">
        <v>3592.9793102010913</v>
      </c>
      <c r="J6071" s="5">
        <v>26044</v>
      </c>
      <c r="K6071" s="6">
        <f t="shared" si="247"/>
        <v>4.6841349607042577</v>
      </c>
    </row>
    <row r="6072" spans="1:11" hidden="1">
      <c r="A6072" s="4">
        <v>2026</v>
      </c>
      <c r="B6072">
        <v>4</v>
      </c>
      <c r="C6072" t="s">
        <v>54</v>
      </c>
      <c r="D6072" t="s">
        <v>11</v>
      </c>
      <c r="E6072" t="s">
        <v>65</v>
      </c>
      <c r="F6072" t="s">
        <v>57</v>
      </c>
      <c r="G6072" t="str">
        <f t="shared" si="246"/>
        <v>003EXPLORER</v>
      </c>
      <c r="H6072" s="5">
        <v>3125</v>
      </c>
      <c r="I6072" s="6">
        <v>1268.1103447768633</v>
      </c>
      <c r="J6072" s="5">
        <v>9600</v>
      </c>
      <c r="K6072" s="6">
        <f t="shared" si="247"/>
        <v>2.4642965912795822</v>
      </c>
    </row>
    <row r="6073" spans="1:11" hidden="1">
      <c r="A6073" s="4">
        <v>2026</v>
      </c>
      <c r="B6073">
        <v>4</v>
      </c>
      <c r="C6073" t="s">
        <v>54</v>
      </c>
      <c r="D6073" t="s">
        <v>11</v>
      </c>
      <c r="E6073" t="s">
        <v>65</v>
      </c>
      <c r="F6073" t="s">
        <v>68</v>
      </c>
      <c r="G6073" t="str">
        <f t="shared" si="246"/>
        <v>003JOCKER</v>
      </c>
      <c r="H6073" s="5">
        <v>1500</v>
      </c>
      <c r="I6073" s="6">
        <v>528.37931032368999</v>
      </c>
      <c r="J6073" s="5">
        <v>4000</v>
      </c>
      <c r="K6073" s="6">
        <f t="shared" si="247"/>
        <v>2.838869673154095</v>
      </c>
    </row>
    <row r="6074" spans="1:11" hidden="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69</v>
      </c>
      <c r="G6074" t="str">
        <f t="shared" si="246"/>
        <v>003QUICKSAND</v>
      </c>
      <c r="H6074" s="5">
        <v>2730</v>
      </c>
      <c r="I6074" s="6">
        <v>1162.4344827121247</v>
      </c>
      <c r="J6074" s="5">
        <v>8800</v>
      </c>
      <c r="K6074" s="6">
        <f t="shared" si="247"/>
        <v>2.3485194568820105</v>
      </c>
    </row>
    <row r="6075" spans="1:11" hidden="1">
      <c r="A6075" s="4">
        <v>2026</v>
      </c>
      <c r="B6075">
        <v>4</v>
      </c>
      <c r="C6075" t="s">
        <v>54</v>
      </c>
      <c r="D6075" t="s">
        <v>11</v>
      </c>
      <c r="E6075" t="s">
        <v>14</v>
      </c>
      <c r="F6075" t="s">
        <v>70</v>
      </c>
      <c r="G6075" t="str">
        <f t="shared" si="246"/>
        <v>004COTOPAXI</v>
      </c>
      <c r="H6075" s="5">
        <v>1860</v>
      </c>
      <c r="I6075" s="6">
        <v>528.3915024419166</v>
      </c>
      <c r="J6075" s="5">
        <v>4000</v>
      </c>
      <c r="K6075" s="6">
        <f t="shared" si="247"/>
        <v>3.5201171695687146</v>
      </c>
    </row>
    <row r="6076" spans="1:11" hidden="1">
      <c r="A6076" s="4">
        <v>2026</v>
      </c>
      <c r="B6076">
        <v>4</v>
      </c>
      <c r="C6076" t="s">
        <v>54</v>
      </c>
      <c r="D6076" t="s">
        <v>11</v>
      </c>
      <c r="E6076" t="s">
        <v>14</v>
      </c>
      <c r="F6076" t="s">
        <v>67</v>
      </c>
      <c r="G6076" t="str">
        <f t="shared" si="246"/>
        <v>004DEEP PURPLE</v>
      </c>
      <c r="H6076" s="5">
        <v>21360</v>
      </c>
      <c r="I6076" s="6">
        <v>3910.1071427007282</v>
      </c>
      <c r="J6076" s="5">
        <v>29260</v>
      </c>
      <c r="K6076" s="6">
        <f t="shared" si="247"/>
        <v>5.4627659090810878</v>
      </c>
    </row>
    <row r="6077" spans="1:11" hidden="1">
      <c r="A6077" s="4">
        <v>2026</v>
      </c>
      <c r="B6077">
        <v>4</v>
      </c>
      <c r="C6077" t="s">
        <v>54</v>
      </c>
      <c r="D6077" t="s">
        <v>11</v>
      </c>
      <c r="E6077" t="s">
        <v>14</v>
      </c>
      <c r="F6077" t="s">
        <v>71</v>
      </c>
      <c r="G6077" t="str">
        <f t="shared" si="246"/>
        <v>004HOT EXPLORER</v>
      </c>
      <c r="H6077" s="5">
        <v>3275</v>
      </c>
      <c r="I6077" s="6">
        <v>1902.2142856381945</v>
      </c>
      <c r="J6077" s="5">
        <v>14400</v>
      </c>
      <c r="K6077" s="6">
        <f t="shared" si="247"/>
        <v>1.7216777440514461</v>
      </c>
    </row>
    <row r="6078" spans="1:11" hidden="1">
      <c r="A6078" s="4">
        <v>2026</v>
      </c>
      <c r="B6078">
        <v>4</v>
      </c>
      <c r="C6078" t="s">
        <v>54</v>
      </c>
      <c r="D6078" t="s">
        <v>11</v>
      </c>
      <c r="E6078" t="s">
        <v>14</v>
      </c>
      <c r="F6078" t="s">
        <v>72</v>
      </c>
      <c r="G6078" t="str">
        <f t="shared" si="246"/>
        <v>004HOT MERENGUE</v>
      </c>
      <c r="H6078" s="5">
        <v>4080</v>
      </c>
      <c r="I6078" s="6">
        <v>1162.4642856677858</v>
      </c>
      <c r="J6078" s="5">
        <v>8800</v>
      </c>
      <c r="K6078" s="6">
        <f t="shared" si="247"/>
        <v>3.5097852469989776</v>
      </c>
    </row>
    <row r="6079" spans="1:11" hidden="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64</v>
      </c>
      <c r="G6079" t="str">
        <f t="shared" ref="G6079:G6141" si="249">+E6079&amp;F6079</f>
        <v>004SWEETNESS</v>
      </c>
      <c r="H6079" s="5">
        <v>840</v>
      </c>
      <c r="I6079" s="6">
        <v>317.03571427303262</v>
      </c>
      <c r="J6079" s="5">
        <v>2400</v>
      </c>
      <c r="K6079" s="6">
        <f t="shared" si="247"/>
        <v>2.649543764891384</v>
      </c>
    </row>
    <row r="6080" spans="1:11" hidden="1">
      <c r="A6080" s="4">
        <v>2026</v>
      </c>
      <c r="B6080">
        <v>4</v>
      </c>
      <c r="C6080" t="s">
        <v>54</v>
      </c>
      <c r="D6080" t="s">
        <v>11</v>
      </c>
      <c r="E6080" t="s">
        <v>16</v>
      </c>
      <c r="F6080" t="s">
        <v>57</v>
      </c>
      <c r="G6080" t="str">
        <f t="shared" si="249"/>
        <v>005EXPLORER</v>
      </c>
      <c r="H6080" s="5">
        <v>3800</v>
      </c>
      <c r="I6080" s="6">
        <v>951.10714281875391</v>
      </c>
      <c r="J6080" s="5">
        <v>7200</v>
      </c>
      <c r="K6080" s="6">
        <f t="shared" si="247"/>
        <v>3.9953437724567067</v>
      </c>
    </row>
    <row r="6081" spans="1:11" hidden="1">
      <c r="A6081" s="4">
        <v>2026</v>
      </c>
      <c r="B6081">
        <v>4</v>
      </c>
      <c r="C6081" t="s">
        <v>54</v>
      </c>
      <c r="D6081" t="s">
        <v>11</v>
      </c>
      <c r="E6081" t="s">
        <v>16</v>
      </c>
      <c r="F6081" t="s">
        <v>73</v>
      </c>
      <c r="G6081" t="str">
        <f t="shared" si="249"/>
        <v>005GOLDFINCH</v>
      </c>
      <c r="H6081" s="5">
        <v>2500</v>
      </c>
      <c r="I6081" s="6">
        <v>898.26785710660101</v>
      </c>
      <c r="J6081" s="5">
        <v>6800</v>
      </c>
      <c r="K6081" s="6">
        <f t="shared" si="247"/>
        <v>2.7831342068196872</v>
      </c>
    </row>
    <row r="6082" spans="1:11" hidden="1">
      <c r="A6082" s="4">
        <v>2026</v>
      </c>
      <c r="B6082">
        <v>4</v>
      </c>
      <c r="C6082" t="s">
        <v>54</v>
      </c>
      <c r="D6082" t="s">
        <v>11</v>
      </c>
      <c r="E6082" t="s">
        <v>16</v>
      </c>
      <c r="F6082" t="s">
        <v>68</v>
      </c>
      <c r="G6082" t="str">
        <f t="shared" si="249"/>
        <v>005JOCKER</v>
      </c>
      <c r="H6082" s="5">
        <v>3725</v>
      </c>
      <c r="I6082" s="6">
        <v>1162.4642856673661</v>
      </c>
      <c r="J6082" s="5">
        <v>8800</v>
      </c>
      <c r="K6082" s="6">
        <f t="shared" si="247"/>
        <v>3.2043995208519394</v>
      </c>
    </row>
    <row r="6083" spans="1:11" hidden="1">
      <c r="A6083" s="4">
        <v>2026</v>
      </c>
      <c r="B6083">
        <v>4</v>
      </c>
      <c r="C6083" t="s">
        <v>54</v>
      </c>
      <c r="D6083" t="s">
        <v>11</v>
      </c>
      <c r="E6083" t="s">
        <v>16</v>
      </c>
      <c r="F6083" t="s">
        <v>74</v>
      </c>
      <c r="G6083" t="str">
        <f t="shared" si="249"/>
        <v>005VENDELA</v>
      </c>
      <c r="H6083" s="5">
        <v>2310</v>
      </c>
      <c r="I6083" s="6">
        <v>686.91071425798896</v>
      </c>
      <c r="J6083" s="5">
        <v>5200</v>
      </c>
      <c r="K6083" s="6">
        <f t="shared" si="247"/>
        <v>3.3628824708248959</v>
      </c>
    </row>
    <row r="6084" spans="1:11" hidden="1">
      <c r="A6084" s="4">
        <v>2026</v>
      </c>
      <c r="B6084">
        <v>4</v>
      </c>
      <c r="C6084" t="s">
        <v>54</v>
      </c>
      <c r="D6084" t="s">
        <v>11</v>
      </c>
      <c r="E6084" t="s">
        <v>75</v>
      </c>
      <c r="F6084" t="s">
        <v>76</v>
      </c>
      <c r="G6084" t="str">
        <f t="shared" si="249"/>
        <v>006ATOMIC</v>
      </c>
      <c r="H6084" s="5">
        <v>3125</v>
      </c>
      <c r="I6084" s="6">
        <v>845.428571394752</v>
      </c>
      <c r="J6084" s="5">
        <v>6400</v>
      </c>
      <c r="K6084" s="6">
        <f t="shared" si="247"/>
        <v>3.6963501184310679</v>
      </c>
    </row>
    <row r="6085" spans="1:11" hidden="1">
      <c r="A6085" s="4">
        <v>2026</v>
      </c>
      <c r="B6085">
        <v>4</v>
      </c>
      <c r="C6085" t="s">
        <v>54</v>
      </c>
      <c r="D6085" t="s">
        <v>11</v>
      </c>
      <c r="E6085" t="s">
        <v>75</v>
      </c>
      <c r="F6085" t="s">
        <v>57</v>
      </c>
      <c r="G6085" t="str">
        <f t="shared" si="249"/>
        <v>006EXPLORER</v>
      </c>
      <c r="H6085" s="5">
        <v>13100</v>
      </c>
      <c r="I6085" s="6">
        <v>3910.1071427007355</v>
      </c>
      <c r="J6085" s="5">
        <v>29600</v>
      </c>
      <c r="K6085" s="6">
        <f t="shared" si="247"/>
        <v>3.3502918262622718</v>
      </c>
    </row>
    <row r="6086" spans="1:11" hidden="1">
      <c r="A6086" s="4">
        <v>2026</v>
      </c>
      <c r="B6086">
        <v>4</v>
      </c>
      <c r="C6086" t="s">
        <v>54</v>
      </c>
      <c r="D6086" t="s">
        <v>11</v>
      </c>
      <c r="E6086" t="s">
        <v>75</v>
      </c>
      <c r="F6086" t="s">
        <v>77</v>
      </c>
      <c r="G6086" t="str">
        <f t="shared" si="249"/>
        <v>006MONDIAL</v>
      </c>
      <c r="H6086" s="5">
        <v>10425</v>
      </c>
      <c r="I6086" s="6">
        <v>4015.7857141250793</v>
      </c>
      <c r="J6086" s="5">
        <v>30400</v>
      </c>
      <c r="K6086" s="6">
        <f t="shared" si="247"/>
        <v>2.5960050515970567</v>
      </c>
    </row>
    <row r="6087" spans="1:11" hidden="1">
      <c r="A6087" s="4">
        <v>2026</v>
      </c>
      <c r="B6087">
        <v>4</v>
      </c>
      <c r="C6087" t="s">
        <v>54</v>
      </c>
      <c r="D6087" t="s">
        <v>11</v>
      </c>
      <c r="E6087" t="s">
        <v>20</v>
      </c>
      <c r="F6087" t="s">
        <v>70</v>
      </c>
      <c r="G6087" t="str">
        <f t="shared" si="249"/>
        <v>007COTOPAXI</v>
      </c>
      <c r="H6087" s="5">
        <v>11850</v>
      </c>
      <c r="I6087" s="6">
        <v>2747.5751230427709</v>
      </c>
      <c r="J6087" s="5">
        <v>20800</v>
      </c>
      <c r="K6087" s="6">
        <f t="shared" si="247"/>
        <v>4.3128939043809842</v>
      </c>
    </row>
    <row r="6088" spans="1:11" hidden="1">
      <c r="A6088" s="4">
        <v>2026</v>
      </c>
      <c r="B6088">
        <v>4</v>
      </c>
      <c r="C6088" t="s">
        <v>54</v>
      </c>
      <c r="D6088" t="s">
        <v>11</v>
      </c>
      <c r="E6088" t="s">
        <v>20</v>
      </c>
      <c r="F6088" t="s">
        <v>78</v>
      </c>
      <c r="G6088" t="str">
        <f t="shared" si="249"/>
        <v>007REDIANT</v>
      </c>
      <c r="H6088" s="5">
        <v>1440</v>
      </c>
      <c r="I6088" s="6">
        <v>1056.75862064738</v>
      </c>
      <c r="J6088" s="5">
        <v>9600</v>
      </c>
      <c r="K6088" s="6">
        <f t="shared" ref="K6088:K6151" si="250">+H6088/I6088</f>
        <v>1.3626574431139657</v>
      </c>
    </row>
    <row r="6089" spans="1:11" hidden="1">
      <c r="A6089" s="4">
        <v>2026</v>
      </c>
      <c r="B6089">
        <v>4</v>
      </c>
      <c r="C6089" t="s">
        <v>54</v>
      </c>
      <c r="D6089" t="s">
        <v>11</v>
      </c>
      <c r="E6089" t="s">
        <v>20</v>
      </c>
      <c r="F6089" t="s">
        <v>63</v>
      </c>
      <c r="G6089" t="str">
        <f t="shared" si="249"/>
        <v>007SUMMER ROMANCE</v>
      </c>
      <c r="H6089" s="5">
        <v>350</v>
      </c>
      <c r="I6089" s="6">
        <v>369.86551722658481</v>
      </c>
      <c r="J6089" s="5">
        <v>3080</v>
      </c>
      <c r="K6089" s="6">
        <f t="shared" si="250"/>
        <v>0.94628989105136041</v>
      </c>
    </row>
    <row r="6090" spans="1:11" hidden="1">
      <c r="A6090" s="4">
        <v>2026</v>
      </c>
      <c r="B6090">
        <v>4</v>
      </c>
      <c r="C6090" t="s">
        <v>54</v>
      </c>
      <c r="D6090" t="s">
        <v>11</v>
      </c>
      <c r="E6090" t="s">
        <v>20</v>
      </c>
      <c r="F6090" t="s">
        <v>74</v>
      </c>
      <c r="G6090" t="str">
        <f t="shared" si="249"/>
        <v>007VENDELA</v>
      </c>
      <c r="H6090" s="5">
        <v>16530</v>
      </c>
      <c r="I6090" s="6">
        <v>3592.9793102011122</v>
      </c>
      <c r="J6090" s="5">
        <v>27820</v>
      </c>
      <c r="K6090" s="6">
        <f t="shared" si="250"/>
        <v>4.6006387938467572</v>
      </c>
    </row>
    <row r="6091" spans="1:11" hidden="1">
      <c r="A6091" s="4">
        <v>2026</v>
      </c>
      <c r="B6091">
        <v>4</v>
      </c>
      <c r="C6091" t="s">
        <v>54</v>
      </c>
      <c r="D6091" t="s">
        <v>11</v>
      </c>
      <c r="E6091" t="s">
        <v>79</v>
      </c>
      <c r="F6091" t="s">
        <v>67</v>
      </c>
      <c r="G6091" t="str">
        <f t="shared" si="249"/>
        <v>008DEEP PURPLE</v>
      </c>
      <c r="H6091" s="5">
        <v>15030</v>
      </c>
      <c r="I6091" s="6">
        <v>1585.2222221588099</v>
      </c>
      <c r="J6091" s="5">
        <v>11490</v>
      </c>
      <c r="K6091" s="6">
        <f t="shared" si="250"/>
        <v>9.4813205302734342</v>
      </c>
    </row>
    <row r="6092" spans="1:11" hidden="1">
      <c r="A6092" s="4">
        <v>2026</v>
      </c>
      <c r="B6092">
        <v>4</v>
      </c>
      <c r="C6092" t="s">
        <v>54</v>
      </c>
      <c r="D6092" t="s">
        <v>11</v>
      </c>
      <c r="E6092" t="s">
        <v>79</v>
      </c>
      <c r="F6092" t="s">
        <v>81</v>
      </c>
      <c r="G6092" t="str">
        <f t="shared" si="249"/>
        <v>008FREEDOM</v>
      </c>
      <c r="H6092" s="5">
        <v>9690</v>
      </c>
      <c r="I6092" s="6">
        <v>2219.311111022334</v>
      </c>
      <c r="J6092" s="5">
        <v>16800</v>
      </c>
      <c r="K6092" s="6">
        <f t="shared" si="250"/>
        <v>4.366219748044367</v>
      </c>
    </row>
    <row r="6093" spans="1:11" hidden="1">
      <c r="A6093" s="4">
        <v>2026</v>
      </c>
      <c r="B6093">
        <v>4</v>
      </c>
      <c r="C6093" t="s">
        <v>54</v>
      </c>
      <c r="D6093" t="s">
        <v>11</v>
      </c>
      <c r="E6093" t="s">
        <v>79</v>
      </c>
      <c r="F6093" t="s">
        <v>68</v>
      </c>
      <c r="G6093" t="str">
        <f t="shared" si="249"/>
        <v>008JOCKER</v>
      </c>
      <c r="H6093" s="5">
        <v>10400</v>
      </c>
      <c r="I6093" s="6">
        <v>2959.0814813631118</v>
      </c>
      <c r="J6093" s="5">
        <v>22400</v>
      </c>
      <c r="K6093" s="6">
        <f t="shared" si="250"/>
        <v>3.5146041315527419</v>
      </c>
    </row>
    <row r="6094" spans="1:11" hidden="1">
      <c r="A6094" s="4">
        <v>2026</v>
      </c>
      <c r="B6094">
        <v>4</v>
      </c>
      <c r="C6094" t="s">
        <v>54</v>
      </c>
      <c r="D6094" t="s">
        <v>11</v>
      </c>
      <c r="E6094" t="s">
        <v>79</v>
      </c>
      <c r="F6094" t="s">
        <v>61</v>
      </c>
      <c r="G6094" t="str">
        <f t="shared" si="249"/>
        <v>008LUMIA</v>
      </c>
      <c r="H6094" s="5">
        <v>540</v>
      </c>
      <c r="I6094" s="6">
        <v>1796.5851851133182</v>
      </c>
      <c r="J6094" s="5">
        <v>13600</v>
      </c>
      <c r="K6094" s="6">
        <f t="shared" si="250"/>
        <v>0.30057021758527969</v>
      </c>
    </row>
    <row r="6095" spans="1:11" hidden="1">
      <c r="A6095" s="4">
        <v>2026</v>
      </c>
      <c r="B6095">
        <v>4</v>
      </c>
      <c r="C6095" t="s">
        <v>54</v>
      </c>
      <c r="D6095" t="s">
        <v>11</v>
      </c>
      <c r="E6095" t="s">
        <v>82</v>
      </c>
      <c r="F6095" t="s">
        <v>83</v>
      </c>
      <c r="G6095" t="str">
        <f t="shared" si="249"/>
        <v>010COOLDOWN</v>
      </c>
      <c r="H6095" s="5">
        <v>4325</v>
      </c>
      <c r="I6095" s="6">
        <v>1912.3542857142861</v>
      </c>
      <c r="J6095" s="5">
        <v>16320</v>
      </c>
      <c r="K6095" s="6">
        <f t="shared" si="250"/>
        <v>2.2616102216564768</v>
      </c>
    </row>
    <row r="6096" spans="1:11" hidden="1">
      <c r="A6096" s="4">
        <v>2026</v>
      </c>
      <c r="B6096">
        <v>4</v>
      </c>
      <c r="C6096" t="s">
        <v>54</v>
      </c>
      <c r="D6096" t="s">
        <v>11</v>
      </c>
      <c r="E6096" t="s">
        <v>82</v>
      </c>
      <c r="F6096" t="s">
        <v>84</v>
      </c>
      <c r="G6096" t="str">
        <f t="shared" si="249"/>
        <v>010VIOLET HILL</v>
      </c>
      <c r="H6096" s="5">
        <v>6420</v>
      </c>
      <c r="I6096" s="6">
        <v>2812.2857142428579</v>
      </c>
      <c r="J6096" s="5">
        <v>20000</v>
      </c>
      <c r="K6096" s="6">
        <f t="shared" si="250"/>
        <v>2.2828405974136361</v>
      </c>
    </row>
    <row r="6097" spans="1:11" hidden="1">
      <c r="A6097" s="4">
        <v>2026</v>
      </c>
      <c r="B6097">
        <v>4</v>
      </c>
      <c r="C6097" t="s">
        <v>54</v>
      </c>
      <c r="D6097" t="s">
        <v>11</v>
      </c>
      <c r="E6097" t="s">
        <v>85</v>
      </c>
      <c r="F6097" t="s">
        <v>86</v>
      </c>
      <c r="G6097" t="str">
        <f t="shared" si="249"/>
        <v>011BRIGHTON</v>
      </c>
      <c r="H6097" s="5">
        <v>4450</v>
      </c>
      <c r="I6097" s="6">
        <v>1768.8376470588223</v>
      </c>
      <c r="J6097" s="5">
        <v>12800</v>
      </c>
      <c r="K6097" s="6">
        <f t="shared" si="250"/>
        <v>2.5157763955325949</v>
      </c>
    </row>
    <row r="6098" spans="1:11" hidden="1">
      <c r="A6098" s="4">
        <v>2026</v>
      </c>
      <c r="B6098">
        <v>4</v>
      </c>
      <c r="C6098" t="s">
        <v>54</v>
      </c>
      <c r="D6098" t="s">
        <v>11</v>
      </c>
      <c r="E6098" t="s">
        <v>85</v>
      </c>
      <c r="F6098" t="s">
        <v>87</v>
      </c>
      <c r="G6098" t="str">
        <f t="shared" si="249"/>
        <v>011CANDLELIGHT</v>
      </c>
      <c r="H6098" s="5">
        <v>5760</v>
      </c>
      <c r="I6098" s="6">
        <v>2263.7999998868127</v>
      </c>
      <c r="J6098" s="5">
        <v>17920</v>
      </c>
      <c r="K6098" s="6">
        <f t="shared" si="250"/>
        <v>2.5443943812562919</v>
      </c>
    </row>
    <row r="6099" spans="1:11" hidden="1">
      <c r="A6099" s="4">
        <v>2026</v>
      </c>
      <c r="B6099">
        <v>4</v>
      </c>
      <c r="C6099" t="s">
        <v>54</v>
      </c>
      <c r="D6099" t="s">
        <v>11</v>
      </c>
      <c r="E6099" t="s">
        <v>85</v>
      </c>
      <c r="F6099" t="s">
        <v>88</v>
      </c>
      <c r="G6099" t="str">
        <f t="shared" si="249"/>
        <v>011CAYENNE</v>
      </c>
      <c r="H6099" s="5">
        <v>2310</v>
      </c>
      <c r="I6099" s="6">
        <v>994.97117647058747</v>
      </c>
      <c r="J6099" s="5">
        <v>7200</v>
      </c>
      <c r="K6099" s="6">
        <f t="shared" si="250"/>
        <v>2.3216752953529265</v>
      </c>
    </row>
    <row r="6100" spans="1:11" hidden="1">
      <c r="A6100" s="4">
        <v>2026</v>
      </c>
      <c r="B6100">
        <v>4</v>
      </c>
      <c r="C6100" t="s">
        <v>54</v>
      </c>
      <c r="D6100" t="s">
        <v>11</v>
      </c>
      <c r="E6100" t="s">
        <v>85</v>
      </c>
      <c r="F6100" t="s">
        <v>61</v>
      </c>
      <c r="G6100" t="str">
        <f t="shared" si="249"/>
        <v>011LUMIA</v>
      </c>
      <c r="H6100" s="5">
        <v>4140</v>
      </c>
      <c r="I6100" s="6">
        <v>994.97117647058747</v>
      </c>
      <c r="J6100" s="5">
        <v>7920</v>
      </c>
      <c r="K6100" s="6">
        <f t="shared" si="250"/>
        <v>4.1609245553078429</v>
      </c>
    </row>
    <row r="6101" spans="1:11" hidden="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89</v>
      </c>
      <c r="G6101" t="str">
        <f t="shared" si="249"/>
        <v>011STARDUST</v>
      </c>
      <c r="H6101" s="5">
        <v>3050</v>
      </c>
      <c r="I6101" s="6">
        <v>2263.7999998868127</v>
      </c>
      <c r="J6101" s="5">
        <v>17920</v>
      </c>
      <c r="K6101" s="6">
        <f t="shared" si="250"/>
        <v>1.3472921636860573</v>
      </c>
    </row>
    <row r="6102" spans="1:11" hidden="1">
      <c r="A6102" s="4">
        <v>2026</v>
      </c>
      <c r="B6102">
        <v>4</v>
      </c>
      <c r="C6102" t="s">
        <v>54</v>
      </c>
      <c r="D6102" t="s">
        <v>11</v>
      </c>
      <c r="E6102" t="s">
        <v>90</v>
      </c>
      <c r="F6102" t="s">
        <v>67</v>
      </c>
      <c r="G6102" t="str">
        <f t="shared" si="249"/>
        <v>012DEEP PURPLE</v>
      </c>
      <c r="H6102" s="5">
        <v>34740</v>
      </c>
      <c r="I6102" s="6">
        <v>6727.0499997982479</v>
      </c>
      <c r="J6102" s="5">
        <v>49210</v>
      </c>
      <c r="K6102" s="6">
        <f t="shared" si="250"/>
        <v>5.1642250319295817</v>
      </c>
    </row>
    <row r="6103" spans="1:11" hidden="1">
      <c r="A6103" s="4">
        <v>2026</v>
      </c>
      <c r="B6103">
        <v>4</v>
      </c>
      <c r="C6103" t="s">
        <v>54</v>
      </c>
      <c r="D6103" t="s">
        <v>11</v>
      </c>
      <c r="E6103" t="s">
        <v>90</v>
      </c>
      <c r="F6103" t="s">
        <v>60</v>
      </c>
      <c r="G6103" t="str">
        <f t="shared" si="249"/>
        <v>012LIGHT HOUSE</v>
      </c>
      <c r="H6103" s="5">
        <v>2100</v>
      </c>
      <c r="I6103" s="6">
        <v>994.95</v>
      </c>
      <c r="J6103" s="5">
        <v>7200</v>
      </c>
      <c r="K6103" s="6">
        <f t="shared" si="250"/>
        <v>2.1106588270767372</v>
      </c>
    </row>
    <row r="6104" spans="1:11" hidden="1">
      <c r="A6104" s="4">
        <v>2026</v>
      </c>
      <c r="B6104">
        <v>4</v>
      </c>
      <c r="C6104" t="s">
        <v>54</v>
      </c>
      <c r="D6104" t="s">
        <v>11</v>
      </c>
      <c r="E6104" t="s">
        <v>91</v>
      </c>
      <c r="F6104" t="s">
        <v>92</v>
      </c>
      <c r="G6104" t="str">
        <f t="shared" si="249"/>
        <v>013COUNTRY BLUES</v>
      </c>
      <c r="H6104" s="5">
        <v>2525</v>
      </c>
      <c r="I6104" s="6">
        <v>831.6</v>
      </c>
      <c r="J6104" s="5">
        <v>6300</v>
      </c>
      <c r="K6104" s="6">
        <f t="shared" si="250"/>
        <v>3.0363155363155361</v>
      </c>
    </row>
    <row r="6105" spans="1:11" hidden="1">
      <c r="A6105" s="4">
        <v>2026</v>
      </c>
      <c r="B6105">
        <v>4</v>
      </c>
      <c r="C6105" t="s">
        <v>54</v>
      </c>
      <c r="D6105" t="s">
        <v>11</v>
      </c>
      <c r="E6105" t="s">
        <v>91</v>
      </c>
      <c r="F6105" t="s">
        <v>93</v>
      </c>
      <c r="G6105" t="str">
        <f t="shared" si="249"/>
        <v>013LORRAINE</v>
      </c>
      <c r="H6105" s="5">
        <v>5475</v>
      </c>
      <c r="I6105" s="6">
        <v>1267.2</v>
      </c>
      <c r="J6105" s="5">
        <v>9600</v>
      </c>
      <c r="K6105" s="6">
        <f t="shared" si="250"/>
        <v>4.3205492424242422</v>
      </c>
    </row>
    <row r="6106" spans="1:11" hidden="1">
      <c r="A6106" s="4">
        <v>2026</v>
      </c>
      <c r="B6106">
        <v>4</v>
      </c>
      <c r="C6106" t="s">
        <v>54</v>
      </c>
      <c r="D6106" t="s">
        <v>11</v>
      </c>
      <c r="E6106" t="s">
        <v>91</v>
      </c>
      <c r="F6106" t="s">
        <v>61</v>
      </c>
      <c r="G6106" t="str">
        <f t="shared" si="249"/>
        <v>013LUMIA</v>
      </c>
      <c r="H6106" s="5">
        <v>1650</v>
      </c>
      <c r="I6106" s="6">
        <v>316.8</v>
      </c>
      <c r="J6106" s="5">
        <v>2400</v>
      </c>
      <c r="K6106" s="6">
        <f t="shared" si="250"/>
        <v>5.208333333333333</v>
      </c>
    </row>
    <row r="6107" spans="1:11" hidden="1">
      <c r="A6107" s="4">
        <v>2026</v>
      </c>
      <c r="B6107">
        <v>4</v>
      </c>
      <c r="C6107" t="s">
        <v>54</v>
      </c>
      <c r="D6107" t="s">
        <v>11</v>
      </c>
      <c r="E6107" t="s">
        <v>91</v>
      </c>
      <c r="F6107" t="s">
        <v>74</v>
      </c>
      <c r="G6107" t="str">
        <f t="shared" si="249"/>
        <v>013VENDELA</v>
      </c>
      <c r="H6107" s="5">
        <v>14400</v>
      </c>
      <c r="I6107" s="6">
        <v>3603.6</v>
      </c>
      <c r="J6107" s="5">
        <v>27296</v>
      </c>
      <c r="K6107" s="6">
        <f t="shared" si="250"/>
        <v>3.9960039960039961</v>
      </c>
    </row>
    <row r="6108" spans="1:11" hidden="1">
      <c r="A6108" s="4">
        <v>2026</v>
      </c>
      <c r="B6108">
        <v>4</v>
      </c>
      <c r="C6108" t="s">
        <v>54</v>
      </c>
      <c r="D6108" t="s">
        <v>11</v>
      </c>
      <c r="E6108" t="s">
        <v>23</v>
      </c>
      <c r="F6108" t="s">
        <v>89</v>
      </c>
      <c r="G6108" t="str">
        <f t="shared" si="249"/>
        <v>014STARDUST</v>
      </c>
      <c r="H6108" s="5">
        <v>8850</v>
      </c>
      <c r="I6108" s="6">
        <v>3682.8</v>
      </c>
      <c r="J6108" s="5">
        <v>27900</v>
      </c>
      <c r="K6108" s="6">
        <f t="shared" si="250"/>
        <v>2.4030628869338546</v>
      </c>
    </row>
    <row r="6109" spans="1:11" hidden="1">
      <c r="A6109" s="4">
        <v>2026</v>
      </c>
      <c r="B6109">
        <v>4</v>
      </c>
      <c r="C6109" t="s">
        <v>54</v>
      </c>
      <c r="D6109" t="s">
        <v>11</v>
      </c>
      <c r="E6109" t="s">
        <v>25</v>
      </c>
      <c r="F6109" t="s">
        <v>68</v>
      </c>
      <c r="G6109" t="str">
        <f t="shared" si="249"/>
        <v>015JOCKER</v>
      </c>
      <c r="H6109" s="5">
        <v>8425</v>
      </c>
      <c r="I6109" s="6">
        <v>2376</v>
      </c>
      <c r="J6109" s="5">
        <v>18000</v>
      </c>
      <c r="K6109" s="6">
        <f t="shared" si="250"/>
        <v>3.5458754208754208</v>
      </c>
    </row>
    <row r="6110" spans="1:11" hidden="1">
      <c r="A6110" s="4">
        <v>2026</v>
      </c>
      <c r="B6110">
        <v>4</v>
      </c>
      <c r="C6110" t="s">
        <v>54</v>
      </c>
      <c r="D6110" t="s">
        <v>11</v>
      </c>
      <c r="E6110" t="s">
        <v>27</v>
      </c>
      <c r="F6110" t="s">
        <v>94</v>
      </c>
      <c r="G6110" t="str">
        <f t="shared" si="249"/>
        <v>016DREAM IN PEACH</v>
      </c>
      <c r="H6110" s="5">
        <v>2130</v>
      </c>
      <c r="I6110" s="6">
        <v>950.4</v>
      </c>
      <c r="J6110" s="5">
        <v>7200</v>
      </c>
      <c r="K6110" s="6">
        <f t="shared" si="250"/>
        <v>2.2411616161616164</v>
      </c>
    </row>
    <row r="6111" spans="1:11" hidden="1">
      <c r="A6111" s="4">
        <v>2026</v>
      </c>
      <c r="B6111">
        <v>4</v>
      </c>
      <c r="C6111" t="s">
        <v>54</v>
      </c>
      <c r="D6111" t="s">
        <v>11</v>
      </c>
      <c r="E6111" t="s">
        <v>27</v>
      </c>
      <c r="F6111" t="s">
        <v>95</v>
      </c>
      <c r="G6111" t="str">
        <f t="shared" si="249"/>
        <v>016NINA</v>
      </c>
      <c r="H6111" s="5">
        <v>4675</v>
      </c>
      <c r="I6111" s="6">
        <v>1346.4</v>
      </c>
      <c r="J6111" s="5">
        <v>10200</v>
      </c>
      <c r="K6111" s="6">
        <f t="shared" si="250"/>
        <v>3.4722222222222219</v>
      </c>
    </row>
    <row r="6112" spans="1:11" hidden="1">
      <c r="A6112" s="4">
        <v>2026</v>
      </c>
      <c r="B6112">
        <v>4</v>
      </c>
      <c r="C6112" t="s">
        <v>54</v>
      </c>
      <c r="D6112" t="s">
        <v>11</v>
      </c>
      <c r="E6112" t="s">
        <v>30</v>
      </c>
      <c r="F6112" t="s">
        <v>81</v>
      </c>
      <c r="G6112" t="str">
        <f t="shared" si="249"/>
        <v>017FREEDOM</v>
      </c>
      <c r="H6112" s="5">
        <v>8280</v>
      </c>
      <c r="I6112" s="6">
        <v>2851.2</v>
      </c>
      <c r="J6112" s="5">
        <v>21600</v>
      </c>
      <c r="K6112" s="6">
        <f t="shared" si="250"/>
        <v>2.9040404040404044</v>
      </c>
    </row>
    <row r="6113" spans="1:11" hidden="1">
      <c r="A6113" s="4">
        <v>2026</v>
      </c>
      <c r="B6113">
        <v>4</v>
      </c>
      <c r="C6113" t="s">
        <v>54</v>
      </c>
      <c r="D6113" t="s">
        <v>11</v>
      </c>
      <c r="E6113" t="s">
        <v>30</v>
      </c>
      <c r="F6113" t="s">
        <v>73</v>
      </c>
      <c r="G6113" t="str">
        <f t="shared" si="249"/>
        <v>017GOLDFINCH</v>
      </c>
      <c r="H6113" s="5">
        <v>4275</v>
      </c>
      <c r="I6113" s="6">
        <v>2138.4</v>
      </c>
      <c r="J6113" s="5">
        <v>16200</v>
      </c>
      <c r="K6113" s="6">
        <f t="shared" si="250"/>
        <v>1.9991582491582491</v>
      </c>
    </row>
    <row r="6114" spans="1:11" hidden="1">
      <c r="A6114" s="4">
        <v>2026</v>
      </c>
      <c r="B6114">
        <v>4</v>
      </c>
      <c r="C6114" t="s">
        <v>54</v>
      </c>
      <c r="D6114" t="s">
        <v>11</v>
      </c>
      <c r="E6114" t="s">
        <v>32</v>
      </c>
      <c r="F6114" t="s">
        <v>86</v>
      </c>
      <c r="G6114" t="str">
        <f t="shared" si="249"/>
        <v>018BRIGHTON</v>
      </c>
      <c r="H6114" s="5">
        <v>2925</v>
      </c>
      <c r="I6114" s="6">
        <v>963.6</v>
      </c>
      <c r="J6114" s="5">
        <v>7570</v>
      </c>
      <c r="K6114" s="6">
        <f t="shared" si="250"/>
        <v>3.035491905354919</v>
      </c>
    </row>
    <row r="6115" spans="1:11" hidden="1">
      <c r="A6115" s="4">
        <v>2026</v>
      </c>
      <c r="B6115">
        <v>4</v>
      </c>
      <c r="C6115" t="s">
        <v>54</v>
      </c>
      <c r="D6115" t="s">
        <v>11</v>
      </c>
      <c r="E6115" t="s">
        <v>35</v>
      </c>
      <c r="F6115" t="s">
        <v>86</v>
      </c>
      <c r="G6115" t="str">
        <f t="shared" si="249"/>
        <v>019BRIGHTON</v>
      </c>
      <c r="H6115" s="5">
        <v>9950</v>
      </c>
      <c r="I6115" s="6">
        <v>3168</v>
      </c>
      <c r="J6115" s="5">
        <v>24000</v>
      </c>
      <c r="K6115" s="6">
        <f t="shared" si="250"/>
        <v>3.1407828282828283</v>
      </c>
    </row>
    <row r="6116" spans="1:11" hidden="1">
      <c r="A6116" s="4">
        <v>2026</v>
      </c>
      <c r="B6116">
        <v>4</v>
      </c>
      <c r="C6116" t="s">
        <v>54</v>
      </c>
      <c r="D6116" t="s">
        <v>11</v>
      </c>
      <c r="E6116" t="s">
        <v>35</v>
      </c>
      <c r="F6116" t="s">
        <v>96</v>
      </c>
      <c r="G6116" t="str">
        <f t="shared" si="249"/>
        <v>019TABATHA</v>
      </c>
      <c r="H6116" s="5">
        <v>2310</v>
      </c>
      <c r="I6116" s="6">
        <v>1188</v>
      </c>
      <c r="J6116" s="5">
        <v>9000</v>
      </c>
      <c r="K6116" s="6">
        <f t="shared" si="250"/>
        <v>1.9444444444444444</v>
      </c>
    </row>
    <row r="6117" spans="1:11" hidden="1">
      <c r="A6117" s="4">
        <v>2026</v>
      </c>
      <c r="B6117">
        <v>4</v>
      </c>
      <c r="C6117" t="s">
        <v>54</v>
      </c>
      <c r="D6117" t="s">
        <v>11</v>
      </c>
      <c r="E6117" t="s">
        <v>36</v>
      </c>
      <c r="F6117" t="s">
        <v>86</v>
      </c>
      <c r="G6117" t="str">
        <f t="shared" si="249"/>
        <v>020BRIGHTON</v>
      </c>
      <c r="H6117" s="5">
        <v>7725</v>
      </c>
      <c r="I6117" s="6">
        <v>2732.4</v>
      </c>
      <c r="J6117" s="5">
        <v>20700</v>
      </c>
      <c r="K6117" s="6">
        <f t="shared" si="250"/>
        <v>2.8271848924022835</v>
      </c>
    </row>
    <row r="6118" spans="1:11" hidden="1">
      <c r="A6118" s="4">
        <v>2026</v>
      </c>
      <c r="B6118">
        <v>4</v>
      </c>
      <c r="C6118" t="s">
        <v>54</v>
      </c>
      <c r="D6118" t="s">
        <v>11</v>
      </c>
      <c r="E6118" t="s">
        <v>36</v>
      </c>
      <c r="F6118" t="s">
        <v>97</v>
      </c>
      <c r="G6118" t="str">
        <f t="shared" si="249"/>
        <v>020TYCOON</v>
      </c>
      <c r="H6118" s="5">
        <v>2250</v>
      </c>
      <c r="I6118" s="6">
        <v>673.2</v>
      </c>
      <c r="J6118" s="5">
        <v>5100</v>
      </c>
      <c r="K6118" s="6">
        <f t="shared" si="250"/>
        <v>3.3422459893048124</v>
      </c>
    </row>
    <row r="6119" spans="1:11" hidden="1">
      <c r="A6119" s="4">
        <v>2026</v>
      </c>
      <c r="B6119">
        <v>4</v>
      </c>
      <c r="C6119" t="s">
        <v>54</v>
      </c>
      <c r="D6119" t="s">
        <v>11</v>
      </c>
      <c r="E6119" t="s">
        <v>38</v>
      </c>
      <c r="F6119" t="s">
        <v>98</v>
      </c>
      <c r="G6119" t="str">
        <f t="shared" si="249"/>
        <v>021SHOW GIRL</v>
      </c>
      <c r="H6119" s="5">
        <v>1625</v>
      </c>
      <c r="I6119" s="6">
        <v>1100.4749999999999</v>
      </c>
      <c r="J6119" s="5">
        <v>8000</v>
      </c>
      <c r="K6119" s="6">
        <f t="shared" si="250"/>
        <v>1.4766350893932167</v>
      </c>
    </row>
    <row r="6120" spans="1:11" hidden="1">
      <c r="A6120" s="4">
        <v>2026</v>
      </c>
      <c r="B6120">
        <v>4</v>
      </c>
      <c r="C6120" t="s">
        <v>54</v>
      </c>
      <c r="D6120" t="s">
        <v>11</v>
      </c>
      <c r="E6120" t="s">
        <v>43</v>
      </c>
      <c r="F6120" t="s">
        <v>99</v>
      </c>
      <c r="G6120" t="str">
        <f t="shared" si="249"/>
        <v>022CORAL REEF</v>
      </c>
      <c r="H6120" s="5">
        <v>2900</v>
      </c>
      <c r="I6120" s="6">
        <v>1287</v>
      </c>
      <c r="J6120" s="5">
        <v>9400</v>
      </c>
      <c r="K6120" s="6">
        <f t="shared" si="250"/>
        <v>2.2533022533022531</v>
      </c>
    </row>
    <row r="6121" spans="1:11" hidden="1">
      <c r="A6121" s="4">
        <v>2026</v>
      </c>
      <c r="B6121">
        <v>4</v>
      </c>
      <c r="C6121" t="s">
        <v>54</v>
      </c>
      <c r="D6121" t="s">
        <v>11</v>
      </c>
      <c r="E6121" t="s">
        <v>100</v>
      </c>
      <c r="F6121" t="s">
        <v>70</v>
      </c>
      <c r="G6121" t="str">
        <f t="shared" si="249"/>
        <v>023COTOPAXI</v>
      </c>
      <c r="H6121" s="5">
        <v>11760</v>
      </c>
      <c r="I6121" s="6">
        <v>2641.14</v>
      </c>
      <c r="J6121" s="5">
        <v>19200</v>
      </c>
      <c r="K6121" s="6">
        <f t="shared" si="250"/>
        <v>4.4526227310933919</v>
      </c>
    </row>
    <row r="6122" spans="1:11" hidden="1">
      <c r="A6122" s="4">
        <v>2026</v>
      </c>
      <c r="B6122">
        <v>4</v>
      </c>
      <c r="C6122" t="s">
        <v>54</v>
      </c>
      <c r="D6122" t="s">
        <v>11</v>
      </c>
      <c r="E6122" t="s">
        <v>100</v>
      </c>
      <c r="F6122" t="s">
        <v>101</v>
      </c>
      <c r="G6122" t="str">
        <f t="shared" si="249"/>
        <v>023FRUTTETO</v>
      </c>
      <c r="H6122" s="5">
        <v>14130</v>
      </c>
      <c r="I6122" s="6">
        <v>2641.14</v>
      </c>
      <c r="J6122" s="5">
        <v>19200</v>
      </c>
      <c r="K6122" s="6">
        <f t="shared" si="250"/>
        <v>5.349962516186193</v>
      </c>
    </row>
    <row r="6123" spans="1:11" hidden="1">
      <c r="A6123" s="4">
        <v>2026</v>
      </c>
      <c r="B6123">
        <v>4</v>
      </c>
      <c r="C6123" t="s">
        <v>54</v>
      </c>
      <c r="D6123" t="s">
        <v>11</v>
      </c>
      <c r="E6123" t="s">
        <v>102</v>
      </c>
      <c r="F6123" t="s">
        <v>70</v>
      </c>
      <c r="G6123" t="str">
        <f t="shared" si="249"/>
        <v>024COTOPAXI</v>
      </c>
      <c r="H6123" s="5">
        <v>7200</v>
      </c>
      <c r="I6123" s="6">
        <v>1430.6174906250001</v>
      </c>
      <c r="J6123" s="5">
        <v>10400</v>
      </c>
      <c r="K6123" s="6">
        <f t="shared" si="250"/>
        <v>5.0327918169478725</v>
      </c>
    </row>
    <row r="6124" spans="1:11" hidden="1">
      <c r="A6124" s="4">
        <v>2026</v>
      </c>
      <c r="B6124">
        <v>4</v>
      </c>
      <c r="C6124" t="s">
        <v>54</v>
      </c>
      <c r="D6124" t="s">
        <v>11</v>
      </c>
      <c r="E6124" t="s">
        <v>102</v>
      </c>
      <c r="F6124" t="s">
        <v>64</v>
      </c>
      <c r="G6124" t="str">
        <f t="shared" si="249"/>
        <v>024SWEETNESS</v>
      </c>
      <c r="H6124" s="5">
        <v>3930</v>
      </c>
      <c r="I6124" s="6">
        <v>1430.6175000000001</v>
      </c>
      <c r="J6124" s="5">
        <v>10400</v>
      </c>
      <c r="K6124" s="6">
        <f t="shared" si="250"/>
        <v>2.7470655154155459</v>
      </c>
    </row>
    <row r="6125" spans="1:11" hidden="1">
      <c r="A6125" s="4">
        <v>2026</v>
      </c>
      <c r="B6125">
        <v>4</v>
      </c>
      <c r="C6125" t="s">
        <v>54</v>
      </c>
      <c r="D6125" t="s">
        <v>11</v>
      </c>
      <c r="E6125" t="s">
        <v>102</v>
      </c>
      <c r="F6125" t="s">
        <v>97</v>
      </c>
      <c r="G6125" t="str">
        <f t="shared" si="249"/>
        <v>024TYCOON</v>
      </c>
      <c r="H6125" s="5">
        <v>8850</v>
      </c>
      <c r="I6125" s="6">
        <v>2861.2350000000001</v>
      </c>
      <c r="J6125" s="5">
        <v>20800</v>
      </c>
      <c r="K6125" s="6">
        <f t="shared" si="250"/>
        <v>3.0930699505633057</v>
      </c>
    </row>
    <row r="6126" spans="1:11" hidden="1">
      <c r="A6126" s="4">
        <v>2026</v>
      </c>
      <c r="B6126">
        <v>4</v>
      </c>
      <c r="C6126" t="s">
        <v>54</v>
      </c>
      <c r="D6126" t="s">
        <v>11</v>
      </c>
      <c r="E6126" t="s">
        <v>103</v>
      </c>
      <c r="F6126" t="s">
        <v>104</v>
      </c>
      <c r="G6126" t="str">
        <f t="shared" si="249"/>
        <v>025PINK MONDIAL</v>
      </c>
      <c r="H6126" s="5">
        <v>6125</v>
      </c>
      <c r="I6126" s="6">
        <v>3071.9505625000002</v>
      </c>
      <c r="J6126" s="5">
        <v>22400</v>
      </c>
      <c r="K6126" s="6">
        <f t="shared" si="250"/>
        <v>1.9938471910223001</v>
      </c>
    </row>
    <row r="6127" spans="1:11" hidden="1">
      <c r="A6127" s="4">
        <v>2026</v>
      </c>
      <c r="B6127">
        <v>4</v>
      </c>
      <c r="C6127" t="s">
        <v>54</v>
      </c>
      <c r="D6127" t="s">
        <v>11</v>
      </c>
      <c r="E6127" t="s">
        <v>45</v>
      </c>
      <c r="F6127" t="s">
        <v>105</v>
      </c>
      <c r="G6127" t="str">
        <f t="shared" si="249"/>
        <v>026LOLA</v>
      </c>
      <c r="H6127" s="5">
        <v>10900</v>
      </c>
      <c r="I6127" s="6">
        <v>1097.125</v>
      </c>
      <c r="J6127" s="5">
        <v>8000</v>
      </c>
      <c r="K6127" s="6">
        <f t="shared" si="250"/>
        <v>9.9350575367437628</v>
      </c>
    </row>
    <row r="6128" spans="1:11" hidden="1">
      <c r="A6128" s="4">
        <v>2026</v>
      </c>
      <c r="B6128">
        <v>4</v>
      </c>
      <c r="C6128" t="s">
        <v>54</v>
      </c>
      <c r="D6128" t="s">
        <v>11</v>
      </c>
      <c r="E6128" t="s">
        <v>45</v>
      </c>
      <c r="F6128" t="s">
        <v>106</v>
      </c>
      <c r="G6128" t="str">
        <f t="shared" si="249"/>
        <v>026PALOMA</v>
      </c>
      <c r="H6128" s="5">
        <v>8275</v>
      </c>
      <c r="I6128" s="6">
        <v>2852.5250000000001</v>
      </c>
      <c r="J6128" s="5">
        <v>20800</v>
      </c>
      <c r="K6128" s="6">
        <f t="shared" si="250"/>
        <v>2.9009386420802623</v>
      </c>
    </row>
    <row r="6129" spans="1:11" hidden="1">
      <c r="A6129" s="4">
        <v>2026</v>
      </c>
      <c r="B6129">
        <v>4</v>
      </c>
      <c r="C6129" t="s">
        <v>54</v>
      </c>
      <c r="D6129" t="s">
        <v>11</v>
      </c>
      <c r="E6129" t="s">
        <v>107</v>
      </c>
      <c r="F6129" t="s">
        <v>108</v>
      </c>
      <c r="G6129" t="str">
        <f t="shared" si="249"/>
        <v>027SATISFACTION</v>
      </c>
      <c r="H6129" s="5">
        <v>8820</v>
      </c>
      <c r="I6129" s="6">
        <v>2633.1</v>
      </c>
      <c r="J6129" s="5">
        <v>19200</v>
      </c>
      <c r="K6129" s="6">
        <f t="shared" si="250"/>
        <v>3.3496638942691126</v>
      </c>
    </row>
    <row r="6130" spans="1:11" hidden="1">
      <c r="A6130" s="4">
        <v>2026</v>
      </c>
      <c r="B6130">
        <v>4</v>
      </c>
      <c r="C6130" t="s">
        <v>54</v>
      </c>
      <c r="D6130" t="s">
        <v>11</v>
      </c>
      <c r="E6130" t="s">
        <v>107</v>
      </c>
      <c r="F6130" t="s">
        <v>109</v>
      </c>
      <c r="G6130" t="str">
        <f t="shared" si="249"/>
        <v>027TIFFANY</v>
      </c>
      <c r="H6130" s="5">
        <v>8040</v>
      </c>
      <c r="I6130" s="6">
        <v>2633.1</v>
      </c>
      <c r="J6130" s="5">
        <v>19200</v>
      </c>
      <c r="K6130" s="6">
        <f t="shared" si="250"/>
        <v>3.053435114503817</v>
      </c>
    </row>
    <row r="6131" spans="1:11" hidden="1">
      <c r="A6131" s="4">
        <v>2026</v>
      </c>
      <c r="B6131">
        <v>4</v>
      </c>
      <c r="C6131" t="s">
        <v>54</v>
      </c>
      <c r="D6131" t="s">
        <v>11</v>
      </c>
      <c r="E6131" t="s">
        <v>110</v>
      </c>
      <c r="F6131" t="s">
        <v>70</v>
      </c>
      <c r="G6131" t="str">
        <f t="shared" si="249"/>
        <v>028COTOPAXI</v>
      </c>
      <c r="H6131" s="5">
        <v>11580</v>
      </c>
      <c r="I6131" s="6">
        <v>2852.5250000000001</v>
      </c>
      <c r="J6131" s="5">
        <v>20800</v>
      </c>
      <c r="K6131" s="6">
        <f t="shared" si="250"/>
        <v>4.0595612658960043</v>
      </c>
    </row>
    <row r="6132" spans="1:11" hidden="1">
      <c r="A6132" s="4">
        <v>2026</v>
      </c>
      <c r="B6132">
        <v>4</v>
      </c>
      <c r="C6132" t="s">
        <v>54</v>
      </c>
      <c r="D6132" t="s">
        <v>11</v>
      </c>
      <c r="E6132" t="s">
        <v>110</v>
      </c>
      <c r="F6132" t="s">
        <v>67</v>
      </c>
      <c r="G6132" t="str">
        <f t="shared" si="249"/>
        <v>028DEEP PURPLE</v>
      </c>
      <c r="H6132" s="5">
        <v>16020</v>
      </c>
      <c r="I6132" s="6">
        <v>2852.5250000000001</v>
      </c>
      <c r="J6132" s="5">
        <v>20800</v>
      </c>
      <c r="K6132" s="6">
        <f t="shared" si="250"/>
        <v>5.6160769844260781</v>
      </c>
    </row>
    <row r="6133" spans="1:11" hidden="1">
      <c r="A6133" s="4">
        <v>2026</v>
      </c>
      <c r="B6133">
        <v>4</v>
      </c>
      <c r="C6133" t="s">
        <v>54</v>
      </c>
      <c r="D6133" t="s">
        <v>11</v>
      </c>
      <c r="E6133" t="s">
        <v>111</v>
      </c>
      <c r="F6133" t="s">
        <v>112</v>
      </c>
      <c r="G6133" t="str">
        <f t="shared" si="249"/>
        <v>029PINK FLOYD</v>
      </c>
      <c r="H6133" s="5">
        <v>6700</v>
      </c>
      <c r="I6133" s="6">
        <v>3071.95</v>
      </c>
      <c r="J6133" s="5">
        <v>22400</v>
      </c>
      <c r="K6133" s="6">
        <f t="shared" si="250"/>
        <v>2.1810250817884409</v>
      </c>
    </row>
    <row r="6134" spans="1:11" hidden="1">
      <c r="A6134" s="4">
        <v>2026</v>
      </c>
      <c r="B6134">
        <v>4</v>
      </c>
      <c r="C6134" t="s">
        <v>54</v>
      </c>
      <c r="D6134" t="s">
        <v>11</v>
      </c>
      <c r="E6134" t="s">
        <v>47</v>
      </c>
      <c r="F6134" t="s">
        <v>57</v>
      </c>
      <c r="G6134" t="str">
        <f t="shared" si="249"/>
        <v>030EXPLORER</v>
      </c>
      <c r="H6134" s="5">
        <v>4125</v>
      </c>
      <c r="I6134" s="6">
        <v>1645.6875</v>
      </c>
      <c r="J6134" s="5">
        <v>12000</v>
      </c>
      <c r="K6134" s="6">
        <f t="shared" si="250"/>
        <v>2.5065512133986556</v>
      </c>
    </row>
    <row r="6135" spans="1:11" hidden="1">
      <c r="A6135" s="4">
        <v>2026</v>
      </c>
      <c r="B6135">
        <v>5</v>
      </c>
      <c r="C6135" t="s">
        <v>10</v>
      </c>
      <c r="D6135" t="s">
        <v>11</v>
      </c>
      <c r="E6135" t="s">
        <v>12</v>
      </c>
      <c r="F6135" t="s">
        <v>13</v>
      </c>
      <c r="G6135" t="str">
        <f t="shared" si="249"/>
        <v>002SOMERSET</v>
      </c>
      <c r="H6135" s="5">
        <v>15020</v>
      </c>
      <c r="I6135" s="6">
        <v>4121.4642855494085</v>
      </c>
      <c r="J6135" s="5">
        <v>31200</v>
      </c>
      <c r="K6135" s="6">
        <f t="shared" si="250"/>
        <v>3.6443358377901776</v>
      </c>
    </row>
    <row r="6136" spans="1:11" hidden="1">
      <c r="A6136" s="4">
        <v>2026</v>
      </c>
      <c r="B6136">
        <v>5</v>
      </c>
      <c r="C6136" t="s">
        <v>10</v>
      </c>
      <c r="D6136" t="s">
        <v>11</v>
      </c>
      <c r="E6136" t="s">
        <v>14</v>
      </c>
      <c r="F6136" t="s">
        <v>15</v>
      </c>
      <c r="G6136" t="str">
        <f t="shared" si="249"/>
        <v>004BELLINA</v>
      </c>
      <c r="H6136" s="5">
        <v>2520</v>
      </c>
      <c r="I6136" s="6">
        <v>1056.7857142434418</v>
      </c>
      <c r="J6136" s="5">
        <v>8000</v>
      </c>
      <c r="K6136" s="6">
        <f t="shared" si="250"/>
        <v>2.3845893884022464</v>
      </c>
    </row>
    <row r="6137" spans="1:11" hidden="1">
      <c r="A6137" s="4">
        <v>2026</v>
      </c>
      <c r="B6137">
        <v>5</v>
      </c>
      <c r="C6137" t="s">
        <v>10</v>
      </c>
      <c r="D6137" t="s">
        <v>11</v>
      </c>
      <c r="E6137" t="s">
        <v>16</v>
      </c>
      <c r="F6137" t="s">
        <v>17</v>
      </c>
      <c r="G6137" t="str">
        <f t="shared" si="249"/>
        <v>005ELBA</v>
      </c>
      <c r="H6137" s="5">
        <v>13200</v>
      </c>
      <c r="I6137" s="6">
        <v>2641.9642856076484</v>
      </c>
      <c r="J6137" s="5">
        <v>19996</v>
      </c>
      <c r="K6137" s="6">
        <f t="shared" si="250"/>
        <v>4.9962825280827055</v>
      </c>
    </row>
    <row r="6138" spans="1:11" hidden="1">
      <c r="A6138" s="4">
        <v>2026</v>
      </c>
      <c r="B6138">
        <v>5</v>
      </c>
      <c r="C6138" t="s">
        <v>10</v>
      </c>
      <c r="D6138" t="s">
        <v>11</v>
      </c>
      <c r="E6138" t="s">
        <v>16</v>
      </c>
      <c r="F6138" t="s">
        <v>18</v>
      </c>
      <c r="G6138" t="str">
        <f t="shared" si="249"/>
        <v>005HOT BUBBLES</v>
      </c>
      <c r="H6138" s="5">
        <v>2800</v>
      </c>
      <c r="I6138" s="6">
        <v>528.39285712153003</v>
      </c>
      <c r="J6138" s="5">
        <v>4000</v>
      </c>
      <c r="K6138" s="6">
        <f t="shared" si="250"/>
        <v>5.2990875297846838</v>
      </c>
    </row>
    <row r="6139" spans="1:11" hidden="1">
      <c r="A6139" s="4">
        <v>2026</v>
      </c>
      <c r="B6139">
        <v>5</v>
      </c>
      <c r="C6139" t="s">
        <v>10</v>
      </c>
      <c r="D6139" t="s">
        <v>11</v>
      </c>
      <c r="E6139" t="s">
        <v>16</v>
      </c>
      <c r="F6139" t="s">
        <v>19</v>
      </c>
      <c r="G6139" t="str">
        <f t="shared" si="249"/>
        <v>005SUSPIRO</v>
      </c>
      <c r="H6139" s="5">
        <v>14160</v>
      </c>
      <c r="I6139" s="6">
        <v>1902.2142856375078</v>
      </c>
      <c r="J6139" s="5">
        <v>14400</v>
      </c>
      <c r="K6139" s="6">
        <f t="shared" si="250"/>
        <v>7.4439562918403901</v>
      </c>
    </row>
    <row r="6140" spans="1:11" hidden="1">
      <c r="A6140" s="4">
        <v>2026</v>
      </c>
      <c r="B6140">
        <v>5</v>
      </c>
      <c r="C6140" t="s">
        <v>10</v>
      </c>
      <c r="D6140" t="s">
        <v>11</v>
      </c>
      <c r="E6140" t="s">
        <v>20</v>
      </c>
      <c r="F6140" t="s">
        <v>21</v>
      </c>
      <c r="G6140" t="str">
        <f t="shared" si="249"/>
        <v>007SNOW BUBBLES</v>
      </c>
      <c r="H6140" s="5">
        <v>2440</v>
      </c>
      <c r="I6140" s="6">
        <v>634.05652706821195</v>
      </c>
      <c r="J6140" s="5">
        <v>4800</v>
      </c>
      <c r="K6140" s="6">
        <f t="shared" si="250"/>
        <v>3.8482373350562549</v>
      </c>
    </row>
    <row r="6141" spans="1:11" hidden="1">
      <c r="A6141" s="4">
        <v>2026</v>
      </c>
      <c r="B6141">
        <v>5</v>
      </c>
      <c r="C6141" t="s">
        <v>10</v>
      </c>
      <c r="D6141" t="s">
        <v>11</v>
      </c>
      <c r="E6141" t="s">
        <v>22</v>
      </c>
      <c r="F6141" t="s">
        <v>18</v>
      </c>
      <c r="G6141" t="str">
        <f t="shared" si="249"/>
        <v>009HOT BUBBLES</v>
      </c>
      <c r="H6141" s="5">
        <v>18660</v>
      </c>
      <c r="I6141" s="6">
        <v>4487.9999999102474</v>
      </c>
      <c r="J6141" s="5">
        <v>31740</v>
      </c>
      <c r="K6141" s="6">
        <f t="shared" si="250"/>
        <v>4.1577540107783353</v>
      </c>
    </row>
    <row r="6142" spans="1:11" hidden="1">
      <c r="A6142" s="4">
        <v>2026</v>
      </c>
      <c r="B6142">
        <v>5</v>
      </c>
      <c r="C6142" t="s">
        <v>10</v>
      </c>
      <c r="D6142" t="s">
        <v>11</v>
      </c>
      <c r="E6142" t="s">
        <v>23</v>
      </c>
      <c r="F6142" t="s">
        <v>24</v>
      </c>
      <c r="G6142" t="str">
        <f t="shared" ref="G6142:G6201" si="251">+E6142&amp;F6142</f>
        <v>014FRUITY BUBBLES</v>
      </c>
      <c r="H6142" s="5">
        <v>7800</v>
      </c>
      <c r="I6142" s="6">
        <v>1702.8</v>
      </c>
      <c r="J6142" s="5">
        <v>12900</v>
      </c>
      <c r="K6142" s="6">
        <f t="shared" si="250"/>
        <v>4.5806906272022552</v>
      </c>
    </row>
    <row r="6143" spans="1:11" hidden="1">
      <c r="A6143" s="4">
        <v>2026</v>
      </c>
      <c r="B6143">
        <v>5</v>
      </c>
      <c r="C6143" t="s">
        <v>10</v>
      </c>
      <c r="D6143" t="s">
        <v>11</v>
      </c>
      <c r="E6143" t="s">
        <v>25</v>
      </c>
      <c r="F6143" t="s">
        <v>26</v>
      </c>
      <c r="G6143" t="str">
        <f t="shared" si="251"/>
        <v>015FELLINI</v>
      </c>
      <c r="H6143" s="5">
        <v>9320</v>
      </c>
      <c r="I6143" s="6">
        <v>3009.6</v>
      </c>
      <c r="J6143" s="5">
        <v>22800</v>
      </c>
      <c r="K6143" s="6">
        <f t="shared" si="250"/>
        <v>3.0967570441254653</v>
      </c>
    </row>
    <row r="6144" spans="1:11" hidden="1">
      <c r="A6144" s="4">
        <v>2026</v>
      </c>
      <c r="B6144">
        <v>5</v>
      </c>
      <c r="C6144" t="s">
        <v>10</v>
      </c>
      <c r="D6144" t="s">
        <v>11</v>
      </c>
      <c r="E6144" t="s">
        <v>27</v>
      </c>
      <c r="F6144" t="s">
        <v>28</v>
      </c>
      <c r="G6144" t="str">
        <f t="shared" si="251"/>
        <v>016GOOD PEACH</v>
      </c>
      <c r="H6144" s="5">
        <v>6090</v>
      </c>
      <c r="I6144" s="6">
        <v>1386</v>
      </c>
      <c r="J6144" s="5">
        <v>10500</v>
      </c>
      <c r="K6144" s="6">
        <f t="shared" si="250"/>
        <v>4.3939393939393936</v>
      </c>
    </row>
    <row r="6145" spans="1:11" hidden="1">
      <c r="A6145" s="4">
        <v>2026</v>
      </c>
      <c r="B6145">
        <v>5</v>
      </c>
      <c r="C6145" t="s">
        <v>10</v>
      </c>
      <c r="D6145" t="s">
        <v>11</v>
      </c>
      <c r="E6145" t="s">
        <v>27</v>
      </c>
      <c r="F6145" t="s">
        <v>29</v>
      </c>
      <c r="G6145" t="str">
        <f t="shared" si="251"/>
        <v>016GOOD YELLOW</v>
      </c>
      <c r="H6145" s="5">
        <v>6420</v>
      </c>
      <c r="I6145" s="6">
        <v>1386</v>
      </c>
      <c r="J6145" s="5">
        <v>10500</v>
      </c>
      <c r="K6145" s="6">
        <f t="shared" si="250"/>
        <v>4.6320346320346317</v>
      </c>
    </row>
    <row r="6146" spans="1:11" hidden="1">
      <c r="A6146" s="4">
        <v>2026</v>
      </c>
      <c r="B6146">
        <v>5</v>
      </c>
      <c r="C6146" t="s">
        <v>10</v>
      </c>
      <c r="D6146" t="s">
        <v>11</v>
      </c>
      <c r="E6146" t="s">
        <v>30</v>
      </c>
      <c r="F6146" t="s">
        <v>31</v>
      </c>
      <c r="G6146" t="str">
        <f t="shared" si="251"/>
        <v>017ORANGE STAR</v>
      </c>
      <c r="H6146" s="5">
        <v>2775</v>
      </c>
      <c r="I6146" s="6">
        <v>1029.5999999999999</v>
      </c>
      <c r="J6146" s="5">
        <v>7800</v>
      </c>
      <c r="K6146" s="6">
        <f t="shared" si="250"/>
        <v>2.6952214452214456</v>
      </c>
    </row>
    <row r="6147" spans="1:11" hidden="1">
      <c r="A6147" s="4">
        <v>2026</v>
      </c>
      <c r="B6147">
        <v>5</v>
      </c>
      <c r="C6147" t="s">
        <v>10</v>
      </c>
      <c r="D6147" t="s">
        <v>11</v>
      </c>
      <c r="E6147" t="s">
        <v>32</v>
      </c>
      <c r="F6147" t="s">
        <v>33</v>
      </c>
      <c r="G6147" t="str">
        <f t="shared" si="251"/>
        <v>018COSMO</v>
      </c>
      <c r="H6147" s="5">
        <v>7850</v>
      </c>
      <c r="I6147" s="6">
        <v>2653.2</v>
      </c>
      <c r="J6147" s="5">
        <v>20100</v>
      </c>
      <c r="K6147" s="6">
        <f t="shared" si="250"/>
        <v>2.9586913915272128</v>
      </c>
    </row>
    <row r="6148" spans="1:11" hidden="1">
      <c r="A6148" s="4">
        <v>2026</v>
      </c>
      <c r="B6148">
        <v>5</v>
      </c>
      <c r="C6148" t="s">
        <v>10</v>
      </c>
      <c r="D6148" t="s">
        <v>11</v>
      </c>
      <c r="E6148" t="s">
        <v>32</v>
      </c>
      <c r="F6148" t="s">
        <v>34</v>
      </c>
      <c r="G6148" t="str">
        <f t="shared" si="251"/>
        <v>018RUBICON</v>
      </c>
      <c r="H6148" s="5">
        <v>6600</v>
      </c>
      <c r="I6148" s="6">
        <v>1768.8</v>
      </c>
      <c r="J6148" s="5">
        <v>13400</v>
      </c>
      <c r="K6148" s="6">
        <f t="shared" si="250"/>
        <v>3.7313432835820897</v>
      </c>
    </row>
    <row r="6149" spans="1:11" hidden="1">
      <c r="A6149" s="4">
        <v>2026</v>
      </c>
      <c r="B6149">
        <v>5</v>
      </c>
      <c r="C6149" t="s">
        <v>10</v>
      </c>
      <c r="D6149" t="s">
        <v>11</v>
      </c>
      <c r="E6149" t="s">
        <v>35</v>
      </c>
      <c r="F6149" t="s">
        <v>15</v>
      </c>
      <c r="G6149" t="str">
        <f t="shared" si="251"/>
        <v>019BELLINA</v>
      </c>
      <c r="H6149" s="5">
        <v>4110</v>
      </c>
      <c r="I6149" s="6">
        <v>1029.5999999999999</v>
      </c>
      <c r="J6149" s="5">
        <v>7800</v>
      </c>
      <c r="K6149" s="6">
        <f t="shared" si="250"/>
        <v>3.9918414918414924</v>
      </c>
    </row>
    <row r="6150" spans="1:11" hidden="1">
      <c r="A6150" s="4">
        <v>2026</v>
      </c>
      <c r="B6150">
        <v>5</v>
      </c>
      <c r="C6150" t="s">
        <v>10</v>
      </c>
      <c r="D6150" t="s">
        <v>11</v>
      </c>
      <c r="E6150" t="s">
        <v>36</v>
      </c>
      <c r="F6150" t="s">
        <v>37</v>
      </c>
      <c r="G6150" t="str">
        <f t="shared" si="251"/>
        <v>020SUMMER DANCE</v>
      </c>
      <c r="H6150" s="5">
        <v>5700</v>
      </c>
      <c r="I6150" s="6">
        <v>1346.4</v>
      </c>
      <c r="J6150" s="5">
        <v>10200</v>
      </c>
      <c r="K6150" s="6">
        <f t="shared" si="250"/>
        <v>4.2335115864527628</v>
      </c>
    </row>
    <row r="6151" spans="1:11" hidden="1">
      <c r="A6151" s="4">
        <v>2026</v>
      </c>
      <c r="B6151">
        <v>5</v>
      </c>
      <c r="C6151" t="s">
        <v>10</v>
      </c>
      <c r="D6151" t="s">
        <v>11</v>
      </c>
      <c r="E6151" t="s">
        <v>38</v>
      </c>
      <c r="F6151" t="s">
        <v>39</v>
      </c>
      <c r="G6151" t="str">
        <f t="shared" si="251"/>
        <v>021ELEGANT ROSEVER</v>
      </c>
      <c r="H6151" s="5">
        <v>1350</v>
      </c>
      <c r="I6151" s="6">
        <v>440.18999062500001</v>
      </c>
      <c r="J6151" s="5">
        <v>3200</v>
      </c>
      <c r="K6151" s="6">
        <f t="shared" si="250"/>
        <v>3.0668575586719133</v>
      </c>
    </row>
    <row r="6152" spans="1:11" hidden="1">
      <c r="A6152" s="4">
        <v>2026</v>
      </c>
      <c r="B6152">
        <v>5</v>
      </c>
      <c r="C6152" t="s">
        <v>10</v>
      </c>
      <c r="D6152" t="s">
        <v>11</v>
      </c>
      <c r="E6152" t="s">
        <v>38</v>
      </c>
      <c r="F6152" t="s">
        <v>40</v>
      </c>
      <c r="G6152" t="str">
        <f t="shared" si="251"/>
        <v>021FLAME CLUB</v>
      </c>
      <c r="H6152" s="5">
        <v>3100</v>
      </c>
      <c r="I6152" s="6">
        <v>880.38</v>
      </c>
      <c r="J6152" s="5">
        <v>6400</v>
      </c>
      <c r="K6152" s="6">
        <f t="shared" ref="K6152:K6211" si="252">+H6152/I6152</f>
        <v>3.5212067516299781</v>
      </c>
    </row>
    <row r="6153" spans="1:11" hidden="1">
      <c r="A6153" s="4">
        <v>2026</v>
      </c>
      <c r="B6153">
        <v>5</v>
      </c>
      <c r="C6153" t="s">
        <v>10</v>
      </c>
      <c r="D6153" t="s">
        <v>11</v>
      </c>
      <c r="E6153" t="s">
        <v>38</v>
      </c>
      <c r="F6153" t="s">
        <v>41</v>
      </c>
      <c r="G6153" t="str">
        <f t="shared" si="251"/>
        <v>021KELLY</v>
      </c>
      <c r="H6153" s="5">
        <v>725</v>
      </c>
      <c r="I6153" s="6">
        <v>330.14249999999998</v>
      </c>
      <c r="J6153" s="5">
        <v>2400</v>
      </c>
      <c r="K6153" s="6">
        <f t="shared" si="252"/>
        <v>2.1960214149950401</v>
      </c>
    </row>
    <row r="6154" spans="1:11" hidden="1">
      <c r="A6154" s="4">
        <v>2026</v>
      </c>
      <c r="B6154">
        <v>5</v>
      </c>
      <c r="C6154" t="s">
        <v>10</v>
      </c>
      <c r="D6154" t="s">
        <v>11</v>
      </c>
      <c r="E6154" t="s">
        <v>38</v>
      </c>
      <c r="F6154" t="s">
        <v>42</v>
      </c>
      <c r="G6154" t="str">
        <f t="shared" si="251"/>
        <v>021LEILA</v>
      </c>
      <c r="H6154" s="5">
        <v>4725</v>
      </c>
      <c r="I6154" s="6">
        <v>1430.6175000000001</v>
      </c>
      <c r="J6154" s="5">
        <v>10400</v>
      </c>
      <c r="K6154" s="6">
        <f t="shared" si="252"/>
        <v>3.3027696082286142</v>
      </c>
    </row>
    <row r="6155" spans="1:11" hidden="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21</v>
      </c>
      <c r="G6155" t="str">
        <f t="shared" si="251"/>
        <v>021SNOW BUBBLES</v>
      </c>
      <c r="H6155" s="5">
        <v>6880</v>
      </c>
      <c r="I6155" s="6">
        <v>1287.0000000000018</v>
      </c>
      <c r="J6155" s="5">
        <v>9400</v>
      </c>
      <c r="K6155" s="6">
        <f t="shared" si="252"/>
        <v>5.3457653457653382</v>
      </c>
    </row>
    <row r="6156" spans="1:11" hidden="1">
      <c r="A6156" s="4">
        <v>2026</v>
      </c>
      <c r="B6156">
        <v>5</v>
      </c>
      <c r="C6156" t="s">
        <v>10</v>
      </c>
      <c r="D6156" t="s">
        <v>11</v>
      </c>
      <c r="E6156" t="s">
        <v>43</v>
      </c>
      <c r="F6156" t="s">
        <v>24</v>
      </c>
      <c r="G6156" t="str">
        <f t="shared" si="251"/>
        <v>022FRUITY BUBBLES</v>
      </c>
      <c r="H6156" s="5">
        <v>14725</v>
      </c>
      <c r="I6156" s="6">
        <v>2641.14</v>
      </c>
      <c r="J6156" s="5">
        <v>19200</v>
      </c>
      <c r="K6156" s="6">
        <f t="shared" si="252"/>
        <v>5.5752440234141316</v>
      </c>
    </row>
    <row r="6157" spans="1:11" hidden="1">
      <c r="A6157" s="4">
        <v>2026</v>
      </c>
      <c r="B6157">
        <v>5</v>
      </c>
      <c r="C6157" t="s">
        <v>10</v>
      </c>
      <c r="D6157" t="s">
        <v>11</v>
      </c>
      <c r="E6157" t="s">
        <v>43</v>
      </c>
      <c r="F6157" t="s">
        <v>28</v>
      </c>
      <c r="G6157" t="str">
        <f t="shared" si="251"/>
        <v>022GOOD PEACH</v>
      </c>
      <c r="H6157" s="5">
        <v>3840</v>
      </c>
      <c r="I6157" s="6">
        <v>880.38</v>
      </c>
      <c r="J6157" s="5">
        <v>6400</v>
      </c>
      <c r="K6157" s="6">
        <f t="shared" si="252"/>
        <v>4.3617528794384244</v>
      </c>
    </row>
    <row r="6158" spans="1:11" hidden="1">
      <c r="A6158" s="4">
        <v>2026</v>
      </c>
      <c r="B6158">
        <v>5</v>
      </c>
      <c r="C6158" t="s">
        <v>10</v>
      </c>
      <c r="D6158" t="s">
        <v>11</v>
      </c>
      <c r="E6158" t="s">
        <v>43</v>
      </c>
      <c r="F6158" t="s">
        <v>44</v>
      </c>
      <c r="G6158" t="str">
        <f t="shared" si="251"/>
        <v>022MIRABEL</v>
      </c>
      <c r="H6158" s="5">
        <v>3240</v>
      </c>
      <c r="I6158" s="6">
        <v>880.38</v>
      </c>
      <c r="J6158" s="5">
        <v>6400</v>
      </c>
      <c r="K6158" s="6">
        <f t="shared" si="252"/>
        <v>3.6802289920261706</v>
      </c>
    </row>
    <row r="6159" spans="1:11" hidden="1">
      <c r="A6159" s="4">
        <v>2026</v>
      </c>
      <c r="B6159">
        <v>5</v>
      </c>
      <c r="C6159" t="s">
        <v>10</v>
      </c>
      <c r="D6159" t="s">
        <v>11</v>
      </c>
      <c r="E6159" t="s">
        <v>47</v>
      </c>
      <c r="F6159" t="s">
        <v>44</v>
      </c>
      <c r="G6159" t="str">
        <f t="shared" si="251"/>
        <v>030MIRABEL</v>
      </c>
      <c r="H6159" s="5">
        <v>8720</v>
      </c>
      <c r="I6159" s="6">
        <v>2413.6749943750001</v>
      </c>
      <c r="J6159" s="5">
        <v>17600</v>
      </c>
      <c r="K6159" s="6">
        <f t="shared" si="252"/>
        <v>3.6127482035989553</v>
      </c>
    </row>
    <row r="6160" spans="1:11" hidden="1">
      <c r="A6160" s="4">
        <v>2026</v>
      </c>
      <c r="B6160">
        <v>5</v>
      </c>
      <c r="C6160" t="s">
        <v>10</v>
      </c>
      <c r="D6160" t="s">
        <v>11</v>
      </c>
      <c r="E6160" t="s">
        <v>47</v>
      </c>
      <c r="F6160" t="s">
        <v>13</v>
      </c>
      <c r="G6160" t="str">
        <f t="shared" si="251"/>
        <v>030SOMERSET</v>
      </c>
      <c r="H6160" s="5">
        <v>4600</v>
      </c>
      <c r="I6160" s="6">
        <v>1645.6875</v>
      </c>
      <c r="J6160" s="5">
        <v>12000</v>
      </c>
      <c r="K6160" s="6">
        <f t="shared" si="252"/>
        <v>2.7951843834263794</v>
      </c>
    </row>
    <row r="6161" spans="1:11" hidden="1">
      <c r="A6161" s="4">
        <v>2026</v>
      </c>
      <c r="B6161">
        <v>5</v>
      </c>
      <c r="C6161" t="s">
        <v>10</v>
      </c>
      <c r="D6161" t="s">
        <v>11</v>
      </c>
      <c r="E6161" t="s">
        <v>48</v>
      </c>
      <c r="F6161" t="s">
        <v>49</v>
      </c>
      <c r="G6161" t="str">
        <f t="shared" si="251"/>
        <v>03182989</v>
      </c>
      <c r="H6161" s="5">
        <v>1440</v>
      </c>
      <c r="I6161" s="6">
        <v>726.32013058333712</v>
      </c>
      <c r="J6161" s="5">
        <v>5712</v>
      </c>
      <c r="K6161" s="6">
        <f t="shared" si="252"/>
        <v>1.9825968458887098</v>
      </c>
    </row>
    <row r="6162" spans="1:11" hidden="1">
      <c r="A6162" s="4">
        <v>2026</v>
      </c>
      <c r="B6162">
        <v>5</v>
      </c>
      <c r="C6162" t="s">
        <v>10</v>
      </c>
      <c r="D6162" t="s">
        <v>11</v>
      </c>
      <c r="E6162" t="s">
        <v>48</v>
      </c>
      <c r="F6162" t="s">
        <v>34</v>
      </c>
      <c r="G6162" t="str">
        <f t="shared" si="251"/>
        <v>031RUBICON</v>
      </c>
      <c r="H6162" s="5">
        <v>4410</v>
      </c>
      <c r="I6162" s="6">
        <v>924.39958333667107</v>
      </c>
      <c r="J6162" s="5">
        <v>6720</v>
      </c>
      <c r="K6162" s="6">
        <f t="shared" si="252"/>
        <v>4.7706642013855767</v>
      </c>
    </row>
    <row r="6163" spans="1:11" hidden="1">
      <c r="A6163" s="4">
        <v>2026</v>
      </c>
      <c r="B6163">
        <v>5</v>
      </c>
      <c r="C6163" t="s">
        <v>10</v>
      </c>
      <c r="D6163" t="s">
        <v>11</v>
      </c>
      <c r="E6163" t="s">
        <v>48</v>
      </c>
      <c r="F6163" t="s">
        <v>13</v>
      </c>
      <c r="G6163" t="str">
        <f t="shared" si="251"/>
        <v>031SOMERSET</v>
      </c>
      <c r="H6163" s="5">
        <v>560</v>
      </c>
      <c r="I6163" s="6">
        <v>1122.485208333339</v>
      </c>
      <c r="J6163" s="5">
        <v>8160</v>
      </c>
      <c r="K6163" s="6">
        <f t="shared" si="252"/>
        <v>0.49889298838198992</v>
      </c>
    </row>
    <row r="6164" spans="1:11" hidden="1">
      <c r="A6164" s="4">
        <v>2026</v>
      </c>
      <c r="B6164">
        <v>5</v>
      </c>
      <c r="C6164" t="s">
        <v>10</v>
      </c>
      <c r="D6164" t="s">
        <v>11</v>
      </c>
      <c r="E6164" t="s">
        <v>48</v>
      </c>
      <c r="F6164" t="s">
        <v>50</v>
      </c>
      <c r="G6164" t="str">
        <f t="shared" si="251"/>
        <v>031VELVET BLOSSOMS</v>
      </c>
      <c r="H6164" s="5">
        <v>2040</v>
      </c>
      <c r="I6164" s="6">
        <v>396.17125000000198</v>
      </c>
      <c r="J6164" s="5">
        <v>2880</v>
      </c>
      <c r="K6164" s="6">
        <f t="shared" si="252"/>
        <v>5.1492883443712527</v>
      </c>
    </row>
    <row r="6165" spans="1:11" hidden="1">
      <c r="A6165" s="4">
        <v>2026</v>
      </c>
      <c r="B6165">
        <v>5</v>
      </c>
      <c r="C6165" t="s">
        <v>10</v>
      </c>
      <c r="D6165" t="s">
        <v>11</v>
      </c>
      <c r="E6165" t="s">
        <v>51</v>
      </c>
      <c r="F6165" t="s">
        <v>17</v>
      </c>
      <c r="G6165" t="str">
        <f t="shared" si="251"/>
        <v>032ELBA</v>
      </c>
      <c r="H6165" s="5">
        <v>4200</v>
      </c>
      <c r="I6165" s="6">
        <v>1535.9749999999999</v>
      </c>
      <c r="J6165" s="5">
        <v>11200</v>
      </c>
      <c r="K6165" s="6">
        <f t="shared" si="252"/>
        <v>2.734419505525806</v>
      </c>
    </row>
    <row r="6166" spans="1:11" hidden="1">
      <c r="A6166" s="4">
        <v>2026</v>
      </c>
      <c r="B6166">
        <v>5</v>
      </c>
      <c r="C6166" t="s">
        <v>10</v>
      </c>
      <c r="D6166" t="s">
        <v>11</v>
      </c>
      <c r="E6166" t="s">
        <v>51</v>
      </c>
      <c r="F6166" t="s">
        <v>44</v>
      </c>
      <c r="G6166" t="str">
        <f t="shared" si="251"/>
        <v>032MIRABEL</v>
      </c>
      <c r="H6166" s="5">
        <v>4120</v>
      </c>
      <c r="I6166" s="6">
        <v>1535.9749999999999</v>
      </c>
      <c r="J6166" s="5">
        <v>11200</v>
      </c>
      <c r="K6166" s="6">
        <f t="shared" si="252"/>
        <v>2.682335324468172</v>
      </c>
    </row>
    <row r="6167" spans="1:11" hidden="1">
      <c r="A6167" s="4">
        <v>2026</v>
      </c>
      <c r="B6167">
        <v>5</v>
      </c>
      <c r="C6167" t="s">
        <v>10</v>
      </c>
      <c r="D6167" t="s">
        <v>11</v>
      </c>
      <c r="E6167" t="s">
        <v>52</v>
      </c>
      <c r="F6167" t="s">
        <v>53</v>
      </c>
      <c r="G6167" t="str">
        <f t="shared" si="251"/>
        <v>033CREAMY FOLIES</v>
      </c>
      <c r="H6167" s="5">
        <v>1440</v>
      </c>
      <c r="I6167" s="6">
        <v>594.25687500000299</v>
      </c>
      <c r="J6167" s="5">
        <v>4320</v>
      </c>
      <c r="K6167" s="6">
        <f t="shared" si="252"/>
        <v>2.4231945149982366</v>
      </c>
    </row>
    <row r="6168" spans="1:11" hidden="1">
      <c r="A6168" s="4">
        <v>2026</v>
      </c>
      <c r="B6168">
        <v>5</v>
      </c>
      <c r="C6168" t="s">
        <v>10</v>
      </c>
      <c r="D6168" t="s">
        <v>11</v>
      </c>
      <c r="E6168" t="s">
        <v>52</v>
      </c>
      <c r="F6168" t="s">
        <v>18</v>
      </c>
      <c r="G6168" t="str">
        <f t="shared" si="251"/>
        <v>033HOT BUBBLES</v>
      </c>
      <c r="H6168" s="5">
        <v>7680</v>
      </c>
      <c r="I6168" s="6">
        <v>2575.1131250013459</v>
      </c>
      <c r="J6168" s="5">
        <v>18720</v>
      </c>
      <c r="K6168" s="6">
        <f t="shared" si="252"/>
        <v>2.9823932492270551</v>
      </c>
    </row>
    <row r="6169" spans="1:11" hidden="1">
      <c r="A6169" s="4">
        <v>2026</v>
      </c>
      <c r="B6169">
        <v>5</v>
      </c>
      <c r="C6169" t="s">
        <v>54</v>
      </c>
      <c r="D6169" t="s">
        <v>11</v>
      </c>
      <c r="E6169" t="s">
        <v>55</v>
      </c>
      <c r="F6169" t="s">
        <v>56</v>
      </c>
      <c r="G6169" t="str">
        <f t="shared" si="251"/>
        <v>001BELIEVE IN PINK</v>
      </c>
      <c r="H6169" s="5">
        <v>2160</v>
      </c>
      <c r="I6169" s="6">
        <v>528.37931032368999</v>
      </c>
      <c r="J6169" s="5">
        <v>4000</v>
      </c>
      <c r="K6169" s="6">
        <f t="shared" ref="K6169:K6174" si="253">IFERROR(H6169/I6169,"")</f>
        <v>4.0879723293418966</v>
      </c>
    </row>
    <row r="6170" spans="1:11" hidden="1">
      <c r="A6170" s="4">
        <v>2026</v>
      </c>
      <c r="B6170">
        <v>5</v>
      </c>
      <c r="C6170" t="s">
        <v>54</v>
      </c>
      <c r="D6170" t="s">
        <v>11</v>
      </c>
      <c r="E6170" t="s">
        <v>55</v>
      </c>
      <c r="F6170" t="s">
        <v>57</v>
      </c>
      <c r="G6170" t="str">
        <f t="shared" si="251"/>
        <v>001EXPLORER</v>
      </c>
      <c r="H6170" s="5">
        <v>6975</v>
      </c>
      <c r="I6170" s="6">
        <v>2272.0310343918732</v>
      </c>
      <c r="J6170" s="5">
        <v>17200</v>
      </c>
      <c r="K6170" s="6">
        <f t="shared" si="253"/>
        <v>3.0699404605038385</v>
      </c>
    </row>
    <row r="6171" spans="1:11" hidden="1">
      <c r="A6171" s="4">
        <v>2026</v>
      </c>
      <c r="B6171">
        <v>5</v>
      </c>
      <c r="C6171" t="s">
        <v>54</v>
      </c>
      <c r="D6171" t="s">
        <v>11</v>
      </c>
      <c r="E6171" t="s">
        <v>55</v>
      </c>
      <c r="F6171" t="s">
        <v>58</v>
      </c>
      <c r="G6171" t="str">
        <f t="shared" si="251"/>
        <v>001GRACE KELLY</v>
      </c>
      <c r="H6171" s="5">
        <v>4650</v>
      </c>
      <c r="I6171" s="6">
        <v>1162.4344827121224</v>
      </c>
      <c r="J6171" s="5">
        <v>8800</v>
      </c>
      <c r="K6171" s="6">
        <f t="shared" si="253"/>
        <v>4.0002254485353008</v>
      </c>
    </row>
    <row r="6172" spans="1:11" hidden="1">
      <c r="A6172" s="4">
        <v>2026</v>
      </c>
      <c r="B6172">
        <v>5</v>
      </c>
      <c r="C6172" t="s">
        <v>54</v>
      </c>
      <c r="D6172" t="s">
        <v>11</v>
      </c>
      <c r="E6172" t="s">
        <v>55</v>
      </c>
      <c r="F6172" t="s">
        <v>60</v>
      </c>
      <c r="G6172" t="str">
        <f t="shared" si="251"/>
        <v>001LIGHT HOUSE</v>
      </c>
      <c r="H6172" s="5">
        <v>4890</v>
      </c>
      <c r="I6172" s="6">
        <v>1056.7586206473827</v>
      </c>
      <c r="J6172" s="5">
        <v>8000</v>
      </c>
      <c r="K6172" s="6">
        <f t="shared" si="253"/>
        <v>4.6273575672411633</v>
      </c>
    </row>
    <row r="6173" spans="1:11" hidden="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61</v>
      </c>
      <c r="G6173" t="str">
        <f t="shared" si="251"/>
        <v>001LUMIA</v>
      </c>
      <c r="H6173" s="5">
        <v>4380</v>
      </c>
      <c r="I6173" s="6">
        <v>1109.596551679753</v>
      </c>
      <c r="J6173" s="5">
        <v>8400</v>
      </c>
      <c r="K6173" s="6">
        <f t="shared" si="253"/>
        <v>3.9473806883856799</v>
      </c>
    </row>
    <row r="6174" spans="1:11" hidden="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62</v>
      </c>
      <c r="G6174" t="str">
        <f t="shared" si="251"/>
        <v>001MOMENTUM</v>
      </c>
      <c r="H6174" s="5">
        <v>9150</v>
      </c>
      <c r="I6174" s="6">
        <v>1902.1655171652881</v>
      </c>
      <c r="J6174" s="5">
        <v>14400</v>
      </c>
      <c r="K6174" s="6">
        <f t="shared" si="253"/>
        <v>4.8103069461777617</v>
      </c>
    </row>
    <row r="6175" spans="1:11" hidden="1">
      <c r="A6175" s="4">
        <v>2026</v>
      </c>
      <c r="B6175">
        <v>5</v>
      </c>
      <c r="C6175" t="s">
        <v>54</v>
      </c>
      <c r="D6175" t="s">
        <v>11</v>
      </c>
      <c r="E6175" t="s">
        <v>12</v>
      </c>
      <c r="F6175" t="s">
        <v>63</v>
      </c>
      <c r="G6175" t="str">
        <f t="shared" si="251"/>
        <v>002SUMMER ROMANCE</v>
      </c>
      <c r="H6175" s="5">
        <v>1525</v>
      </c>
      <c r="I6175" s="6">
        <v>951.10714281909407</v>
      </c>
      <c r="J6175" s="5">
        <v>7200</v>
      </c>
      <c r="K6175" s="6">
        <f t="shared" si="252"/>
        <v>1.6033945402616576</v>
      </c>
    </row>
    <row r="6176" spans="1:11" hidden="1">
      <c r="A6176" s="4">
        <v>2026</v>
      </c>
      <c r="B6176">
        <v>5</v>
      </c>
      <c r="C6176" t="s">
        <v>54</v>
      </c>
      <c r="D6176" t="s">
        <v>11</v>
      </c>
      <c r="E6176" t="s">
        <v>12</v>
      </c>
      <c r="F6176" t="s">
        <v>64</v>
      </c>
      <c r="G6176" t="str">
        <f t="shared" si="251"/>
        <v>002SWEETNESS</v>
      </c>
      <c r="H6176" s="5">
        <v>14640</v>
      </c>
      <c r="I6176" s="6">
        <v>3804.4285712763772</v>
      </c>
      <c r="J6176" s="5">
        <v>28800</v>
      </c>
      <c r="K6176" s="6">
        <f t="shared" si="252"/>
        <v>3.848146896627977</v>
      </c>
    </row>
    <row r="6177" spans="1:11" hidden="1">
      <c r="A6177" s="4">
        <v>2026</v>
      </c>
      <c r="B6177">
        <v>5</v>
      </c>
      <c r="C6177" t="s">
        <v>54</v>
      </c>
      <c r="D6177" t="s">
        <v>11</v>
      </c>
      <c r="E6177" t="s">
        <v>65</v>
      </c>
      <c r="F6177" t="s">
        <v>66</v>
      </c>
      <c r="G6177" t="str">
        <f t="shared" si="251"/>
        <v>003CABARET</v>
      </c>
      <c r="H6177" s="5">
        <v>13110</v>
      </c>
      <c r="I6177" s="6">
        <v>2641.8965516184649</v>
      </c>
      <c r="J6177" s="5">
        <v>20000</v>
      </c>
      <c r="K6177" s="6">
        <f t="shared" si="252"/>
        <v>4.9623441886733302</v>
      </c>
    </row>
    <row r="6178" spans="1:11" hidden="1">
      <c r="A6178" s="4">
        <v>2026</v>
      </c>
      <c r="B6178">
        <v>5</v>
      </c>
      <c r="C6178" t="s">
        <v>54</v>
      </c>
      <c r="D6178" t="s">
        <v>11</v>
      </c>
      <c r="E6178" t="s">
        <v>65</v>
      </c>
      <c r="F6178" t="s">
        <v>67</v>
      </c>
      <c r="G6178" t="str">
        <f t="shared" si="251"/>
        <v>003DEEP PURPLE</v>
      </c>
      <c r="H6178" s="5">
        <v>19560</v>
      </c>
      <c r="I6178" s="6">
        <v>3592.9793102010913</v>
      </c>
      <c r="J6178" s="5">
        <v>26044</v>
      </c>
      <c r="K6178" s="6">
        <f t="shared" si="252"/>
        <v>5.4439500791072657</v>
      </c>
    </row>
    <row r="6179" spans="1:11" hidden="1">
      <c r="A6179" s="4">
        <v>2026</v>
      </c>
      <c r="B6179">
        <v>5</v>
      </c>
      <c r="C6179" t="s">
        <v>54</v>
      </c>
      <c r="D6179" t="s">
        <v>11</v>
      </c>
      <c r="E6179" t="s">
        <v>65</v>
      </c>
      <c r="F6179" t="s">
        <v>57</v>
      </c>
      <c r="G6179" t="str">
        <f t="shared" si="251"/>
        <v>003EXPLORER</v>
      </c>
      <c r="H6179" s="5">
        <v>2800</v>
      </c>
      <c r="I6179" s="6">
        <v>1268.1103447768633</v>
      </c>
      <c r="J6179" s="5">
        <v>9600</v>
      </c>
      <c r="K6179" s="6">
        <f t="shared" si="252"/>
        <v>2.2080097457865056</v>
      </c>
    </row>
    <row r="6180" spans="1:11" hidden="1">
      <c r="A6180" s="4">
        <v>2026</v>
      </c>
      <c r="B6180">
        <v>5</v>
      </c>
      <c r="C6180" t="s">
        <v>54</v>
      </c>
      <c r="D6180" t="s">
        <v>11</v>
      </c>
      <c r="E6180" t="s">
        <v>65</v>
      </c>
      <c r="F6180" t="s">
        <v>68</v>
      </c>
      <c r="G6180" t="str">
        <f t="shared" si="251"/>
        <v>003JOCKER</v>
      </c>
      <c r="H6180" s="5">
        <v>2475</v>
      </c>
      <c r="I6180" s="6">
        <v>528.37931032368999</v>
      </c>
      <c r="J6180" s="5">
        <v>4000</v>
      </c>
      <c r="K6180" s="6">
        <f t="shared" si="252"/>
        <v>4.6841349607042568</v>
      </c>
    </row>
    <row r="6181" spans="1:11" hidden="1">
      <c r="A6181" s="4">
        <v>2026</v>
      </c>
      <c r="B6181">
        <v>5</v>
      </c>
      <c r="C6181" t="s">
        <v>54</v>
      </c>
      <c r="D6181" t="s">
        <v>11</v>
      </c>
      <c r="E6181" t="s">
        <v>65</v>
      </c>
      <c r="F6181" t="s">
        <v>69</v>
      </c>
      <c r="G6181" t="str">
        <f t="shared" si="251"/>
        <v>003QUICKSAND</v>
      </c>
      <c r="H6181" s="5">
        <v>3420</v>
      </c>
      <c r="I6181" s="6">
        <v>1162.4344827121247</v>
      </c>
      <c r="J6181" s="5">
        <v>8800</v>
      </c>
      <c r="K6181" s="6">
        <f t="shared" si="252"/>
        <v>2.942101297632409</v>
      </c>
    </row>
    <row r="6182" spans="1:11" hidden="1">
      <c r="A6182" s="4">
        <v>2026</v>
      </c>
      <c r="B6182">
        <v>5</v>
      </c>
      <c r="C6182" t="s">
        <v>54</v>
      </c>
      <c r="D6182" t="s">
        <v>11</v>
      </c>
      <c r="E6182" t="s">
        <v>14</v>
      </c>
      <c r="F6182" t="s">
        <v>70</v>
      </c>
      <c r="G6182" t="str">
        <f t="shared" si="251"/>
        <v>004COTOPAXI</v>
      </c>
      <c r="H6182" s="5">
        <v>1290</v>
      </c>
      <c r="I6182" s="6">
        <v>528.3915024419166</v>
      </c>
      <c r="J6182" s="5">
        <v>4000</v>
      </c>
      <c r="K6182" s="6">
        <f t="shared" si="252"/>
        <v>2.4413715853460438</v>
      </c>
    </row>
    <row r="6183" spans="1:11" hidden="1">
      <c r="A6183" s="4">
        <v>2026</v>
      </c>
      <c r="B6183">
        <v>5</v>
      </c>
      <c r="C6183" t="s">
        <v>54</v>
      </c>
      <c r="D6183" t="s">
        <v>11</v>
      </c>
      <c r="E6183" t="s">
        <v>14</v>
      </c>
      <c r="F6183" t="s">
        <v>67</v>
      </c>
      <c r="G6183" t="str">
        <f t="shared" si="251"/>
        <v>004DEEP PURPLE</v>
      </c>
      <c r="H6183" s="5">
        <v>21330</v>
      </c>
      <c r="I6183" s="6">
        <v>3910.1071427007282</v>
      </c>
      <c r="J6183" s="5">
        <v>29260</v>
      </c>
      <c r="K6183" s="6">
        <f t="shared" si="252"/>
        <v>5.4550934850514796</v>
      </c>
    </row>
    <row r="6184" spans="1:11" hidden="1">
      <c r="A6184" s="4">
        <v>2026</v>
      </c>
      <c r="B6184">
        <v>5</v>
      </c>
      <c r="C6184" t="s">
        <v>54</v>
      </c>
      <c r="D6184" t="s">
        <v>11</v>
      </c>
      <c r="E6184" t="s">
        <v>14</v>
      </c>
      <c r="F6184" t="s">
        <v>71</v>
      </c>
      <c r="G6184" t="str">
        <f t="shared" si="251"/>
        <v>004HOT EXPLORER</v>
      </c>
      <c r="H6184" s="5">
        <v>3775</v>
      </c>
      <c r="I6184" s="6">
        <v>1902.2142856381945</v>
      </c>
      <c r="J6184" s="5">
        <v>14400</v>
      </c>
      <c r="K6184" s="6">
        <f t="shared" si="252"/>
        <v>1.9845293080287663</v>
      </c>
    </row>
    <row r="6185" spans="1:11" hidden="1">
      <c r="A6185" s="4">
        <v>2026</v>
      </c>
      <c r="B6185">
        <v>5</v>
      </c>
      <c r="C6185" t="s">
        <v>54</v>
      </c>
      <c r="D6185" t="s">
        <v>11</v>
      </c>
      <c r="E6185" t="s">
        <v>14</v>
      </c>
      <c r="F6185" t="s">
        <v>72</v>
      </c>
      <c r="G6185" t="str">
        <f t="shared" si="251"/>
        <v>004HOT MERENGUE</v>
      </c>
      <c r="H6185" s="5">
        <v>3780</v>
      </c>
      <c r="I6185" s="6">
        <v>1162.4642856677858</v>
      </c>
      <c r="J6185" s="5">
        <v>8800</v>
      </c>
      <c r="K6185" s="6">
        <f t="shared" si="252"/>
        <v>3.2517128023667001</v>
      </c>
    </row>
    <row r="6186" spans="1:11" hidden="1">
      <c r="A6186" s="4">
        <v>2026</v>
      </c>
      <c r="B6186">
        <v>5</v>
      </c>
      <c r="C6186" t="s">
        <v>54</v>
      </c>
      <c r="D6186" t="s">
        <v>11</v>
      </c>
      <c r="E6186" t="s">
        <v>14</v>
      </c>
      <c r="F6186" t="s">
        <v>64</v>
      </c>
      <c r="G6186" t="str">
        <f t="shared" si="251"/>
        <v>004SWEETNESS</v>
      </c>
      <c r="H6186" s="5">
        <v>1290</v>
      </c>
      <c r="I6186" s="6">
        <v>317.03571427303262</v>
      </c>
      <c r="J6186" s="5">
        <v>2400</v>
      </c>
      <c r="K6186" s="6">
        <f t="shared" si="252"/>
        <v>4.0689422103689115</v>
      </c>
    </row>
    <row r="6187" spans="1:11" hidden="1">
      <c r="A6187" s="4">
        <v>2026</v>
      </c>
      <c r="B6187">
        <v>5</v>
      </c>
      <c r="C6187" t="s">
        <v>54</v>
      </c>
      <c r="D6187" t="s">
        <v>11</v>
      </c>
      <c r="E6187" t="s">
        <v>16</v>
      </c>
      <c r="F6187" t="s">
        <v>57</v>
      </c>
      <c r="G6187" t="str">
        <f t="shared" si="251"/>
        <v>005EXPLORER</v>
      </c>
      <c r="H6187" s="5">
        <v>3950</v>
      </c>
      <c r="I6187" s="6">
        <v>951.10714281875391</v>
      </c>
      <c r="J6187" s="5">
        <v>7200</v>
      </c>
      <c r="K6187" s="6">
        <f t="shared" si="252"/>
        <v>4.1530547108431559</v>
      </c>
    </row>
    <row r="6188" spans="1:11" hidden="1">
      <c r="A6188" s="4">
        <v>2026</v>
      </c>
      <c r="B6188">
        <v>5</v>
      </c>
      <c r="C6188" t="s">
        <v>54</v>
      </c>
      <c r="D6188" t="s">
        <v>11</v>
      </c>
      <c r="E6188" t="s">
        <v>16</v>
      </c>
      <c r="F6188" t="s">
        <v>73</v>
      </c>
      <c r="G6188" t="str">
        <f t="shared" si="251"/>
        <v>005GOLDFINCH</v>
      </c>
      <c r="H6188" s="5">
        <v>3550</v>
      </c>
      <c r="I6188" s="6">
        <v>898.26785710660101</v>
      </c>
      <c r="J6188" s="5">
        <v>6800</v>
      </c>
      <c r="K6188" s="6">
        <f t="shared" si="252"/>
        <v>3.9520505736839557</v>
      </c>
    </row>
    <row r="6189" spans="1:11" hidden="1">
      <c r="A6189" s="4">
        <v>2026</v>
      </c>
      <c r="B6189">
        <v>5</v>
      </c>
      <c r="C6189" t="s">
        <v>54</v>
      </c>
      <c r="D6189" t="s">
        <v>11</v>
      </c>
      <c r="E6189" t="s">
        <v>16</v>
      </c>
      <c r="F6189" t="s">
        <v>68</v>
      </c>
      <c r="G6189" t="str">
        <f t="shared" si="251"/>
        <v>005JOCKER</v>
      </c>
      <c r="H6189" s="5">
        <v>4400</v>
      </c>
      <c r="I6189" s="6">
        <v>1162.4642856673661</v>
      </c>
      <c r="J6189" s="5">
        <v>8800</v>
      </c>
      <c r="K6189" s="6">
        <f t="shared" si="252"/>
        <v>3.7850625212747744</v>
      </c>
    </row>
    <row r="6190" spans="1:11" hidden="1">
      <c r="A6190" s="4">
        <v>2026</v>
      </c>
      <c r="B6190">
        <v>5</v>
      </c>
      <c r="C6190" t="s">
        <v>54</v>
      </c>
      <c r="D6190" t="s">
        <v>11</v>
      </c>
      <c r="E6190" t="s">
        <v>16</v>
      </c>
      <c r="F6190" t="s">
        <v>74</v>
      </c>
      <c r="G6190" t="str">
        <f t="shared" si="251"/>
        <v>005VENDELA</v>
      </c>
      <c r="H6190" s="5">
        <v>2100</v>
      </c>
      <c r="I6190" s="6">
        <v>686.91071425798896</v>
      </c>
      <c r="J6190" s="5">
        <v>5200</v>
      </c>
      <c r="K6190" s="6">
        <f t="shared" si="252"/>
        <v>3.0571658825680874</v>
      </c>
    </row>
    <row r="6191" spans="1:11" hidden="1">
      <c r="A6191" s="4">
        <v>2026</v>
      </c>
      <c r="B6191">
        <v>5</v>
      </c>
      <c r="C6191" t="s">
        <v>54</v>
      </c>
      <c r="D6191" t="s">
        <v>11</v>
      </c>
      <c r="E6191" t="s">
        <v>75</v>
      </c>
      <c r="F6191" t="s">
        <v>76</v>
      </c>
      <c r="G6191" t="str">
        <f t="shared" si="251"/>
        <v>006ATOMIC</v>
      </c>
      <c r="H6191" s="5">
        <v>2375</v>
      </c>
      <c r="I6191" s="6">
        <v>845.428571394752</v>
      </c>
      <c r="J6191" s="5">
        <v>6400</v>
      </c>
      <c r="K6191" s="6">
        <f t="shared" si="252"/>
        <v>2.8092260900076114</v>
      </c>
    </row>
    <row r="6192" spans="1:11" hidden="1">
      <c r="A6192" s="4">
        <v>2026</v>
      </c>
      <c r="B6192">
        <v>5</v>
      </c>
      <c r="C6192" t="s">
        <v>54</v>
      </c>
      <c r="D6192" t="s">
        <v>11</v>
      </c>
      <c r="E6192" t="s">
        <v>75</v>
      </c>
      <c r="F6192" t="s">
        <v>57</v>
      </c>
      <c r="G6192" t="str">
        <f t="shared" si="251"/>
        <v>006EXPLORER</v>
      </c>
      <c r="H6192" s="5">
        <v>11250</v>
      </c>
      <c r="I6192" s="6">
        <v>3910.1071427007355</v>
      </c>
      <c r="J6192" s="5">
        <v>29600</v>
      </c>
      <c r="K6192" s="6">
        <f t="shared" si="252"/>
        <v>2.877159011103096</v>
      </c>
    </row>
    <row r="6193" spans="1:11" hidden="1">
      <c r="A6193" s="4">
        <v>2026</v>
      </c>
      <c r="B6193">
        <v>5</v>
      </c>
      <c r="C6193" t="s">
        <v>54</v>
      </c>
      <c r="D6193" t="s">
        <v>11</v>
      </c>
      <c r="E6193" t="s">
        <v>75</v>
      </c>
      <c r="F6193" t="s">
        <v>77</v>
      </c>
      <c r="G6193" t="str">
        <f t="shared" si="251"/>
        <v>006MONDIAL</v>
      </c>
      <c r="H6193" s="5">
        <v>16575</v>
      </c>
      <c r="I6193" s="6">
        <v>4015.7857141250793</v>
      </c>
      <c r="J6193" s="5">
        <v>30400</v>
      </c>
      <c r="K6193" s="6">
        <f t="shared" si="252"/>
        <v>4.127461269085968</v>
      </c>
    </row>
    <row r="6194" spans="1:11" hidden="1">
      <c r="A6194" s="4">
        <v>2026</v>
      </c>
      <c r="B6194">
        <v>5</v>
      </c>
      <c r="C6194" t="s">
        <v>54</v>
      </c>
      <c r="D6194" t="s">
        <v>11</v>
      </c>
      <c r="E6194" t="s">
        <v>20</v>
      </c>
      <c r="F6194" t="s">
        <v>70</v>
      </c>
      <c r="G6194" t="str">
        <f t="shared" si="251"/>
        <v>007COTOPAXI</v>
      </c>
      <c r="H6194" s="5">
        <v>11190</v>
      </c>
      <c r="I6194" s="6">
        <v>2747.5751230427709</v>
      </c>
      <c r="J6194" s="5">
        <v>20800</v>
      </c>
      <c r="K6194" s="6">
        <f t="shared" si="252"/>
        <v>4.0726820919850812</v>
      </c>
    </row>
    <row r="6195" spans="1:11" hidden="1">
      <c r="A6195" s="4">
        <v>2026</v>
      </c>
      <c r="B6195">
        <v>5</v>
      </c>
      <c r="C6195" t="s">
        <v>54</v>
      </c>
      <c r="D6195" t="s">
        <v>11</v>
      </c>
      <c r="E6195" t="s">
        <v>20</v>
      </c>
      <c r="F6195" t="s">
        <v>78</v>
      </c>
      <c r="G6195" t="str">
        <f t="shared" si="251"/>
        <v>007REDIANT</v>
      </c>
      <c r="H6195" s="5">
        <v>1440</v>
      </c>
      <c r="I6195" s="6">
        <v>1056.75862064738</v>
      </c>
      <c r="J6195" s="5">
        <v>9600</v>
      </c>
      <c r="K6195" s="6">
        <f t="shared" si="252"/>
        <v>1.3626574431139657</v>
      </c>
    </row>
    <row r="6196" spans="1:11" hidden="1">
      <c r="A6196" s="4">
        <v>2026</v>
      </c>
      <c r="B6196">
        <v>5</v>
      </c>
      <c r="C6196" t="s">
        <v>54</v>
      </c>
      <c r="D6196" t="s">
        <v>11</v>
      </c>
      <c r="E6196" t="s">
        <v>20</v>
      </c>
      <c r="F6196" t="s">
        <v>63</v>
      </c>
      <c r="G6196" t="str">
        <f t="shared" si="251"/>
        <v>007SUMMER ROMANCE</v>
      </c>
      <c r="H6196" s="5">
        <v>300</v>
      </c>
      <c r="I6196" s="6">
        <v>369.86551722658481</v>
      </c>
      <c r="J6196" s="5">
        <v>3080</v>
      </c>
      <c r="K6196" s="6">
        <f t="shared" si="252"/>
        <v>0.811105620901166</v>
      </c>
    </row>
    <row r="6197" spans="1:11" hidden="1">
      <c r="A6197" s="4">
        <v>2026</v>
      </c>
      <c r="B6197">
        <v>5</v>
      </c>
      <c r="C6197" t="s">
        <v>54</v>
      </c>
      <c r="D6197" t="s">
        <v>11</v>
      </c>
      <c r="E6197" t="s">
        <v>20</v>
      </c>
      <c r="F6197" t="s">
        <v>74</v>
      </c>
      <c r="G6197" t="str">
        <f t="shared" si="251"/>
        <v>007VENDELA</v>
      </c>
      <c r="H6197" s="5">
        <v>16440</v>
      </c>
      <c r="I6197" s="6">
        <v>3592.9793102011122</v>
      </c>
      <c r="J6197" s="5">
        <v>27820</v>
      </c>
      <c r="K6197" s="6">
        <f t="shared" si="252"/>
        <v>4.5755899437895158</v>
      </c>
    </row>
    <row r="6198" spans="1:11" hidden="1">
      <c r="A6198" s="4">
        <v>2026</v>
      </c>
      <c r="B6198">
        <v>5</v>
      </c>
      <c r="C6198" t="s">
        <v>54</v>
      </c>
      <c r="D6198" t="s">
        <v>11</v>
      </c>
      <c r="E6198" t="s">
        <v>79</v>
      </c>
      <c r="F6198" t="s">
        <v>67</v>
      </c>
      <c r="G6198" t="str">
        <f t="shared" si="251"/>
        <v>008DEEP PURPLE</v>
      </c>
      <c r="H6198" s="5">
        <v>12030</v>
      </c>
      <c r="I6198" s="6">
        <v>1585.2222221588099</v>
      </c>
      <c r="J6198" s="5">
        <v>11490</v>
      </c>
      <c r="K6198" s="6">
        <f t="shared" si="252"/>
        <v>7.588841382514266</v>
      </c>
    </row>
    <row r="6199" spans="1:11" hidden="1">
      <c r="A6199" s="4">
        <v>2026</v>
      </c>
      <c r="B6199">
        <v>5</v>
      </c>
      <c r="C6199" t="s">
        <v>54</v>
      </c>
      <c r="D6199" t="s">
        <v>11</v>
      </c>
      <c r="E6199" t="s">
        <v>79</v>
      </c>
      <c r="F6199" t="s">
        <v>81</v>
      </c>
      <c r="G6199" t="str">
        <f t="shared" si="251"/>
        <v>008FREEDOM</v>
      </c>
      <c r="H6199" s="5">
        <v>9240</v>
      </c>
      <c r="I6199" s="6">
        <v>2219.311111022334</v>
      </c>
      <c r="J6199" s="5">
        <v>16800</v>
      </c>
      <c r="K6199" s="6">
        <f t="shared" si="252"/>
        <v>4.1634541250701709</v>
      </c>
    </row>
    <row r="6200" spans="1:11" hidden="1">
      <c r="A6200" s="4">
        <v>2026</v>
      </c>
      <c r="B6200">
        <v>5</v>
      </c>
      <c r="C6200" t="s">
        <v>54</v>
      </c>
      <c r="D6200" t="s">
        <v>11</v>
      </c>
      <c r="E6200" t="s">
        <v>79</v>
      </c>
      <c r="F6200" t="s">
        <v>68</v>
      </c>
      <c r="G6200" t="str">
        <f t="shared" si="251"/>
        <v>008JOCKER</v>
      </c>
      <c r="H6200" s="5">
        <v>12375</v>
      </c>
      <c r="I6200" s="6">
        <v>2959.0814813631118</v>
      </c>
      <c r="J6200" s="5">
        <v>22400</v>
      </c>
      <c r="K6200" s="6">
        <f t="shared" si="252"/>
        <v>4.1820409738428053</v>
      </c>
    </row>
    <row r="6201" spans="1:11" hidden="1">
      <c r="A6201" s="4">
        <v>2026</v>
      </c>
      <c r="B6201">
        <v>5</v>
      </c>
      <c r="C6201" t="s">
        <v>54</v>
      </c>
      <c r="D6201" t="s">
        <v>11</v>
      </c>
      <c r="E6201" t="s">
        <v>79</v>
      </c>
      <c r="F6201" t="s">
        <v>61</v>
      </c>
      <c r="G6201" t="str">
        <f t="shared" si="251"/>
        <v>008LUMIA</v>
      </c>
      <c r="H6201" s="5">
        <v>1890</v>
      </c>
      <c r="I6201" s="6">
        <v>1796.5851851133182</v>
      </c>
      <c r="J6201" s="5">
        <v>13600</v>
      </c>
      <c r="K6201" s="6">
        <f t="shared" si="252"/>
        <v>1.051995761548479</v>
      </c>
    </row>
    <row r="6202" spans="1:11" hidden="1">
      <c r="A6202" s="4">
        <v>2026</v>
      </c>
      <c r="B6202">
        <v>5</v>
      </c>
      <c r="C6202" t="s">
        <v>54</v>
      </c>
      <c r="D6202" t="s">
        <v>11</v>
      </c>
      <c r="E6202" t="s">
        <v>82</v>
      </c>
      <c r="F6202" t="s">
        <v>83</v>
      </c>
      <c r="G6202" t="str">
        <f t="shared" ref="G6202:G6264" si="254">+E6202&amp;F6202</f>
        <v>010COOLDOWN</v>
      </c>
      <c r="H6202" s="5">
        <v>7025</v>
      </c>
      <c r="I6202" s="6">
        <v>1912.3542857142861</v>
      </c>
      <c r="J6202" s="5">
        <v>16320</v>
      </c>
      <c r="K6202" s="6">
        <f t="shared" si="252"/>
        <v>3.6734824987599421</v>
      </c>
    </row>
    <row r="6203" spans="1:11" hidden="1">
      <c r="A6203" s="4">
        <v>2026</v>
      </c>
      <c r="B6203">
        <v>5</v>
      </c>
      <c r="C6203" t="s">
        <v>54</v>
      </c>
      <c r="D6203" t="s">
        <v>11</v>
      </c>
      <c r="E6203" t="s">
        <v>82</v>
      </c>
      <c r="F6203" t="s">
        <v>84</v>
      </c>
      <c r="G6203" t="str">
        <f t="shared" si="254"/>
        <v>010VIOLET HILL</v>
      </c>
      <c r="H6203" s="5">
        <v>5850</v>
      </c>
      <c r="I6203" s="6">
        <v>2812.2857142428579</v>
      </c>
      <c r="J6203" s="5">
        <v>20000</v>
      </c>
      <c r="K6203" s="6">
        <f t="shared" si="252"/>
        <v>2.0801584882974722</v>
      </c>
    </row>
    <row r="6204" spans="1:11" hidden="1">
      <c r="A6204" s="4">
        <v>2026</v>
      </c>
      <c r="B6204">
        <v>5</v>
      </c>
      <c r="C6204" t="s">
        <v>54</v>
      </c>
      <c r="D6204" t="s">
        <v>11</v>
      </c>
      <c r="E6204" t="s">
        <v>85</v>
      </c>
      <c r="F6204" t="s">
        <v>86</v>
      </c>
      <c r="G6204" t="str">
        <f t="shared" si="254"/>
        <v>011BRIGHTON</v>
      </c>
      <c r="H6204" s="5">
        <v>6725</v>
      </c>
      <c r="I6204" s="6">
        <v>1768.8376470588223</v>
      </c>
      <c r="J6204" s="5">
        <v>12800</v>
      </c>
      <c r="K6204" s="6">
        <f t="shared" si="252"/>
        <v>3.8019317438104943</v>
      </c>
    </row>
    <row r="6205" spans="1:11" hidden="1">
      <c r="A6205" s="4">
        <v>2026</v>
      </c>
      <c r="B6205">
        <v>5</v>
      </c>
      <c r="C6205" t="s">
        <v>54</v>
      </c>
      <c r="D6205" t="s">
        <v>11</v>
      </c>
      <c r="E6205" t="s">
        <v>85</v>
      </c>
      <c r="F6205" t="s">
        <v>87</v>
      </c>
      <c r="G6205" t="str">
        <f t="shared" si="254"/>
        <v>011CANDLELIGHT</v>
      </c>
      <c r="H6205" s="5">
        <v>6000</v>
      </c>
      <c r="I6205" s="6">
        <v>2263.7999998868127</v>
      </c>
      <c r="J6205" s="5">
        <v>17920</v>
      </c>
      <c r="K6205" s="6">
        <f t="shared" si="252"/>
        <v>2.6504108138086373</v>
      </c>
    </row>
    <row r="6206" spans="1:11" hidden="1">
      <c r="A6206" s="4">
        <v>2026</v>
      </c>
      <c r="B6206">
        <v>5</v>
      </c>
      <c r="C6206" t="s">
        <v>54</v>
      </c>
      <c r="D6206" t="s">
        <v>11</v>
      </c>
      <c r="E6206" t="s">
        <v>85</v>
      </c>
      <c r="F6206" t="s">
        <v>88</v>
      </c>
      <c r="G6206" t="str">
        <f t="shared" si="254"/>
        <v>011CAYENNE</v>
      </c>
      <c r="H6206" s="5">
        <v>2820</v>
      </c>
      <c r="I6206" s="6">
        <v>994.97117647058747</v>
      </c>
      <c r="J6206" s="5">
        <v>7200</v>
      </c>
      <c r="K6206" s="6">
        <f t="shared" si="252"/>
        <v>2.8342529579633129</v>
      </c>
    </row>
    <row r="6207" spans="1:11" hidden="1">
      <c r="A6207" s="4">
        <v>2026</v>
      </c>
      <c r="B6207">
        <v>5</v>
      </c>
      <c r="C6207" t="s">
        <v>54</v>
      </c>
      <c r="D6207" t="s">
        <v>11</v>
      </c>
      <c r="E6207" t="s">
        <v>85</v>
      </c>
      <c r="F6207" t="s">
        <v>61</v>
      </c>
      <c r="G6207" t="str">
        <f t="shared" si="254"/>
        <v>011LUMIA</v>
      </c>
      <c r="H6207" s="5">
        <v>3810</v>
      </c>
      <c r="I6207" s="6">
        <v>994.97117647058747</v>
      </c>
      <c r="J6207" s="5">
        <v>7920</v>
      </c>
      <c r="K6207" s="6">
        <f t="shared" si="252"/>
        <v>3.8292566559717103</v>
      </c>
    </row>
    <row r="6208" spans="1:11" hidden="1">
      <c r="A6208" s="4">
        <v>2026</v>
      </c>
      <c r="B6208">
        <v>5</v>
      </c>
      <c r="C6208" t="s">
        <v>54</v>
      </c>
      <c r="D6208" t="s">
        <v>11</v>
      </c>
      <c r="E6208" t="s">
        <v>85</v>
      </c>
      <c r="F6208" t="s">
        <v>89</v>
      </c>
      <c r="G6208" t="str">
        <f t="shared" si="254"/>
        <v>011STARDUST</v>
      </c>
      <c r="H6208" s="5">
        <v>3650</v>
      </c>
      <c r="I6208" s="6">
        <v>2263.7999998868127</v>
      </c>
      <c r="J6208" s="5">
        <v>17920</v>
      </c>
      <c r="K6208" s="6">
        <f t="shared" si="252"/>
        <v>1.612333245066921</v>
      </c>
    </row>
    <row r="6209" spans="1:11" hidden="1">
      <c r="A6209" s="4">
        <v>2026</v>
      </c>
      <c r="B6209">
        <v>5</v>
      </c>
      <c r="C6209" t="s">
        <v>54</v>
      </c>
      <c r="D6209" t="s">
        <v>11</v>
      </c>
      <c r="E6209" t="s">
        <v>90</v>
      </c>
      <c r="F6209" t="s">
        <v>67</v>
      </c>
      <c r="G6209" t="str">
        <f t="shared" si="254"/>
        <v>012DEEP PURPLE</v>
      </c>
      <c r="H6209" s="5">
        <v>32910</v>
      </c>
      <c r="I6209" s="6">
        <v>6727.0499997982479</v>
      </c>
      <c r="J6209" s="5">
        <v>49210</v>
      </c>
      <c r="K6209" s="6">
        <f t="shared" si="252"/>
        <v>4.8921889982959854</v>
      </c>
    </row>
    <row r="6210" spans="1:11" hidden="1">
      <c r="A6210" s="4">
        <v>2026</v>
      </c>
      <c r="B6210">
        <v>5</v>
      </c>
      <c r="C6210" t="s">
        <v>54</v>
      </c>
      <c r="D6210" t="s">
        <v>11</v>
      </c>
      <c r="E6210" t="s">
        <v>90</v>
      </c>
      <c r="F6210" t="s">
        <v>60</v>
      </c>
      <c r="G6210" t="str">
        <f t="shared" si="254"/>
        <v>012LIGHT HOUSE</v>
      </c>
      <c r="H6210" s="5">
        <v>3960</v>
      </c>
      <c r="I6210" s="6">
        <v>994.95</v>
      </c>
      <c r="J6210" s="5">
        <v>7200</v>
      </c>
      <c r="K6210" s="6">
        <f t="shared" si="252"/>
        <v>3.9800995024875618</v>
      </c>
    </row>
    <row r="6211" spans="1:11" hidden="1">
      <c r="A6211" s="4">
        <v>2026</v>
      </c>
      <c r="B6211">
        <v>5</v>
      </c>
      <c r="C6211" t="s">
        <v>54</v>
      </c>
      <c r="D6211" t="s">
        <v>11</v>
      </c>
      <c r="E6211" t="s">
        <v>91</v>
      </c>
      <c r="F6211" t="s">
        <v>92</v>
      </c>
      <c r="G6211" t="str">
        <f t="shared" si="254"/>
        <v>013COUNTRY BLUES</v>
      </c>
      <c r="H6211" s="5">
        <v>1800</v>
      </c>
      <c r="I6211" s="6">
        <v>831.6</v>
      </c>
      <c r="J6211" s="5">
        <v>6300</v>
      </c>
      <c r="K6211" s="6">
        <f t="shared" si="252"/>
        <v>2.1645021645021645</v>
      </c>
    </row>
    <row r="6212" spans="1:11" hidden="1">
      <c r="A6212" s="4">
        <v>2026</v>
      </c>
      <c r="B6212">
        <v>5</v>
      </c>
      <c r="C6212" t="s">
        <v>54</v>
      </c>
      <c r="D6212" t="s">
        <v>11</v>
      </c>
      <c r="E6212" t="s">
        <v>91</v>
      </c>
      <c r="F6212" t="s">
        <v>93</v>
      </c>
      <c r="G6212" t="str">
        <f t="shared" si="254"/>
        <v>013LORRAINE</v>
      </c>
      <c r="H6212" s="5">
        <v>7350</v>
      </c>
      <c r="I6212" s="6">
        <v>1267.2</v>
      </c>
      <c r="J6212" s="5">
        <v>9600</v>
      </c>
      <c r="K6212" s="6">
        <f t="shared" ref="K6212:K6273" si="255">+H6212/I6212</f>
        <v>5.8001893939393936</v>
      </c>
    </row>
    <row r="6213" spans="1:11" hidden="1">
      <c r="A6213" s="4">
        <v>2026</v>
      </c>
      <c r="B6213">
        <v>5</v>
      </c>
      <c r="C6213" t="s">
        <v>54</v>
      </c>
      <c r="D6213" t="s">
        <v>11</v>
      </c>
      <c r="E6213" t="s">
        <v>91</v>
      </c>
      <c r="F6213" t="s">
        <v>61</v>
      </c>
      <c r="G6213" t="str">
        <f t="shared" si="254"/>
        <v>013LUMIA</v>
      </c>
      <c r="H6213" s="5">
        <v>2250</v>
      </c>
      <c r="I6213" s="6">
        <v>316.8</v>
      </c>
      <c r="J6213" s="5">
        <v>2400</v>
      </c>
      <c r="K6213" s="6">
        <f t="shared" si="255"/>
        <v>7.1022727272727266</v>
      </c>
    </row>
    <row r="6214" spans="1:11" hidden="1">
      <c r="A6214" s="4">
        <v>2026</v>
      </c>
      <c r="B6214">
        <v>5</v>
      </c>
      <c r="C6214" t="s">
        <v>54</v>
      </c>
      <c r="D6214" t="s">
        <v>11</v>
      </c>
      <c r="E6214" t="s">
        <v>91</v>
      </c>
      <c r="F6214" t="s">
        <v>74</v>
      </c>
      <c r="G6214" t="str">
        <f t="shared" si="254"/>
        <v>013VENDELA</v>
      </c>
      <c r="H6214" s="5">
        <v>12480</v>
      </c>
      <c r="I6214" s="6">
        <v>3603.6</v>
      </c>
      <c r="J6214" s="5">
        <v>27296</v>
      </c>
      <c r="K6214" s="6">
        <f t="shared" si="255"/>
        <v>3.4632034632034632</v>
      </c>
    </row>
    <row r="6215" spans="1:11" hidden="1">
      <c r="A6215" s="4">
        <v>2026</v>
      </c>
      <c r="B6215">
        <v>5</v>
      </c>
      <c r="C6215" t="s">
        <v>54</v>
      </c>
      <c r="D6215" t="s">
        <v>11</v>
      </c>
      <c r="E6215" t="s">
        <v>23</v>
      </c>
      <c r="F6215" t="s">
        <v>89</v>
      </c>
      <c r="G6215" t="str">
        <f t="shared" si="254"/>
        <v>014STARDUST</v>
      </c>
      <c r="H6215" s="5">
        <v>11075</v>
      </c>
      <c r="I6215" s="6">
        <v>3682.8</v>
      </c>
      <c r="J6215" s="5">
        <v>27900</v>
      </c>
      <c r="K6215" s="6">
        <f t="shared" si="255"/>
        <v>3.0072227652872812</v>
      </c>
    </row>
    <row r="6216" spans="1:11" hidden="1">
      <c r="A6216" s="4">
        <v>2026</v>
      </c>
      <c r="B6216">
        <v>5</v>
      </c>
      <c r="C6216" t="s">
        <v>54</v>
      </c>
      <c r="D6216" t="s">
        <v>11</v>
      </c>
      <c r="E6216" t="s">
        <v>25</v>
      </c>
      <c r="F6216" t="s">
        <v>68</v>
      </c>
      <c r="G6216" t="str">
        <f t="shared" si="254"/>
        <v>015JOCKER</v>
      </c>
      <c r="H6216" s="5">
        <v>15700</v>
      </c>
      <c r="I6216" s="6">
        <v>2376</v>
      </c>
      <c r="J6216" s="5">
        <v>18000</v>
      </c>
      <c r="K6216" s="6">
        <f t="shared" si="255"/>
        <v>6.6077441077441081</v>
      </c>
    </row>
    <row r="6217" spans="1:11" hidden="1">
      <c r="A6217" s="4">
        <v>2026</v>
      </c>
      <c r="B6217">
        <v>5</v>
      </c>
      <c r="C6217" t="s">
        <v>54</v>
      </c>
      <c r="D6217" t="s">
        <v>11</v>
      </c>
      <c r="E6217" t="s">
        <v>27</v>
      </c>
      <c r="F6217" t="s">
        <v>94</v>
      </c>
      <c r="G6217" t="str">
        <f t="shared" si="254"/>
        <v>016DREAM IN PEACH</v>
      </c>
      <c r="H6217" s="5">
        <v>3420</v>
      </c>
      <c r="I6217" s="6">
        <v>950.4</v>
      </c>
      <c r="J6217" s="5">
        <v>7200</v>
      </c>
      <c r="K6217" s="6">
        <f t="shared" si="255"/>
        <v>3.5984848484848486</v>
      </c>
    </row>
    <row r="6218" spans="1:11" hidden="1">
      <c r="A6218" s="4">
        <v>2026</v>
      </c>
      <c r="B6218">
        <v>5</v>
      </c>
      <c r="C6218" t="s">
        <v>54</v>
      </c>
      <c r="D6218" t="s">
        <v>11</v>
      </c>
      <c r="E6218" t="s">
        <v>27</v>
      </c>
      <c r="F6218" t="s">
        <v>95</v>
      </c>
      <c r="G6218" t="str">
        <f t="shared" si="254"/>
        <v>016NINA</v>
      </c>
      <c r="H6218" s="5">
        <v>6075</v>
      </c>
      <c r="I6218" s="6">
        <v>1346.4</v>
      </c>
      <c r="J6218" s="5">
        <v>10200</v>
      </c>
      <c r="K6218" s="6">
        <f t="shared" si="255"/>
        <v>4.512032085561497</v>
      </c>
    </row>
    <row r="6219" spans="1:11" hidden="1">
      <c r="A6219" s="4">
        <v>2026</v>
      </c>
      <c r="B6219">
        <v>5</v>
      </c>
      <c r="C6219" t="s">
        <v>54</v>
      </c>
      <c r="D6219" t="s">
        <v>11</v>
      </c>
      <c r="E6219" t="s">
        <v>30</v>
      </c>
      <c r="F6219" t="s">
        <v>81</v>
      </c>
      <c r="G6219" t="str">
        <f t="shared" si="254"/>
        <v>017FREEDOM</v>
      </c>
      <c r="H6219" s="5">
        <v>11160</v>
      </c>
      <c r="I6219" s="6">
        <v>2851.2</v>
      </c>
      <c r="J6219" s="5">
        <v>21600</v>
      </c>
      <c r="K6219" s="6">
        <f t="shared" si="255"/>
        <v>3.9141414141414144</v>
      </c>
    </row>
    <row r="6220" spans="1:11" hidden="1">
      <c r="A6220" s="4">
        <v>2026</v>
      </c>
      <c r="B6220">
        <v>5</v>
      </c>
      <c r="C6220" t="s">
        <v>54</v>
      </c>
      <c r="D6220" t="s">
        <v>11</v>
      </c>
      <c r="E6220" t="s">
        <v>30</v>
      </c>
      <c r="F6220" t="s">
        <v>73</v>
      </c>
      <c r="G6220" t="str">
        <f t="shared" si="254"/>
        <v>017GOLDFINCH</v>
      </c>
      <c r="H6220" s="5">
        <v>6350</v>
      </c>
      <c r="I6220" s="6">
        <v>2138.4</v>
      </c>
      <c r="J6220" s="5">
        <v>16200</v>
      </c>
      <c r="K6220" s="6">
        <f t="shared" si="255"/>
        <v>2.9695099139543584</v>
      </c>
    </row>
    <row r="6221" spans="1:11" hidden="1">
      <c r="A6221" s="4">
        <v>2026</v>
      </c>
      <c r="B6221">
        <v>5</v>
      </c>
      <c r="C6221" t="s">
        <v>54</v>
      </c>
      <c r="D6221" t="s">
        <v>11</v>
      </c>
      <c r="E6221" t="s">
        <v>32</v>
      </c>
      <c r="F6221" t="s">
        <v>86</v>
      </c>
      <c r="G6221" t="str">
        <f t="shared" si="254"/>
        <v>018BRIGHTON</v>
      </c>
      <c r="H6221" s="5">
        <v>4250</v>
      </c>
      <c r="I6221" s="6">
        <v>963.6</v>
      </c>
      <c r="J6221" s="5">
        <v>7570</v>
      </c>
      <c r="K6221" s="6">
        <f t="shared" si="255"/>
        <v>4.410543794105438</v>
      </c>
    </row>
    <row r="6222" spans="1:11" hidden="1">
      <c r="A6222" s="4">
        <v>2026</v>
      </c>
      <c r="B6222">
        <v>5</v>
      </c>
      <c r="C6222" t="s">
        <v>54</v>
      </c>
      <c r="D6222" t="s">
        <v>11</v>
      </c>
      <c r="E6222" t="s">
        <v>35</v>
      </c>
      <c r="F6222" t="s">
        <v>86</v>
      </c>
      <c r="G6222" t="str">
        <f t="shared" si="254"/>
        <v>019BRIGHTON</v>
      </c>
      <c r="H6222" s="5">
        <v>16350</v>
      </c>
      <c r="I6222" s="6">
        <v>3168</v>
      </c>
      <c r="J6222" s="5">
        <v>24000</v>
      </c>
      <c r="K6222" s="6">
        <f t="shared" si="255"/>
        <v>5.1609848484848486</v>
      </c>
    </row>
    <row r="6223" spans="1:11" hidden="1">
      <c r="A6223" s="4">
        <v>2026</v>
      </c>
      <c r="B6223">
        <v>5</v>
      </c>
      <c r="C6223" t="s">
        <v>54</v>
      </c>
      <c r="D6223" t="s">
        <v>11</v>
      </c>
      <c r="E6223" t="s">
        <v>35</v>
      </c>
      <c r="F6223" t="s">
        <v>96</v>
      </c>
      <c r="G6223" t="str">
        <f t="shared" si="254"/>
        <v>019TABATHA</v>
      </c>
      <c r="H6223" s="5">
        <v>4440</v>
      </c>
      <c r="I6223" s="6">
        <v>1188</v>
      </c>
      <c r="J6223" s="5">
        <v>9000</v>
      </c>
      <c r="K6223" s="6">
        <f t="shared" si="255"/>
        <v>3.7373737373737375</v>
      </c>
    </row>
    <row r="6224" spans="1:11" hidden="1">
      <c r="A6224" s="4">
        <v>2026</v>
      </c>
      <c r="B6224">
        <v>5</v>
      </c>
      <c r="C6224" t="s">
        <v>54</v>
      </c>
      <c r="D6224" t="s">
        <v>11</v>
      </c>
      <c r="E6224" t="s">
        <v>36</v>
      </c>
      <c r="F6224" t="s">
        <v>86</v>
      </c>
      <c r="G6224" t="str">
        <f t="shared" si="254"/>
        <v>020BRIGHTON</v>
      </c>
      <c r="H6224" s="5">
        <v>10950</v>
      </c>
      <c r="I6224" s="6">
        <v>2732.4</v>
      </c>
      <c r="J6224" s="5">
        <v>20700</v>
      </c>
      <c r="K6224" s="6">
        <f t="shared" si="255"/>
        <v>4.0074659639877028</v>
      </c>
    </row>
    <row r="6225" spans="1:11" hidden="1">
      <c r="A6225" s="4">
        <v>2026</v>
      </c>
      <c r="B6225">
        <v>5</v>
      </c>
      <c r="C6225" t="s">
        <v>54</v>
      </c>
      <c r="D6225" t="s">
        <v>11</v>
      </c>
      <c r="E6225" t="s">
        <v>36</v>
      </c>
      <c r="F6225" t="s">
        <v>97</v>
      </c>
      <c r="G6225" t="str">
        <f t="shared" si="254"/>
        <v>020TYCOON</v>
      </c>
      <c r="H6225" s="5">
        <v>1710</v>
      </c>
      <c r="I6225" s="6">
        <v>673.2</v>
      </c>
      <c r="J6225" s="5">
        <v>5100</v>
      </c>
      <c r="K6225" s="6">
        <f t="shared" si="255"/>
        <v>2.5401069518716577</v>
      </c>
    </row>
    <row r="6226" spans="1:11" hidden="1">
      <c r="A6226" s="4">
        <v>2026</v>
      </c>
      <c r="B6226">
        <v>5</v>
      </c>
      <c r="C6226" t="s">
        <v>54</v>
      </c>
      <c r="D6226" t="s">
        <v>11</v>
      </c>
      <c r="E6226" t="s">
        <v>38</v>
      </c>
      <c r="F6226" t="s">
        <v>98</v>
      </c>
      <c r="G6226" t="str">
        <f t="shared" si="254"/>
        <v>021SHOW GIRL</v>
      </c>
      <c r="H6226" s="5">
        <v>1700</v>
      </c>
      <c r="I6226" s="6">
        <v>1100.4749999999999</v>
      </c>
      <c r="J6226" s="5">
        <v>8000</v>
      </c>
      <c r="K6226" s="6">
        <f t="shared" si="255"/>
        <v>1.5447874781344422</v>
      </c>
    </row>
    <row r="6227" spans="1:11" hidden="1">
      <c r="A6227" s="4">
        <v>2026</v>
      </c>
      <c r="B6227">
        <v>5</v>
      </c>
      <c r="C6227" t="s">
        <v>54</v>
      </c>
      <c r="D6227" t="s">
        <v>11</v>
      </c>
      <c r="E6227" t="s">
        <v>43</v>
      </c>
      <c r="F6227" t="s">
        <v>99</v>
      </c>
      <c r="G6227" t="str">
        <f t="shared" si="254"/>
        <v>022CORAL REEF</v>
      </c>
      <c r="H6227" s="5">
        <v>3475</v>
      </c>
      <c r="I6227" s="6">
        <v>1287</v>
      </c>
      <c r="J6227" s="5">
        <v>9400</v>
      </c>
      <c r="K6227" s="6">
        <f t="shared" si="255"/>
        <v>2.7000777000777001</v>
      </c>
    </row>
    <row r="6228" spans="1:11" hidden="1">
      <c r="A6228" s="4">
        <v>2026</v>
      </c>
      <c r="B6228">
        <v>5</v>
      </c>
      <c r="C6228" t="s">
        <v>54</v>
      </c>
      <c r="D6228" t="s">
        <v>11</v>
      </c>
      <c r="E6228" t="s">
        <v>100</v>
      </c>
      <c r="F6228" t="s">
        <v>70</v>
      </c>
      <c r="G6228" t="str">
        <f t="shared" si="254"/>
        <v>023COTOPAXI</v>
      </c>
      <c r="H6228" s="5">
        <v>10410</v>
      </c>
      <c r="I6228" s="6">
        <v>2641.14</v>
      </c>
      <c r="J6228" s="5">
        <v>19200</v>
      </c>
      <c r="K6228" s="6">
        <f t="shared" si="255"/>
        <v>3.9414798155342012</v>
      </c>
    </row>
    <row r="6229" spans="1:11" hidden="1">
      <c r="A6229" s="4">
        <v>2026</v>
      </c>
      <c r="B6229">
        <v>5</v>
      </c>
      <c r="C6229" t="s">
        <v>54</v>
      </c>
      <c r="D6229" t="s">
        <v>11</v>
      </c>
      <c r="E6229" t="s">
        <v>100</v>
      </c>
      <c r="F6229" t="s">
        <v>101</v>
      </c>
      <c r="G6229" t="str">
        <f t="shared" si="254"/>
        <v>023FRUTTETO</v>
      </c>
      <c r="H6229" s="5">
        <v>18870</v>
      </c>
      <c r="I6229" s="6">
        <v>2641.14</v>
      </c>
      <c r="J6229" s="5">
        <v>19200</v>
      </c>
      <c r="K6229" s="6">
        <f t="shared" si="255"/>
        <v>7.1446420863717943</v>
      </c>
    </row>
    <row r="6230" spans="1:11" hidden="1">
      <c r="A6230" s="4">
        <v>2026</v>
      </c>
      <c r="B6230">
        <v>5</v>
      </c>
      <c r="C6230" t="s">
        <v>54</v>
      </c>
      <c r="D6230" t="s">
        <v>11</v>
      </c>
      <c r="E6230" t="s">
        <v>102</v>
      </c>
      <c r="F6230" t="s">
        <v>70</v>
      </c>
      <c r="G6230" t="str">
        <f t="shared" si="254"/>
        <v>024COTOPAXI</v>
      </c>
      <c r="H6230" s="5">
        <v>5880</v>
      </c>
      <c r="I6230" s="6">
        <v>1430.6174906250001</v>
      </c>
      <c r="J6230" s="5">
        <v>10400</v>
      </c>
      <c r="K6230" s="6">
        <f t="shared" si="255"/>
        <v>4.110113317174096</v>
      </c>
    </row>
    <row r="6231" spans="1:11" hidden="1">
      <c r="A6231" s="4">
        <v>2026</v>
      </c>
      <c r="B6231">
        <v>5</v>
      </c>
      <c r="C6231" t="s">
        <v>54</v>
      </c>
      <c r="D6231" t="s">
        <v>11</v>
      </c>
      <c r="E6231" t="s">
        <v>102</v>
      </c>
      <c r="F6231" t="s">
        <v>64</v>
      </c>
      <c r="G6231" t="str">
        <f t="shared" si="254"/>
        <v>024SWEETNESS</v>
      </c>
      <c r="H6231" s="5">
        <v>3930</v>
      </c>
      <c r="I6231" s="6">
        <v>1430.6175000000001</v>
      </c>
      <c r="J6231" s="5">
        <v>10400</v>
      </c>
      <c r="K6231" s="6">
        <f t="shared" si="255"/>
        <v>2.7470655154155459</v>
      </c>
    </row>
    <row r="6232" spans="1:11" hidden="1">
      <c r="A6232" s="4">
        <v>2026</v>
      </c>
      <c r="B6232">
        <v>5</v>
      </c>
      <c r="C6232" t="s">
        <v>54</v>
      </c>
      <c r="D6232" t="s">
        <v>11</v>
      </c>
      <c r="E6232" t="s">
        <v>102</v>
      </c>
      <c r="F6232" t="s">
        <v>97</v>
      </c>
      <c r="G6232" t="str">
        <f t="shared" si="254"/>
        <v>024TYCOON</v>
      </c>
      <c r="H6232" s="5">
        <v>7350</v>
      </c>
      <c r="I6232" s="6">
        <v>2861.2350000000001</v>
      </c>
      <c r="J6232" s="5">
        <v>20800</v>
      </c>
      <c r="K6232" s="6">
        <f t="shared" si="255"/>
        <v>2.5688208064000335</v>
      </c>
    </row>
    <row r="6233" spans="1:11" hidden="1">
      <c r="A6233" s="4">
        <v>2026</v>
      </c>
      <c r="B6233">
        <v>5</v>
      </c>
      <c r="C6233" t="s">
        <v>54</v>
      </c>
      <c r="D6233" t="s">
        <v>11</v>
      </c>
      <c r="E6233" t="s">
        <v>103</v>
      </c>
      <c r="F6233" t="s">
        <v>104</v>
      </c>
      <c r="G6233" t="str">
        <f t="shared" si="254"/>
        <v>025PINK MONDIAL</v>
      </c>
      <c r="H6233" s="5">
        <v>10400</v>
      </c>
      <c r="I6233" s="6">
        <v>3071.9505625000002</v>
      </c>
      <c r="J6233" s="5">
        <v>22400</v>
      </c>
      <c r="K6233" s="6">
        <f t="shared" si="255"/>
        <v>3.3854711488378646</v>
      </c>
    </row>
    <row r="6234" spans="1:11" hidden="1">
      <c r="A6234" s="4">
        <v>2026</v>
      </c>
      <c r="B6234">
        <v>5</v>
      </c>
      <c r="C6234" t="s">
        <v>54</v>
      </c>
      <c r="D6234" t="s">
        <v>11</v>
      </c>
      <c r="E6234" t="s">
        <v>45</v>
      </c>
      <c r="F6234" t="s">
        <v>105</v>
      </c>
      <c r="G6234" t="str">
        <f t="shared" si="254"/>
        <v>026LOLA</v>
      </c>
      <c r="H6234" s="5">
        <v>7550</v>
      </c>
      <c r="I6234" s="6">
        <v>1097.125</v>
      </c>
      <c r="J6234" s="5">
        <v>8000</v>
      </c>
      <c r="K6234" s="6">
        <f t="shared" si="255"/>
        <v>6.8816224222399454</v>
      </c>
    </row>
    <row r="6235" spans="1:11" hidden="1">
      <c r="A6235" s="4">
        <v>2026</v>
      </c>
      <c r="B6235">
        <v>5</v>
      </c>
      <c r="C6235" t="s">
        <v>54</v>
      </c>
      <c r="D6235" t="s">
        <v>11</v>
      </c>
      <c r="E6235" t="s">
        <v>45</v>
      </c>
      <c r="F6235" t="s">
        <v>106</v>
      </c>
      <c r="G6235" t="str">
        <f t="shared" si="254"/>
        <v>026PALOMA</v>
      </c>
      <c r="H6235" s="5">
        <v>11325</v>
      </c>
      <c r="I6235" s="6">
        <v>2852.5250000000001</v>
      </c>
      <c r="J6235" s="5">
        <v>20800</v>
      </c>
      <c r="K6235" s="6">
        <f t="shared" si="255"/>
        <v>3.970166782061507</v>
      </c>
    </row>
    <row r="6236" spans="1:11" hidden="1">
      <c r="A6236" s="4">
        <v>2026</v>
      </c>
      <c r="B6236">
        <v>5</v>
      </c>
      <c r="C6236" t="s">
        <v>54</v>
      </c>
      <c r="D6236" t="s">
        <v>11</v>
      </c>
      <c r="E6236" t="s">
        <v>107</v>
      </c>
      <c r="F6236" t="s">
        <v>108</v>
      </c>
      <c r="G6236" t="str">
        <f t="shared" si="254"/>
        <v>027SATISFACTION</v>
      </c>
      <c r="H6236" s="5">
        <v>15390</v>
      </c>
      <c r="I6236" s="6">
        <v>2633.1</v>
      </c>
      <c r="J6236" s="5">
        <v>19200</v>
      </c>
      <c r="K6236" s="6">
        <f t="shared" si="255"/>
        <v>5.8448216930614105</v>
      </c>
    </row>
    <row r="6237" spans="1:11" hidden="1">
      <c r="A6237" s="4">
        <v>2026</v>
      </c>
      <c r="B6237">
        <v>5</v>
      </c>
      <c r="C6237" t="s">
        <v>54</v>
      </c>
      <c r="D6237" t="s">
        <v>11</v>
      </c>
      <c r="E6237" t="s">
        <v>107</v>
      </c>
      <c r="F6237" t="s">
        <v>109</v>
      </c>
      <c r="G6237" t="str">
        <f t="shared" si="254"/>
        <v>027TIFFANY</v>
      </c>
      <c r="H6237" s="5">
        <v>13200</v>
      </c>
      <c r="I6237" s="6">
        <v>2633.1</v>
      </c>
      <c r="J6237" s="5">
        <v>19200</v>
      </c>
      <c r="K6237" s="6">
        <f t="shared" si="255"/>
        <v>5.0131024267973112</v>
      </c>
    </row>
    <row r="6238" spans="1:11" hidden="1">
      <c r="A6238" s="4">
        <v>2026</v>
      </c>
      <c r="B6238">
        <v>5</v>
      </c>
      <c r="C6238" t="s">
        <v>54</v>
      </c>
      <c r="D6238" t="s">
        <v>11</v>
      </c>
      <c r="E6238" t="s">
        <v>110</v>
      </c>
      <c r="F6238" t="s">
        <v>70</v>
      </c>
      <c r="G6238" t="str">
        <f t="shared" si="254"/>
        <v>028COTOPAXI</v>
      </c>
      <c r="H6238" s="5">
        <v>9120</v>
      </c>
      <c r="I6238" s="6">
        <v>2852.5250000000001</v>
      </c>
      <c r="J6238" s="5">
        <v>20800</v>
      </c>
      <c r="K6238" s="6">
        <f t="shared" si="255"/>
        <v>3.1971674218455579</v>
      </c>
    </row>
    <row r="6239" spans="1:11" hidden="1">
      <c r="A6239" s="4">
        <v>2026</v>
      </c>
      <c r="B6239">
        <v>5</v>
      </c>
      <c r="C6239" t="s">
        <v>54</v>
      </c>
      <c r="D6239" t="s">
        <v>11</v>
      </c>
      <c r="E6239" t="s">
        <v>110</v>
      </c>
      <c r="F6239" t="s">
        <v>67</v>
      </c>
      <c r="G6239" t="str">
        <f t="shared" si="254"/>
        <v>028DEEP PURPLE</v>
      </c>
      <c r="H6239" s="5">
        <v>18480</v>
      </c>
      <c r="I6239" s="6">
        <v>2852.5250000000001</v>
      </c>
      <c r="J6239" s="5">
        <v>20800</v>
      </c>
      <c r="K6239" s="6">
        <f t="shared" si="255"/>
        <v>6.4784708284765253</v>
      </c>
    </row>
    <row r="6240" spans="1:11" hidden="1">
      <c r="A6240" s="4">
        <v>2026</v>
      </c>
      <c r="B6240">
        <v>5</v>
      </c>
      <c r="C6240" t="s">
        <v>54</v>
      </c>
      <c r="D6240" t="s">
        <v>11</v>
      </c>
      <c r="E6240" t="s">
        <v>111</v>
      </c>
      <c r="F6240" t="s">
        <v>112</v>
      </c>
      <c r="G6240" t="str">
        <f t="shared" si="254"/>
        <v>029PINK FLOYD</v>
      </c>
      <c r="H6240" s="5">
        <v>6500</v>
      </c>
      <c r="I6240" s="6">
        <v>3071.95</v>
      </c>
      <c r="J6240" s="5">
        <v>22400</v>
      </c>
      <c r="K6240" s="6">
        <f t="shared" si="255"/>
        <v>2.1159198554663976</v>
      </c>
    </row>
    <row r="6241" spans="1:11" hidden="1">
      <c r="A6241" s="4">
        <v>2026</v>
      </c>
      <c r="B6241">
        <v>5</v>
      </c>
      <c r="C6241" t="s">
        <v>54</v>
      </c>
      <c r="D6241" t="s">
        <v>11</v>
      </c>
      <c r="E6241" t="s">
        <v>47</v>
      </c>
      <c r="F6241" t="s">
        <v>57</v>
      </c>
      <c r="G6241" t="str">
        <f t="shared" si="254"/>
        <v>030EXPLORER</v>
      </c>
      <c r="H6241" s="5">
        <v>3575</v>
      </c>
      <c r="I6241" s="6">
        <v>1645.6875</v>
      </c>
      <c r="J6241" s="5">
        <v>12000</v>
      </c>
      <c r="K6241" s="6">
        <f t="shared" si="255"/>
        <v>2.1723443849455015</v>
      </c>
    </row>
    <row r="6242" spans="1:11" hidden="1">
      <c r="A6242" s="4">
        <v>2026</v>
      </c>
      <c r="B6242">
        <v>6</v>
      </c>
      <c r="C6242" t="s">
        <v>10</v>
      </c>
      <c r="D6242" t="s">
        <v>11</v>
      </c>
      <c r="E6242" t="s">
        <v>12</v>
      </c>
      <c r="F6242" t="s">
        <v>13</v>
      </c>
      <c r="G6242" t="str">
        <f t="shared" si="254"/>
        <v>002SOMERSET</v>
      </c>
      <c r="H6242" s="5">
        <v>8000</v>
      </c>
      <c r="I6242" s="6">
        <v>4121.4642855494085</v>
      </c>
      <c r="J6242" s="5">
        <v>31200</v>
      </c>
      <c r="K6242" s="6">
        <f t="shared" si="255"/>
        <v>1.9410577032171386</v>
      </c>
    </row>
    <row r="6243" spans="1:11" hidden="1">
      <c r="A6243" s="4">
        <v>2026</v>
      </c>
      <c r="B6243">
        <v>6</v>
      </c>
      <c r="C6243" t="s">
        <v>10</v>
      </c>
      <c r="D6243" t="s">
        <v>11</v>
      </c>
      <c r="E6243" t="s">
        <v>14</v>
      </c>
      <c r="F6243" t="s">
        <v>15</v>
      </c>
      <c r="G6243" t="str">
        <f t="shared" si="254"/>
        <v>004BELLINA</v>
      </c>
      <c r="H6243" s="5">
        <v>1680</v>
      </c>
      <c r="I6243" s="6">
        <v>1056.7857142434418</v>
      </c>
      <c r="J6243" s="5">
        <v>8000</v>
      </c>
      <c r="K6243" s="6">
        <f t="shared" si="255"/>
        <v>1.5897262589348309</v>
      </c>
    </row>
    <row r="6244" spans="1:11" hidden="1">
      <c r="A6244" s="4">
        <v>2026</v>
      </c>
      <c r="B6244">
        <v>6</v>
      </c>
      <c r="C6244" t="s">
        <v>10</v>
      </c>
      <c r="D6244" t="s">
        <v>11</v>
      </c>
      <c r="E6244" t="s">
        <v>16</v>
      </c>
      <c r="F6244" t="s">
        <v>17</v>
      </c>
      <c r="G6244" t="str">
        <f t="shared" si="254"/>
        <v>005ELBA</v>
      </c>
      <c r="H6244" s="5">
        <v>10260</v>
      </c>
      <c r="I6244" s="6">
        <v>2641.9642856076484</v>
      </c>
      <c r="J6244" s="5">
        <v>19996</v>
      </c>
      <c r="K6244" s="6">
        <f t="shared" si="255"/>
        <v>3.883474146827921</v>
      </c>
    </row>
    <row r="6245" spans="1:11" hidden="1">
      <c r="A6245" s="4">
        <v>2026</v>
      </c>
      <c r="B6245">
        <v>6</v>
      </c>
      <c r="C6245" t="s">
        <v>10</v>
      </c>
      <c r="D6245" t="s">
        <v>11</v>
      </c>
      <c r="E6245" t="s">
        <v>16</v>
      </c>
      <c r="F6245" t="s">
        <v>18</v>
      </c>
      <c r="G6245" t="str">
        <f t="shared" si="254"/>
        <v>005HOT BUBBLES</v>
      </c>
      <c r="H6245" s="5">
        <v>1360</v>
      </c>
      <c r="I6245" s="6">
        <v>528.39285712153003</v>
      </c>
      <c r="J6245" s="5">
        <v>4000</v>
      </c>
      <c r="K6245" s="6">
        <f t="shared" si="255"/>
        <v>2.5738425144668464</v>
      </c>
    </row>
    <row r="6246" spans="1:11" hidden="1">
      <c r="A6246" s="4">
        <v>2026</v>
      </c>
      <c r="B6246">
        <v>6</v>
      </c>
      <c r="C6246" t="s">
        <v>10</v>
      </c>
      <c r="D6246" t="s">
        <v>11</v>
      </c>
      <c r="E6246" t="s">
        <v>16</v>
      </c>
      <c r="F6246" t="s">
        <v>19</v>
      </c>
      <c r="G6246" t="str">
        <f t="shared" si="254"/>
        <v>005SUSPIRO</v>
      </c>
      <c r="H6246" s="5">
        <v>8520</v>
      </c>
      <c r="I6246" s="6">
        <v>1902.2142856375078</v>
      </c>
      <c r="J6246" s="5">
        <v>14400</v>
      </c>
      <c r="K6246" s="6">
        <f t="shared" si="255"/>
        <v>4.4789906501751497</v>
      </c>
    </row>
    <row r="6247" spans="1:11" hidden="1">
      <c r="A6247" s="4">
        <v>2026</v>
      </c>
      <c r="B6247">
        <v>6</v>
      </c>
      <c r="C6247" t="s">
        <v>10</v>
      </c>
      <c r="D6247" t="s">
        <v>11</v>
      </c>
      <c r="E6247" t="s">
        <v>20</v>
      </c>
      <c r="F6247" t="s">
        <v>21</v>
      </c>
      <c r="G6247" t="str">
        <f t="shared" si="254"/>
        <v>007SNOW BUBBLES</v>
      </c>
      <c r="H6247" s="5">
        <v>1160</v>
      </c>
      <c r="I6247" s="6">
        <v>634.05652706821195</v>
      </c>
      <c r="J6247" s="5">
        <v>4800</v>
      </c>
      <c r="K6247" s="6">
        <f t="shared" si="255"/>
        <v>1.8294898806005147</v>
      </c>
    </row>
    <row r="6248" spans="1:11" hidden="1">
      <c r="A6248" s="4">
        <v>2026</v>
      </c>
      <c r="B6248">
        <v>6</v>
      </c>
      <c r="C6248" t="s">
        <v>10</v>
      </c>
      <c r="D6248" t="s">
        <v>11</v>
      </c>
      <c r="E6248" t="s">
        <v>22</v>
      </c>
      <c r="F6248" t="s">
        <v>18</v>
      </c>
      <c r="G6248" t="str">
        <f t="shared" si="254"/>
        <v>009HOT BUBBLES</v>
      </c>
      <c r="H6248" s="5">
        <v>7340</v>
      </c>
      <c r="I6248" s="6">
        <v>4487.9999999102474</v>
      </c>
      <c r="J6248" s="5">
        <v>31740</v>
      </c>
      <c r="K6248" s="6">
        <f t="shared" si="255"/>
        <v>1.6354723707991952</v>
      </c>
    </row>
    <row r="6249" spans="1:11" hidden="1">
      <c r="A6249" s="4">
        <v>2026</v>
      </c>
      <c r="B6249">
        <v>6</v>
      </c>
      <c r="C6249" t="s">
        <v>10</v>
      </c>
      <c r="D6249" t="s">
        <v>11</v>
      </c>
      <c r="E6249" t="s">
        <v>23</v>
      </c>
      <c r="F6249" t="s">
        <v>24</v>
      </c>
      <c r="G6249" t="str">
        <f t="shared" si="254"/>
        <v>014FRUITY BUBBLES</v>
      </c>
      <c r="H6249" s="5">
        <v>3800</v>
      </c>
      <c r="I6249" s="6">
        <v>1702.8</v>
      </c>
      <c r="J6249" s="5">
        <v>12900</v>
      </c>
      <c r="K6249" s="6">
        <f t="shared" si="255"/>
        <v>2.231618510688278</v>
      </c>
    </row>
    <row r="6250" spans="1:11" hidden="1">
      <c r="A6250" s="4">
        <v>2026</v>
      </c>
      <c r="B6250">
        <v>6</v>
      </c>
      <c r="C6250" t="s">
        <v>10</v>
      </c>
      <c r="D6250" t="s">
        <v>11</v>
      </c>
      <c r="E6250" t="s">
        <v>25</v>
      </c>
      <c r="F6250" t="s">
        <v>26</v>
      </c>
      <c r="G6250" t="str">
        <f t="shared" si="254"/>
        <v>015FELLINI</v>
      </c>
      <c r="H6250" s="5">
        <v>6420</v>
      </c>
      <c r="I6250" s="6">
        <v>3009.6</v>
      </c>
      <c r="J6250" s="5">
        <v>22800</v>
      </c>
      <c r="K6250" s="6">
        <f t="shared" si="255"/>
        <v>2.1331738437001597</v>
      </c>
    </row>
    <row r="6251" spans="1:11" hidden="1">
      <c r="A6251" s="4">
        <v>2026</v>
      </c>
      <c r="B6251">
        <v>6</v>
      </c>
      <c r="C6251" t="s">
        <v>10</v>
      </c>
      <c r="D6251" t="s">
        <v>11</v>
      </c>
      <c r="E6251" t="s">
        <v>27</v>
      </c>
      <c r="F6251" t="s">
        <v>28</v>
      </c>
      <c r="G6251" t="str">
        <f t="shared" si="254"/>
        <v>016GOOD PEACH</v>
      </c>
      <c r="H6251" s="5">
        <v>2910</v>
      </c>
      <c r="I6251" s="6">
        <v>1386</v>
      </c>
      <c r="J6251" s="5">
        <v>10500</v>
      </c>
      <c r="K6251" s="6">
        <f t="shared" si="255"/>
        <v>2.0995670995670994</v>
      </c>
    </row>
    <row r="6252" spans="1:11" hidden="1">
      <c r="A6252" s="4">
        <v>2026</v>
      </c>
      <c r="B6252">
        <v>6</v>
      </c>
      <c r="C6252" t="s">
        <v>10</v>
      </c>
      <c r="D6252" t="s">
        <v>11</v>
      </c>
      <c r="E6252" t="s">
        <v>27</v>
      </c>
      <c r="F6252" t="s">
        <v>29</v>
      </c>
      <c r="G6252" t="str">
        <f t="shared" si="254"/>
        <v>016GOOD YELLOW</v>
      </c>
      <c r="H6252" s="5">
        <v>3090</v>
      </c>
      <c r="I6252" s="6">
        <v>1386</v>
      </c>
      <c r="J6252" s="5">
        <v>10500</v>
      </c>
      <c r="K6252" s="6">
        <f t="shared" si="255"/>
        <v>2.2294372294372296</v>
      </c>
    </row>
    <row r="6253" spans="1:11" hidden="1">
      <c r="A6253" s="4">
        <v>2026</v>
      </c>
      <c r="B6253">
        <v>6</v>
      </c>
      <c r="C6253" t="s">
        <v>10</v>
      </c>
      <c r="D6253" t="s">
        <v>11</v>
      </c>
      <c r="E6253" t="s">
        <v>30</v>
      </c>
      <c r="F6253" t="s">
        <v>31</v>
      </c>
      <c r="G6253" t="str">
        <f t="shared" si="254"/>
        <v>017ORANGE STAR</v>
      </c>
      <c r="H6253" s="5">
        <v>1800</v>
      </c>
      <c r="I6253" s="6">
        <v>1029.5999999999999</v>
      </c>
      <c r="J6253" s="5">
        <v>7800</v>
      </c>
      <c r="K6253" s="6">
        <f t="shared" si="255"/>
        <v>1.7482517482517483</v>
      </c>
    </row>
    <row r="6254" spans="1:11" hidden="1">
      <c r="A6254" s="4">
        <v>2026</v>
      </c>
      <c r="B6254">
        <v>6</v>
      </c>
      <c r="C6254" t="s">
        <v>10</v>
      </c>
      <c r="D6254" t="s">
        <v>11</v>
      </c>
      <c r="E6254" t="s">
        <v>32</v>
      </c>
      <c r="F6254" t="s">
        <v>33</v>
      </c>
      <c r="G6254" t="str">
        <f t="shared" si="254"/>
        <v>018COSMO</v>
      </c>
      <c r="H6254" s="5">
        <v>5375</v>
      </c>
      <c r="I6254" s="6">
        <v>2653.2</v>
      </c>
      <c r="J6254" s="5">
        <v>20100</v>
      </c>
      <c r="K6254" s="6">
        <f t="shared" si="255"/>
        <v>2.0258555706316903</v>
      </c>
    </row>
    <row r="6255" spans="1:11" hidden="1">
      <c r="A6255" s="4">
        <v>2026</v>
      </c>
      <c r="B6255">
        <v>6</v>
      </c>
      <c r="C6255" t="s">
        <v>10</v>
      </c>
      <c r="D6255" t="s">
        <v>11</v>
      </c>
      <c r="E6255" t="s">
        <v>32</v>
      </c>
      <c r="F6255" t="s">
        <v>34</v>
      </c>
      <c r="G6255" t="str">
        <f t="shared" si="254"/>
        <v>018RUBICON</v>
      </c>
      <c r="H6255" s="5">
        <v>3270</v>
      </c>
      <c r="I6255" s="6">
        <v>1768.8</v>
      </c>
      <c r="J6255" s="5">
        <v>13400</v>
      </c>
      <c r="K6255" s="6">
        <f t="shared" si="255"/>
        <v>1.8487109905020354</v>
      </c>
    </row>
    <row r="6256" spans="1:11" hidden="1">
      <c r="A6256" s="4">
        <v>2026</v>
      </c>
      <c r="B6256">
        <v>6</v>
      </c>
      <c r="C6256" t="s">
        <v>10</v>
      </c>
      <c r="D6256" t="s">
        <v>11</v>
      </c>
      <c r="E6256" t="s">
        <v>35</v>
      </c>
      <c r="F6256" t="s">
        <v>15</v>
      </c>
      <c r="G6256" t="str">
        <f t="shared" si="254"/>
        <v>019BELLINA</v>
      </c>
      <c r="H6256" s="5">
        <v>2700</v>
      </c>
      <c r="I6256" s="6">
        <v>1029.5999999999999</v>
      </c>
      <c r="J6256" s="5">
        <v>7800</v>
      </c>
      <c r="K6256" s="6">
        <f t="shared" si="255"/>
        <v>2.6223776223776225</v>
      </c>
    </row>
    <row r="6257" spans="1:11" hidden="1">
      <c r="A6257" s="4">
        <v>2026</v>
      </c>
      <c r="B6257">
        <v>6</v>
      </c>
      <c r="C6257" t="s">
        <v>10</v>
      </c>
      <c r="D6257" t="s">
        <v>11</v>
      </c>
      <c r="E6257" t="s">
        <v>36</v>
      </c>
      <c r="F6257" t="s">
        <v>37</v>
      </c>
      <c r="G6257" t="str">
        <f t="shared" si="254"/>
        <v>020SUMMER DANCE</v>
      </c>
      <c r="H6257" s="5">
        <v>2850</v>
      </c>
      <c r="I6257" s="6">
        <v>1346.4</v>
      </c>
      <c r="J6257" s="5">
        <v>10200</v>
      </c>
      <c r="K6257" s="6">
        <f t="shared" si="255"/>
        <v>2.1167557932263814</v>
      </c>
    </row>
    <row r="6258" spans="1:11" hidden="1">
      <c r="A6258" s="4">
        <v>2026</v>
      </c>
      <c r="B6258">
        <v>6</v>
      </c>
      <c r="C6258" t="s">
        <v>10</v>
      </c>
      <c r="D6258" t="s">
        <v>11</v>
      </c>
      <c r="E6258" t="s">
        <v>38</v>
      </c>
      <c r="F6258" t="s">
        <v>39</v>
      </c>
      <c r="G6258" t="str">
        <f t="shared" si="254"/>
        <v>021ELEGANT ROSEVER</v>
      </c>
      <c r="H6258" s="5">
        <v>600</v>
      </c>
      <c r="I6258" s="6">
        <v>440.18999062500001</v>
      </c>
      <c r="J6258" s="5">
        <v>3200</v>
      </c>
      <c r="K6258" s="6">
        <f t="shared" si="255"/>
        <v>1.3630478038541838</v>
      </c>
    </row>
    <row r="6259" spans="1:11" hidden="1">
      <c r="A6259" s="4">
        <v>2026</v>
      </c>
      <c r="B6259">
        <v>6</v>
      </c>
      <c r="C6259" t="s">
        <v>10</v>
      </c>
      <c r="D6259" t="s">
        <v>11</v>
      </c>
      <c r="E6259" t="s">
        <v>38</v>
      </c>
      <c r="F6259" t="s">
        <v>40</v>
      </c>
      <c r="G6259" t="str">
        <f t="shared" si="254"/>
        <v>021FLAME CLUB</v>
      </c>
      <c r="H6259" s="5">
        <v>2200</v>
      </c>
      <c r="I6259" s="6">
        <v>880.38</v>
      </c>
      <c r="J6259" s="5">
        <v>6400</v>
      </c>
      <c r="K6259" s="6">
        <f t="shared" si="255"/>
        <v>2.4989209205115972</v>
      </c>
    </row>
    <row r="6260" spans="1:11" hidden="1">
      <c r="A6260" s="4">
        <v>2026</v>
      </c>
      <c r="B6260">
        <v>6</v>
      </c>
      <c r="C6260" t="s">
        <v>10</v>
      </c>
      <c r="D6260" t="s">
        <v>11</v>
      </c>
      <c r="E6260" t="s">
        <v>38</v>
      </c>
      <c r="F6260" t="s">
        <v>41</v>
      </c>
      <c r="G6260" t="str">
        <f t="shared" si="254"/>
        <v>021KELLY</v>
      </c>
      <c r="H6260" s="5">
        <v>525</v>
      </c>
      <c r="I6260" s="6">
        <v>330.14249999999998</v>
      </c>
      <c r="J6260" s="5">
        <v>2400</v>
      </c>
      <c r="K6260" s="6">
        <f t="shared" si="255"/>
        <v>1.5902224039619257</v>
      </c>
    </row>
    <row r="6261" spans="1:11" hidden="1">
      <c r="A6261" s="4">
        <v>2026</v>
      </c>
      <c r="B6261">
        <v>6</v>
      </c>
      <c r="C6261" t="s">
        <v>10</v>
      </c>
      <c r="D6261" t="s">
        <v>11</v>
      </c>
      <c r="E6261" t="s">
        <v>38</v>
      </c>
      <c r="F6261" t="s">
        <v>42</v>
      </c>
      <c r="G6261" t="str">
        <f t="shared" si="254"/>
        <v>021LEILA</v>
      </c>
      <c r="H6261" s="5">
        <v>5750</v>
      </c>
      <c r="I6261" s="6">
        <v>1430.6175000000001</v>
      </c>
      <c r="J6261" s="5">
        <v>10400</v>
      </c>
      <c r="K6261" s="6">
        <f t="shared" si="255"/>
        <v>4.0192434385850859</v>
      </c>
    </row>
    <row r="6262" spans="1:11" hidden="1">
      <c r="A6262" s="4">
        <v>2026</v>
      </c>
      <c r="B6262">
        <v>6</v>
      </c>
      <c r="C6262" t="s">
        <v>10</v>
      </c>
      <c r="D6262" t="s">
        <v>11</v>
      </c>
      <c r="E6262" t="s">
        <v>38</v>
      </c>
      <c r="F6262" t="s">
        <v>21</v>
      </c>
      <c r="G6262" t="str">
        <f t="shared" si="254"/>
        <v>021SNOW BUBBLES</v>
      </c>
      <c r="H6262" s="5">
        <v>5360</v>
      </c>
      <c r="I6262" s="6">
        <v>1287.0000000000018</v>
      </c>
      <c r="J6262" s="5">
        <v>9400</v>
      </c>
      <c r="K6262" s="6">
        <f t="shared" si="255"/>
        <v>4.1647241647241584</v>
      </c>
    </row>
    <row r="6263" spans="1:11" hidden="1">
      <c r="A6263" s="4">
        <v>2026</v>
      </c>
      <c r="B6263">
        <v>6</v>
      </c>
      <c r="C6263" t="s">
        <v>10</v>
      </c>
      <c r="D6263" t="s">
        <v>11</v>
      </c>
      <c r="E6263" t="s">
        <v>43</v>
      </c>
      <c r="F6263" t="s">
        <v>24</v>
      </c>
      <c r="G6263" t="str">
        <f t="shared" si="254"/>
        <v>022FRUITY BUBBLES</v>
      </c>
      <c r="H6263" s="5">
        <v>6350</v>
      </c>
      <c r="I6263" s="6">
        <v>2641.14</v>
      </c>
      <c r="J6263" s="5">
        <v>19200</v>
      </c>
      <c r="K6263" s="6">
        <f t="shared" si="255"/>
        <v>2.4042648250376732</v>
      </c>
    </row>
    <row r="6264" spans="1:11" hidden="1">
      <c r="A6264" s="4">
        <v>2026</v>
      </c>
      <c r="B6264">
        <v>6</v>
      </c>
      <c r="C6264" t="s">
        <v>10</v>
      </c>
      <c r="D6264" t="s">
        <v>11</v>
      </c>
      <c r="E6264" t="s">
        <v>43</v>
      </c>
      <c r="F6264" t="s">
        <v>28</v>
      </c>
      <c r="G6264" t="str">
        <f t="shared" si="254"/>
        <v>022GOOD PEACH</v>
      </c>
      <c r="H6264" s="5">
        <v>2820</v>
      </c>
      <c r="I6264" s="6">
        <v>880.38</v>
      </c>
      <c r="J6264" s="5">
        <v>6400</v>
      </c>
      <c r="K6264" s="6">
        <f t="shared" si="255"/>
        <v>3.2031622708375931</v>
      </c>
    </row>
    <row r="6265" spans="1:11" hidden="1">
      <c r="A6265" s="4">
        <v>2026</v>
      </c>
      <c r="B6265">
        <v>6</v>
      </c>
      <c r="C6265" t="s">
        <v>10</v>
      </c>
      <c r="D6265" t="s">
        <v>11</v>
      </c>
      <c r="E6265" t="s">
        <v>43</v>
      </c>
      <c r="F6265" t="s">
        <v>44</v>
      </c>
      <c r="G6265" t="str">
        <f t="shared" ref="G6265:G6325" si="256">+E6265&amp;F6265</f>
        <v>022MIRABEL</v>
      </c>
      <c r="H6265" s="5">
        <v>2240</v>
      </c>
      <c r="I6265" s="6">
        <v>880.38</v>
      </c>
      <c r="J6265" s="5">
        <v>6400</v>
      </c>
      <c r="K6265" s="6">
        <f t="shared" si="255"/>
        <v>2.544355846339081</v>
      </c>
    </row>
    <row r="6266" spans="1:11" hidden="1">
      <c r="A6266" s="4">
        <v>2026</v>
      </c>
      <c r="B6266">
        <v>6</v>
      </c>
      <c r="C6266" t="s">
        <v>10</v>
      </c>
      <c r="D6266" t="s">
        <v>11</v>
      </c>
      <c r="E6266" t="s">
        <v>47</v>
      </c>
      <c r="F6266" t="s">
        <v>44</v>
      </c>
      <c r="G6266" t="str">
        <f t="shared" si="256"/>
        <v>030MIRABEL</v>
      </c>
      <c r="H6266" s="5">
        <v>3860</v>
      </c>
      <c r="I6266" s="6">
        <v>2413.6749943750001</v>
      </c>
      <c r="J6266" s="5">
        <v>17600</v>
      </c>
      <c r="K6266" s="6">
        <f t="shared" si="255"/>
        <v>1.5992211084738495</v>
      </c>
    </row>
    <row r="6267" spans="1:11" hidden="1">
      <c r="A6267" s="4">
        <v>2026</v>
      </c>
      <c r="B6267">
        <v>6</v>
      </c>
      <c r="C6267" t="s">
        <v>10</v>
      </c>
      <c r="D6267" t="s">
        <v>11</v>
      </c>
      <c r="E6267" t="s">
        <v>47</v>
      </c>
      <c r="F6267" t="s">
        <v>13</v>
      </c>
      <c r="G6267" t="str">
        <f t="shared" si="256"/>
        <v>030SOMERSET</v>
      </c>
      <c r="H6267" s="5">
        <v>2980</v>
      </c>
      <c r="I6267" s="6">
        <v>1645.6875</v>
      </c>
      <c r="J6267" s="5">
        <v>12000</v>
      </c>
      <c r="K6267" s="6">
        <f t="shared" si="255"/>
        <v>1.8107933614370895</v>
      </c>
    </row>
    <row r="6268" spans="1:11" hidden="1">
      <c r="A6268" s="4">
        <v>2026</v>
      </c>
      <c r="B6268">
        <v>6</v>
      </c>
      <c r="C6268" t="s">
        <v>10</v>
      </c>
      <c r="D6268" t="s">
        <v>11</v>
      </c>
      <c r="E6268" t="s">
        <v>48</v>
      </c>
      <c r="F6268" t="s">
        <v>49</v>
      </c>
      <c r="G6268" t="str">
        <f t="shared" si="256"/>
        <v>03182989</v>
      </c>
      <c r="H6268" s="5">
        <v>600</v>
      </c>
      <c r="I6268" s="6">
        <v>726.32013058333712</v>
      </c>
      <c r="J6268" s="5">
        <v>5712</v>
      </c>
      <c r="K6268" s="6">
        <f t="shared" si="255"/>
        <v>0.82608201912029577</v>
      </c>
    </row>
    <row r="6269" spans="1:11" hidden="1">
      <c r="A6269" s="4">
        <v>2026</v>
      </c>
      <c r="B6269">
        <v>6</v>
      </c>
      <c r="C6269" t="s">
        <v>10</v>
      </c>
      <c r="D6269" t="s">
        <v>11</v>
      </c>
      <c r="E6269" t="s">
        <v>48</v>
      </c>
      <c r="F6269" t="s">
        <v>34</v>
      </c>
      <c r="G6269" t="str">
        <f t="shared" si="256"/>
        <v>031RUBICON</v>
      </c>
      <c r="H6269" s="5">
        <v>2340</v>
      </c>
      <c r="I6269" s="6">
        <v>924.39958333667107</v>
      </c>
      <c r="J6269" s="5">
        <v>6720</v>
      </c>
      <c r="K6269" s="6">
        <f t="shared" si="255"/>
        <v>2.5313728415515304</v>
      </c>
    </row>
    <row r="6270" spans="1:11" hidden="1">
      <c r="A6270" s="4">
        <v>2026</v>
      </c>
      <c r="B6270">
        <v>6</v>
      </c>
      <c r="C6270" t="s">
        <v>10</v>
      </c>
      <c r="D6270" t="s">
        <v>11</v>
      </c>
      <c r="E6270" t="s">
        <v>48</v>
      </c>
      <c r="F6270" t="s">
        <v>13</v>
      </c>
      <c r="G6270" t="str">
        <f t="shared" si="256"/>
        <v>031SOMERSET</v>
      </c>
      <c r="H6270" s="5">
        <v>780</v>
      </c>
      <c r="I6270" s="6">
        <v>1122.485208333339</v>
      </c>
      <c r="J6270" s="5">
        <v>8160</v>
      </c>
      <c r="K6270" s="6">
        <f t="shared" si="255"/>
        <v>0.69488666238920027</v>
      </c>
    </row>
    <row r="6271" spans="1:11" hidden="1">
      <c r="A6271" s="4">
        <v>2026</v>
      </c>
      <c r="B6271">
        <v>6</v>
      </c>
      <c r="C6271" t="s">
        <v>10</v>
      </c>
      <c r="D6271" t="s">
        <v>11</v>
      </c>
      <c r="E6271" t="s">
        <v>48</v>
      </c>
      <c r="F6271" t="s">
        <v>50</v>
      </c>
      <c r="G6271" t="str">
        <f t="shared" si="256"/>
        <v>031VELVET BLOSSOMS</v>
      </c>
      <c r="H6271" s="5">
        <v>640</v>
      </c>
      <c r="I6271" s="6">
        <v>396.17125000000198</v>
      </c>
      <c r="J6271" s="5">
        <v>2880</v>
      </c>
      <c r="K6271" s="6">
        <f t="shared" si="255"/>
        <v>1.6154630099988245</v>
      </c>
    </row>
    <row r="6272" spans="1:11" hidden="1">
      <c r="A6272" s="4">
        <v>2026</v>
      </c>
      <c r="B6272">
        <v>6</v>
      </c>
      <c r="C6272" t="s">
        <v>10</v>
      </c>
      <c r="D6272" t="s">
        <v>11</v>
      </c>
      <c r="E6272" t="s">
        <v>51</v>
      </c>
      <c r="F6272" t="s">
        <v>17</v>
      </c>
      <c r="G6272" t="str">
        <f t="shared" si="256"/>
        <v>032ELBA</v>
      </c>
      <c r="H6272" s="5">
        <v>2670</v>
      </c>
      <c r="I6272" s="6">
        <v>1535.9749999999999</v>
      </c>
      <c r="J6272" s="5">
        <v>11200</v>
      </c>
      <c r="K6272" s="6">
        <f t="shared" si="255"/>
        <v>1.7383095427985482</v>
      </c>
    </row>
    <row r="6273" spans="1:11" hidden="1">
      <c r="A6273" s="4">
        <v>2026</v>
      </c>
      <c r="B6273">
        <v>6</v>
      </c>
      <c r="C6273" t="s">
        <v>10</v>
      </c>
      <c r="D6273" t="s">
        <v>11</v>
      </c>
      <c r="E6273" t="s">
        <v>51</v>
      </c>
      <c r="F6273" t="s">
        <v>44</v>
      </c>
      <c r="G6273" t="str">
        <f t="shared" si="256"/>
        <v>032MIRABEL</v>
      </c>
      <c r="H6273" s="5">
        <v>2440</v>
      </c>
      <c r="I6273" s="6">
        <v>1535.9749999999999</v>
      </c>
      <c r="J6273" s="5">
        <v>11200</v>
      </c>
      <c r="K6273" s="6">
        <f t="shared" si="255"/>
        <v>1.5885675222578493</v>
      </c>
    </row>
    <row r="6274" spans="1:11" hidden="1">
      <c r="A6274" s="4">
        <v>2026</v>
      </c>
      <c r="B6274">
        <v>6</v>
      </c>
      <c r="C6274" t="s">
        <v>10</v>
      </c>
      <c r="D6274" t="s">
        <v>11</v>
      </c>
      <c r="E6274" t="s">
        <v>52</v>
      </c>
      <c r="F6274" t="s">
        <v>53</v>
      </c>
      <c r="G6274" t="str">
        <f t="shared" si="256"/>
        <v>033CREAMY FOLIES</v>
      </c>
      <c r="H6274" s="5">
        <v>1050</v>
      </c>
      <c r="I6274" s="6">
        <v>594.25687500000299</v>
      </c>
      <c r="J6274" s="5">
        <v>4320</v>
      </c>
      <c r="K6274" s="6">
        <f t="shared" ref="K6274:K6335" si="257">+H6274/I6274</f>
        <v>1.7669126671862143</v>
      </c>
    </row>
    <row r="6275" spans="1:11" hidden="1">
      <c r="A6275" s="4">
        <v>2026</v>
      </c>
      <c r="B6275">
        <v>6</v>
      </c>
      <c r="C6275" t="s">
        <v>10</v>
      </c>
      <c r="D6275" t="s">
        <v>11</v>
      </c>
      <c r="E6275" t="s">
        <v>52</v>
      </c>
      <c r="F6275" t="s">
        <v>18</v>
      </c>
      <c r="G6275" t="str">
        <f t="shared" si="256"/>
        <v>033HOT BUBBLES</v>
      </c>
      <c r="H6275" s="5">
        <v>3480</v>
      </c>
      <c r="I6275" s="6">
        <v>2575.1131250013459</v>
      </c>
      <c r="J6275" s="5">
        <v>18720</v>
      </c>
      <c r="K6275" s="6">
        <f t="shared" si="257"/>
        <v>1.3513969410560094</v>
      </c>
    </row>
    <row r="6276" spans="1:11" hidden="1">
      <c r="A6276" s="4">
        <v>2026</v>
      </c>
      <c r="B6276">
        <v>6</v>
      </c>
      <c r="C6276" t="s">
        <v>54</v>
      </c>
      <c r="D6276" t="s">
        <v>11</v>
      </c>
      <c r="E6276" t="s">
        <v>55</v>
      </c>
      <c r="F6276" t="s">
        <v>56</v>
      </c>
      <c r="G6276" t="str">
        <f t="shared" si="256"/>
        <v>001BELIEVE IN PINK</v>
      </c>
      <c r="H6276" s="5">
        <v>1230</v>
      </c>
      <c r="I6276" s="6">
        <v>528.37931032368999</v>
      </c>
      <c r="J6276" s="5">
        <v>4000</v>
      </c>
      <c r="K6276" s="6">
        <f t="shared" ref="K6276:K6281" si="258">IFERROR(H6276/I6276,"")</f>
        <v>2.3278731319863581</v>
      </c>
    </row>
    <row r="6277" spans="1:11" hidden="1">
      <c r="A6277" s="4">
        <v>2026</v>
      </c>
      <c r="B6277">
        <v>6</v>
      </c>
      <c r="C6277" t="s">
        <v>54</v>
      </c>
      <c r="D6277" t="s">
        <v>11</v>
      </c>
      <c r="E6277" t="s">
        <v>55</v>
      </c>
      <c r="F6277" t="s">
        <v>57</v>
      </c>
      <c r="G6277" t="str">
        <f t="shared" si="256"/>
        <v>001EXPLORER</v>
      </c>
      <c r="H6277" s="5">
        <v>4475</v>
      </c>
      <c r="I6277" s="6">
        <v>2272.0310343918732</v>
      </c>
      <c r="J6277" s="5">
        <v>17200</v>
      </c>
      <c r="K6277" s="6">
        <f t="shared" si="258"/>
        <v>1.9696033778859754</v>
      </c>
    </row>
    <row r="6278" spans="1:11" hidden="1">
      <c r="A6278" s="4">
        <v>2026</v>
      </c>
      <c r="B6278">
        <v>6</v>
      </c>
      <c r="C6278" t="s">
        <v>54</v>
      </c>
      <c r="D6278" t="s">
        <v>11</v>
      </c>
      <c r="E6278" t="s">
        <v>55</v>
      </c>
      <c r="F6278" t="s">
        <v>58</v>
      </c>
      <c r="G6278" t="str">
        <f t="shared" si="256"/>
        <v>001GRACE KELLY</v>
      </c>
      <c r="H6278" s="5">
        <v>2130</v>
      </c>
      <c r="I6278" s="6">
        <v>1162.4344827121224</v>
      </c>
      <c r="J6278" s="5">
        <v>8800</v>
      </c>
      <c r="K6278" s="6">
        <f t="shared" si="258"/>
        <v>1.8323613344903635</v>
      </c>
    </row>
    <row r="6279" spans="1:11" hidden="1">
      <c r="A6279" s="4">
        <v>2026</v>
      </c>
      <c r="B6279">
        <v>6</v>
      </c>
      <c r="C6279" t="s">
        <v>54</v>
      </c>
      <c r="D6279" t="s">
        <v>11</v>
      </c>
      <c r="E6279" t="s">
        <v>55</v>
      </c>
      <c r="F6279" t="s">
        <v>60</v>
      </c>
      <c r="G6279" t="str">
        <f t="shared" si="256"/>
        <v>001LIGHT HOUSE</v>
      </c>
      <c r="H6279" s="5">
        <v>2490</v>
      </c>
      <c r="I6279" s="6">
        <v>1056.7586206473827</v>
      </c>
      <c r="J6279" s="5">
        <v>8000</v>
      </c>
      <c r="K6279" s="6">
        <f t="shared" si="258"/>
        <v>2.3562618287178929</v>
      </c>
    </row>
    <row r="6280" spans="1:11" hidden="1">
      <c r="A6280" s="4">
        <v>2026</v>
      </c>
      <c r="B6280">
        <v>6</v>
      </c>
      <c r="C6280" t="s">
        <v>54</v>
      </c>
      <c r="D6280" t="s">
        <v>11</v>
      </c>
      <c r="E6280" t="s">
        <v>55</v>
      </c>
      <c r="F6280" t="s">
        <v>61</v>
      </c>
      <c r="G6280" t="str">
        <f t="shared" si="256"/>
        <v>001LUMIA</v>
      </c>
      <c r="H6280" s="5">
        <v>1950</v>
      </c>
      <c r="I6280" s="6">
        <v>1109.596551679753</v>
      </c>
      <c r="J6280" s="5">
        <v>8400</v>
      </c>
      <c r="K6280" s="6">
        <f t="shared" si="258"/>
        <v>1.7573955119525286</v>
      </c>
    </row>
    <row r="6281" spans="1:11" hidden="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62</v>
      </c>
      <c r="G6281" t="str">
        <f t="shared" si="256"/>
        <v>001MOMENTUM</v>
      </c>
      <c r="H6281" s="5">
        <v>5700</v>
      </c>
      <c r="I6281" s="6">
        <v>1902.1655171652881</v>
      </c>
      <c r="J6281" s="5">
        <v>14400</v>
      </c>
      <c r="K6281" s="6">
        <f t="shared" si="258"/>
        <v>2.9965846549959827</v>
      </c>
    </row>
    <row r="6282" spans="1:11" hidden="1">
      <c r="A6282" s="4">
        <v>2026</v>
      </c>
      <c r="B6282">
        <v>6</v>
      </c>
      <c r="C6282" t="s">
        <v>54</v>
      </c>
      <c r="D6282" t="s">
        <v>11</v>
      </c>
      <c r="E6282" t="s">
        <v>12</v>
      </c>
      <c r="F6282" t="s">
        <v>63</v>
      </c>
      <c r="G6282" t="str">
        <f t="shared" si="256"/>
        <v>002SUMMER ROMANCE</v>
      </c>
      <c r="H6282" s="5">
        <v>2150</v>
      </c>
      <c r="I6282" s="6">
        <v>951.10714281909407</v>
      </c>
      <c r="J6282" s="5">
        <v>7200</v>
      </c>
      <c r="K6282" s="6">
        <f t="shared" si="257"/>
        <v>2.26052345020496</v>
      </c>
    </row>
    <row r="6283" spans="1:11" hidden="1">
      <c r="A6283" s="4">
        <v>2026</v>
      </c>
      <c r="B6283">
        <v>6</v>
      </c>
      <c r="C6283" t="s">
        <v>54</v>
      </c>
      <c r="D6283" t="s">
        <v>11</v>
      </c>
      <c r="E6283" t="s">
        <v>12</v>
      </c>
      <c r="F6283" t="s">
        <v>64</v>
      </c>
      <c r="G6283" t="str">
        <f t="shared" si="256"/>
        <v>002SWEETNESS</v>
      </c>
      <c r="H6283" s="5">
        <v>7170</v>
      </c>
      <c r="I6283" s="6">
        <v>3804.4285712763772</v>
      </c>
      <c r="J6283" s="5">
        <v>28800</v>
      </c>
      <c r="K6283" s="6">
        <f t="shared" si="257"/>
        <v>1.8846457137173904</v>
      </c>
    </row>
    <row r="6284" spans="1:11" hidden="1">
      <c r="A6284" s="4">
        <v>2026</v>
      </c>
      <c r="B6284">
        <v>6</v>
      </c>
      <c r="C6284" t="s">
        <v>54</v>
      </c>
      <c r="D6284" t="s">
        <v>11</v>
      </c>
      <c r="E6284" t="s">
        <v>65</v>
      </c>
      <c r="F6284" t="s">
        <v>66</v>
      </c>
      <c r="G6284" t="str">
        <f t="shared" si="256"/>
        <v>003CABARET</v>
      </c>
      <c r="H6284" s="5">
        <v>9540</v>
      </c>
      <c r="I6284" s="6">
        <v>2641.8965516184649</v>
      </c>
      <c r="J6284" s="5">
        <v>20000</v>
      </c>
      <c r="K6284" s="6">
        <f t="shared" si="257"/>
        <v>3.6110422242519888</v>
      </c>
    </row>
    <row r="6285" spans="1:11" hidden="1">
      <c r="A6285" s="4">
        <v>2026</v>
      </c>
      <c r="B6285">
        <v>6</v>
      </c>
      <c r="C6285" t="s">
        <v>54</v>
      </c>
      <c r="D6285" t="s">
        <v>11</v>
      </c>
      <c r="E6285" t="s">
        <v>65</v>
      </c>
      <c r="F6285" t="s">
        <v>67</v>
      </c>
      <c r="G6285" t="str">
        <f t="shared" si="256"/>
        <v>003DEEP PURPLE</v>
      </c>
      <c r="H6285" s="5">
        <v>8340</v>
      </c>
      <c r="I6285" s="6">
        <v>3592.9793102010913</v>
      </c>
      <c r="J6285" s="5">
        <v>26044</v>
      </c>
      <c r="K6285" s="6">
        <f t="shared" si="257"/>
        <v>2.3211934386377604</v>
      </c>
    </row>
    <row r="6286" spans="1:11" hidden="1">
      <c r="A6286" s="4">
        <v>2026</v>
      </c>
      <c r="B6286">
        <v>6</v>
      </c>
      <c r="C6286" t="s">
        <v>54</v>
      </c>
      <c r="D6286" t="s">
        <v>11</v>
      </c>
      <c r="E6286" t="s">
        <v>65</v>
      </c>
      <c r="F6286" t="s">
        <v>57</v>
      </c>
      <c r="G6286" t="str">
        <f t="shared" si="256"/>
        <v>003EXPLORER</v>
      </c>
      <c r="H6286" s="5">
        <v>1950</v>
      </c>
      <c r="I6286" s="6">
        <v>1268.1103447768633</v>
      </c>
      <c r="J6286" s="5">
        <v>9600</v>
      </c>
      <c r="K6286" s="6">
        <f t="shared" si="257"/>
        <v>1.5377210729584594</v>
      </c>
    </row>
    <row r="6287" spans="1:11" hidden="1">
      <c r="A6287" s="4">
        <v>2026</v>
      </c>
      <c r="B6287">
        <v>6</v>
      </c>
      <c r="C6287" t="s">
        <v>54</v>
      </c>
      <c r="D6287" t="s">
        <v>11</v>
      </c>
      <c r="E6287" t="s">
        <v>65</v>
      </c>
      <c r="F6287" t="s">
        <v>68</v>
      </c>
      <c r="G6287" t="str">
        <f t="shared" si="256"/>
        <v>003JOCKER</v>
      </c>
      <c r="H6287" s="5">
        <v>1500</v>
      </c>
      <c r="I6287" s="6">
        <v>528.37931032368999</v>
      </c>
      <c r="J6287" s="5">
        <v>4000</v>
      </c>
      <c r="K6287" s="6">
        <f t="shared" si="257"/>
        <v>2.838869673154095</v>
      </c>
    </row>
    <row r="6288" spans="1:11" hidden="1">
      <c r="A6288" s="4">
        <v>2026</v>
      </c>
      <c r="B6288">
        <v>6</v>
      </c>
      <c r="C6288" t="s">
        <v>54</v>
      </c>
      <c r="D6288" t="s">
        <v>11</v>
      </c>
      <c r="E6288" t="s">
        <v>65</v>
      </c>
      <c r="F6288" t="s">
        <v>69</v>
      </c>
      <c r="G6288" t="str">
        <f t="shared" si="256"/>
        <v>003QUICKSAND</v>
      </c>
      <c r="H6288" s="5">
        <v>3060</v>
      </c>
      <c r="I6288" s="6">
        <v>1162.4344827121247</v>
      </c>
      <c r="J6288" s="5">
        <v>8800</v>
      </c>
      <c r="K6288" s="6">
        <f t="shared" si="257"/>
        <v>2.6324064241974185</v>
      </c>
    </row>
    <row r="6289" spans="1:11" hidden="1">
      <c r="A6289" s="4">
        <v>2026</v>
      </c>
      <c r="B6289">
        <v>6</v>
      </c>
      <c r="C6289" t="s">
        <v>54</v>
      </c>
      <c r="D6289" t="s">
        <v>11</v>
      </c>
      <c r="E6289" t="s">
        <v>14</v>
      </c>
      <c r="F6289" t="s">
        <v>70</v>
      </c>
      <c r="G6289" t="str">
        <f t="shared" si="256"/>
        <v>004COTOPAXI</v>
      </c>
      <c r="H6289" s="5">
        <v>1110</v>
      </c>
      <c r="I6289" s="6">
        <v>528.3915024419166</v>
      </c>
      <c r="J6289" s="5">
        <v>4000</v>
      </c>
      <c r="K6289" s="6">
        <f t="shared" si="257"/>
        <v>2.1007150850652008</v>
      </c>
    </row>
    <row r="6290" spans="1:11" hidden="1">
      <c r="A6290" s="4">
        <v>2026</v>
      </c>
      <c r="B6290">
        <v>6</v>
      </c>
      <c r="C6290" t="s">
        <v>54</v>
      </c>
      <c r="D6290" t="s">
        <v>11</v>
      </c>
      <c r="E6290" t="s">
        <v>14</v>
      </c>
      <c r="F6290" t="s">
        <v>67</v>
      </c>
      <c r="G6290" t="str">
        <f t="shared" si="256"/>
        <v>004DEEP PURPLE</v>
      </c>
      <c r="H6290" s="5">
        <v>13470</v>
      </c>
      <c r="I6290" s="6">
        <v>3910.1071427007282</v>
      </c>
      <c r="J6290" s="5">
        <v>29260</v>
      </c>
      <c r="K6290" s="6">
        <f t="shared" si="257"/>
        <v>3.4449183892941133</v>
      </c>
    </row>
    <row r="6291" spans="1:11" hidden="1">
      <c r="A6291" s="4">
        <v>2026</v>
      </c>
      <c r="B6291">
        <v>6</v>
      </c>
      <c r="C6291" t="s">
        <v>54</v>
      </c>
      <c r="D6291" t="s">
        <v>11</v>
      </c>
      <c r="E6291" t="s">
        <v>14</v>
      </c>
      <c r="F6291" t="s">
        <v>71</v>
      </c>
      <c r="G6291" t="str">
        <f t="shared" si="256"/>
        <v>004HOT EXPLORER</v>
      </c>
      <c r="H6291" s="5">
        <v>2025</v>
      </c>
      <c r="I6291" s="6">
        <v>1902.2142856381945</v>
      </c>
      <c r="J6291" s="5">
        <v>14400</v>
      </c>
      <c r="K6291" s="6">
        <f t="shared" si="257"/>
        <v>1.0645488341081462</v>
      </c>
    </row>
    <row r="6292" spans="1:11" hidden="1">
      <c r="A6292" s="4">
        <v>2026</v>
      </c>
      <c r="B6292">
        <v>6</v>
      </c>
      <c r="C6292" t="s">
        <v>54</v>
      </c>
      <c r="D6292" t="s">
        <v>11</v>
      </c>
      <c r="E6292" t="s">
        <v>14</v>
      </c>
      <c r="F6292" t="s">
        <v>72</v>
      </c>
      <c r="G6292" t="str">
        <f t="shared" si="256"/>
        <v>004HOT MERENGUE</v>
      </c>
      <c r="H6292" s="5">
        <v>2820</v>
      </c>
      <c r="I6292" s="6">
        <v>1162.4642856677858</v>
      </c>
      <c r="J6292" s="5">
        <v>8800</v>
      </c>
      <c r="K6292" s="6">
        <f t="shared" si="257"/>
        <v>2.4258809795434111</v>
      </c>
    </row>
    <row r="6293" spans="1:11" hidden="1">
      <c r="A6293" s="4">
        <v>2026</v>
      </c>
      <c r="B6293">
        <v>6</v>
      </c>
      <c r="C6293" t="s">
        <v>54</v>
      </c>
      <c r="D6293" t="s">
        <v>11</v>
      </c>
      <c r="E6293" t="s">
        <v>14</v>
      </c>
      <c r="F6293" t="s">
        <v>64</v>
      </c>
      <c r="G6293" t="str">
        <f t="shared" si="256"/>
        <v>004SWEETNESS</v>
      </c>
      <c r="H6293" s="5">
        <v>930</v>
      </c>
      <c r="I6293" s="6">
        <v>317.03571427303262</v>
      </c>
      <c r="J6293" s="5">
        <v>2400</v>
      </c>
      <c r="K6293" s="6">
        <f t="shared" si="257"/>
        <v>2.9334234539868898</v>
      </c>
    </row>
    <row r="6294" spans="1:11" hidden="1">
      <c r="A6294" s="4">
        <v>2026</v>
      </c>
      <c r="B6294">
        <v>6</v>
      </c>
      <c r="C6294" t="s">
        <v>54</v>
      </c>
      <c r="D6294" t="s">
        <v>11</v>
      </c>
      <c r="E6294" t="s">
        <v>16</v>
      </c>
      <c r="F6294" t="s">
        <v>57</v>
      </c>
      <c r="G6294" t="str">
        <f t="shared" si="256"/>
        <v>005EXPLORER</v>
      </c>
      <c r="H6294" s="5">
        <v>1950</v>
      </c>
      <c r="I6294" s="6">
        <v>951.10714281875391</v>
      </c>
      <c r="J6294" s="5">
        <v>7200</v>
      </c>
      <c r="K6294" s="6">
        <f t="shared" si="257"/>
        <v>2.0502421990238364</v>
      </c>
    </row>
    <row r="6295" spans="1:11" hidden="1">
      <c r="A6295" s="4">
        <v>2026</v>
      </c>
      <c r="B6295">
        <v>6</v>
      </c>
      <c r="C6295" t="s">
        <v>54</v>
      </c>
      <c r="D6295" t="s">
        <v>11</v>
      </c>
      <c r="E6295" t="s">
        <v>16</v>
      </c>
      <c r="F6295" t="s">
        <v>73</v>
      </c>
      <c r="G6295" t="str">
        <f t="shared" si="256"/>
        <v>005GOLDFINCH</v>
      </c>
      <c r="H6295" s="5">
        <v>1250</v>
      </c>
      <c r="I6295" s="6">
        <v>898.26785710660101</v>
      </c>
      <c r="J6295" s="5">
        <v>6800</v>
      </c>
      <c r="K6295" s="6">
        <f t="shared" si="257"/>
        <v>1.3915671034098436</v>
      </c>
    </row>
    <row r="6296" spans="1:11" hidden="1">
      <c r="A6296" s="4">
        <v>2026</v>
      </c>
      <c r="B6296">
        <v>6</v>
      </c>
      <c r="C6296" t="s">
        <v>54</v>
      </c>
      <c r="D6296" t="s">
        <v>11</v>
      </c>
      <c r="E6296" t="s">
        <v>16</v>
      </c>
      <c r="F6296" t="s">
        <v>68</v>
      </c>
      <c r="G6296" t="str">
        <f t="shared" si="256"/>
        <v>005JOCKER</v>
      </c>
      <c r="H6296" s="5">
        <v>2650</v>
      </c>
      <c r="I6296" s="6">
        <v>1162.4642856673661</v>
      </c>
      <c r="J6296" s="5">
        <v>8800</v>
      </c>
      <c r="K6296" s="6">
        <f t="shared" si="257"/>
        <v>2.2796399275859436</v>
      </c>
    </row>
    <row r="6297" spans="1:11" hidden="1">
      <c r="A6297" s="4">
        <v>2026</v>
      </c>
      <c r="B6297">
        <v>6</v>
      </c>
      <c r="C6297" t="s">
        <v>54</v>
      </c>
      <c r="D6297" t="s">
        <v>11</v>
      </c>
      <c r="E6297" t="s">
        <v>16</v>
      </c>
      <c r="F6297" t="s">
        <v>74</v>
      </c>
      <c r="G6297" t="str">
        <f t="shared" si="256"/>
        <v>005VENDELA</v>
      </c>
      <c r="H6297" s="5">
        <v>1290</v>
      </c>
      <c r="I6297" s="6">
        <v>686.91071425798896</v>
      </c>
      <c r="J6297" s="5">
        <v>5200</v>
      </c>
      <c r="K6297" s="6">
        <f t="shared" si="257"/>
        <v>1.8779733278632535</v>
      </c>
    </row>
    <row r="6298" spans="1:11" hidden="1">
      <c r="A6298" s="4">
        <v>2026</v>
      </c>
      <c r="B6298">
        <v>6</v>
      </c>
      <c r="C6298" t="s">
        <v>54</v>
      </c>
      <c r="D6298" t="s">
        <v>11</v>
      </c>
      <c r="E6298" t="s">
        <v>75</v>
      </c>
      <c r="F6298" t="s">
        <v>76</v>
      </c>
      <c r="G6298" t="str">
        <f t="shared" si="256"/>
        <v>006ATOMIC</v>
      </c>
      <c r="H6298" s="5">
        <v>1200</v>
      </c>
      <c r="I6298" s="6">
        <v>845.428571394752</v>
      </c>
      <c r="J6298" s="5">
        <v>6400</v>
      </c>
      <c r="K6298" s="6">
        <f t="shared" si="257"/>
        <v>1.4193984454775301</v>
      </c>
    </row>
    <row r="6299" spans="1:11" hidden="1">
      <c r="A6299" s="4">
        <v>2026</v>
      </c>
      <c r="B6299">
        <v>6</v>
      </c>
      <c r="C6299" t="s">
        <v>54</v>
      </c>
      <c r="D6299" t="s">
        <v>11</v>
      </c>
      <c r="E6299" t="s">
        <v>75</v>
      </c>
      <c r="F6299" t="s">
        <v>57</v>
      </c>
      <c r="G6299" t="str">
        <f t="shared" si="256"/>
        <v>006EXPLORER</v>
      </c>
      <c r="H6299" s="5">
        <v>7850</v>
      </c>
      <c r="I6299" s="6">
        <v>3910.1071427007355</v>
      </c>
      <c r="J6299" s="5">
        <v>29600</v>
      </c>
      <c r="K6299" s="6">
        <f t="shared" si="257"/>
        <v>2.007617621080827</v>
      </c>
    </row>
    <row r="6300" spans="1:11" hidden="1">
      <c r="A6300" s="4">
        <v>2026</v>
      </c>
      <c r="B6300">
        <v>6</v>
      </c>
      <c r="C6300" t="s">
        <v>54</v>
      </c>
      <c r="D6300" t="s">
        <v>11</v>
      </c>
      <c r="E6300" t="s">
        <v>75</v>
      </c>
      <c r="F6300" t="s">
        <v>77</v>
      </c>
      <c r="G6300" t="str">
        <f t="shared" si="256"/>
        <v>006MONDIAL</v>
      </c>
      <c r="H6300" s="5">
        <v>11100</v>
      </c>
      <c r="I6300" s="6">
        <v>4015.7857141250793</v>
      </c>
      <c r="J6300" s="5">
        <v>30400</v>
      </c>
      <c r="K6300" s="6">
        <f t="shared" si="257"/>
        <v>2.7640917096141324</v>
      </c>
    </row>
    <row r="6301" spans="1:11" hidden="1">
      <c r="A6301" s="4">
        <v>2026</v>
      </c>
      <c r="B6301">
        <v>6</v>
      </c>
      <c r="C6301" t="s">
        <v>54</v>
      </c>
      <c r="D6301" t="s">
        <v>11</v>
      </c>
      <c r="E6301" t="s">
        <v>20</v>
      </c>
      <c r="F6301" t="s">
        <v>70</v>
      </c>
      <c r="G6301" t="str">
        <f t="shared" si="256"/>
        <v>007COTOPAXI</v>
      </c>
      <c r="H6301" s="5">
        <v>6420</v>
      </c>
      <c r="I6301" s="6">
        <v>2747.5751230427709</v>
      </c>
      <c r="J6301" s="5">
        <v>20800</v>
      </c>
      <c r="K6301" s="6">
        <f t="shared" si="257"/>
        <v>2.3366058114874195</v>
      </c>
    </row>
    <row r="6302" spans="1:11" hidden="1">
      <c r="A6302" s="4">
        <v>2026</v>
      </c>
      <c r="B6302">
        <v>6</v>
      </c>
      <c r="C6302" t="s">
        <v>54</v>
      </c>
      <c r="D6302" t="s">
        <v>11</v>
      </c>
      <c r="E6302" t="s">
        <v>20</v>
      </c>
      <c r="F6302" t="s">
        <v>78</v>
      </c>
      <c r="G6302" t="str">
        <f t="shared" si="256"/>
        <v>007REDIANT</v>
      </c>
      <c r="H6302" s="5">
        <v>2010</v>
      </c>
      <c r="I6302" s="6">
        <v>1056.75862064738</v>
      </c>
      <c r="J6302" s="5">
        <v>9600</v>
      </c>
      <c r="K6302" s="6">
        <f t="shared" si="257"/>
        <v>1.9020426810132438</v>
      </c>
    </row>
    <row r="6303" spans="1:11" hidden="1">
      <c r="A6303" s="4">
        <v>2026</v>
      </c>
      <c r="B6303">
        <v>6</v>
      </c>
      <c r="C6303" t="s">
        <v>54</v>
      </c>
      <c r="D6303" t="s">
        <v>11</v>
      </c>
      <c r="E6303" t="s">
        <v>20</v>
      </c>
      <c r="F6303" t="s">
        <v>63</v>
      </c>
      <c r="G6303" t="str">
        <f t="shared" si="256"/>
        <v>007SUMMER ROMANCE</v>
      </c>
      <c r="H6303" s="5">
        <v>475</v>
      </c>
      <c r="I6303" s="6">
        <v>369.86551722658481</v>
      </c>
      <c r="J6303" s="5">
        <v>3080</v>
      </c>
      <c r="K6303" s="6">
        <f t="shared" si="257"/>
        <v>1.2842505664268462</v>
      </c>
    </row>
    <row r="6304" spans="1:11" hidden="1">
      <c r="A6304" s="4">
        <v>2026</v>
      </c>
      <c r="B6304">
        <v>6</v>
      </c>
      <c r="C6304" t="s">
        <v>54</v>
      </c>
      <c r="D6304" t="s">
        <v>11</v>
      </c>
      <c r="E6304" t="s">
        <v>20</v>
      </c>
      <c r="F6304" t="s">
        <v>74</v>
      </c>
      <c r="G6304" t="str">
        <f t="shared" si="256"/>
        <v>007VENDELA</v>
      </c>
      <c r="H6304" s="5">
        <v>9960</v>
      </c>
      <c r="I6304" s="6">
        <v>3592.9793102011122</v>
      </c>
      <c r="J6304" s="5">
        <v>27820</v>
      </c>
      <c r="K6304" s="6">
        <f t="shared" si="257"/>
        <v>2.7720727396681006</v>
      </c>
    </row>
    <row r="6305" spans="1:11" hidden="1">
      <c r="A6305" s="4">
        <v>2026</v>
      </c>
      <c r="B6305">
        <v>6</v>
      </c>
      <c r="C6305" t="s">
        <v>54</v>
      </c>
      <c r="D6305" t="s">
        <v>11</v>
      </c>
      <c r="E6305" t="s">
        <v>79</v>
      </c>
      <c r="F6305" t="s">
        <v>67</v>
      </c>
      <c r="G6305" t="str">
        <f t="shared" si="256"/>
        <v>008DEEP PURPLE</v>
      </c>
      <c r="H6305" s="5">
        <v>4290</v>
      </c>
      <c r="I6305" s="6">
        <v>1585.2222221588099</v>
      </c>
      <c r="J6305" s="5">
        <v>11490</v>
      </c>
      <c r="K6305" s="6">
        <f t="shared" si="257"/>
        <v>2.706245181295611</v>
      </c>
    </row>
    <row r="6306" spans="1:11" hidden="1">
      <c r="A6306" s="4">
        <v>2026</v>
      </c>
      <c r="B6306">
        <v>6</v>
      </c>
      <c r="C6306" t="s">
        <v>54</v>
      </c>
      <c r="D6306" t="s">
        <v>11</v>
      </c>
      <c r="E6306" t="s">
        <v>79</v>
      </c>
      <c r="F6306" t="s">
        <v>81</v>
      </c>
      <c r="G6306" t="str">
        <f t="shared" si="256"/>
        <v>008FREEDOM</v>
      </c>
      <c r="H6306" s="5">
        <v>5880</v>
      </c>
      <c r="I6306" s="6">
        <v>2219.311111022334</v>
      </c>
      <c r="J6306" s="5">
        <v>16800</v>
      </c>
      <c r="K6306" s="6">
        <f t="shared" si="257"/>
        <v>2.6494708068628361</v>
      </c>
    </row>
    <row r="6307" spans="1:11" hidden="1">
      <c r="A6307" s="4">
        <v>2026</v>
      </c>
      <c r="B6307">
        <v>6</v>
      </c>
      <c r="C6307" t="s">
        <v>54</v>
      </c>
      <c r="D6307" t="s">
        <v>11</v>
      </c>
      <c r="E6307" t="s">
        <v>79</v>
      </c>
      <c r="F6307" t="s">
        <v>68</v>
      </c>
      <c r="G6307" t="str">
        <f t="shared" si="256"/>
        <v>008JOCKER</v>
      </c>
      <c r="H6307" s="5">
        <v>6900</v>
      </c>
      <c r="I6307" s="6">
        <v>2959.0814813631118</v>
      </c>
      <c r="J6307" s="5">
        <v>22400</v>
      </c>
      <c r="K6307" s="6">
        <f t="shared" si="257"/>
        <v>2.3318046642032613</v>
      </c>
    </row>
    <row r="6308" spans="1:11" hidden="1">
      <c r="A6308" s="4">
        <v>2026</v>
      </c>
      <c r="B6308">
        <v>6</v>
      </c>
      <c r="C6308" t="s">
        <v>54</v>
      </c>
      <c r="D6308" t="s">
        <v>11</v>
      </c>
      <c r="E6308" t="s">
        <v>79</v>
      </c>
      <c r="F6308" t="s">
        <v>61</v>
      </c>
      <c r="G6308" t="str">
        <f t="shared" si="256"/>
        <v>008LUMIA</v>
      </c>
      <c r="H6308" s="5">
        <v>1260</v>
      </c>
      <c r="I6308" s="6">
        <v>1796.5851851133182</v>
      </c>
      <c r="J6308" s="5">
        <v>13600</v>
      </c>
      <c r="K6308" s="6">
        <f t="shared" si="257"/>
        <v>0.70133050769898586</v>
      </c>
    </row>
    <row r="6309" spans="1:11" hidden="1">
      <c r="A6309" s="4">
        <v>2026</v>
      </c>
      <c r="B6309">
        <v>6</v>
      </c>
      <c r="C6309" t="s">
        <v>54</v>
      </c>
      <c r="D6309" t="s">
        <v>11</v>
      </c>
      <c r="E6309" t="s">
        <v>82</v>
      </c>
      <c r="F6309" t="s">
        <v>83</v>
      </c>
      <c r="G6309" t="str">
        <f t="shared" si="256"/>
        <v>010COOLDOWN</v>
      </c>
      <c r="H6309" s="5">
        <v>2350</v>
      </c>
      <c r="I6309" s="6">
        <v>1912.3542857142861</v>
      </c>
      <c r="J6309" s="5">
        <v>16320</v>
      </c>
      <c r="K6309" s="6">
        <f t="shared" si="257"/>
        <v>1.2288517967382013</v>
      </c>
    </row>
    <row r="6310" spans="1:11" hidden="1">
      <c r="A6310" s="4">
        <v>2026</v>
      </c>
      <c r="B6310">
        <v>6</v>
      </c>
      <c r="C6310" t="s">
        <v>54</v>
      </c>
      <c r="D6310" t="s">
        <v>11</v>
      </c>
      <c r="E6310" t="s">
        <v>82</v>
      </c>
      <c r="F6310" t="s">
        <v>84</v>
      </c>
      <c r="G6310" t="str">
        <f t="shared" si="256"/>
        <v>010VIOLET HILL</v>
      </c>
      <c r="H6310" s="5">
        <v>6000</v>
      </c>
      <c r="I6310" s="6">
        <v>2812.2857142428579</v>
      </c>
      <c r="J6310" s="5">
        <v>20000</v>
      </c>
      <c r="K6310" s="6">
        <f t="shared" si="257"/>
        <v>2.1334958854333048</v>
      </c>
    </row>
    <row r="6311" spans="1:11" hidden="1">
      <c r="A6311" s="4">
        <v>2026</v>
      </c>
      <c r="B6311">
        <v>6</v>
      </c>
      <c r="C6311" t="s">
        <v>54</v>
      </c>
      <c r="D6311" t="s">
        <v>11</v>
      </c>
      <c r="E6311" t="s">
        <v>85</v>
      </c>
      <c r="F6311" t="s">
        <v>86</v>
      </c>
      <c r="G6311" t="str">
        <f t="shared" si="256"/>
        <v>011BRIGHTON</v>
      </c>
      <c r="H6311" s="5">
        <v>4850</v>
      </c>
      <c r="I6311" s="6">
        <v>1768.8376470588223</v>
      </c>
      <c r="J6311" s="5">
        <v>12800</v>
      </c>
      <c r="K6311" s="6">
        <f t="shared" si="257"/>
        <v>2.7419135996254123</v>
      </c>
    </row>
    <row r="6312" spans="1:11" hidden="1">
      <c r="A6312" s="4">
        <v>2026</v>
      </c>
      <c r="B6312">
        <v>6</v>
      </c>
      <c r="C6312" t="s">
        <v>54</v>
      </c>
      <c r="D6312" t="s">
        <v>11</v>
      </c>
      <c r="E6312" t="s">
        <v>85</v>
      </c>
      <c r="F6312" t="s">
        <v>87</v>
      </c>
      <c r="G6312" t="str">
        <f t="shared" si="256"/>
        <v>011CANDLELIGHT</v>
      </c>
      <c r="H6312" s="5">
        <v>3580</v>
      </c>
      <c r="I6312" s="6">
        <v>2263.7999998868127</v>
      </c>
      <c r="J6312" s="5">
        <v>17920</v>
      </c>
      <c r="K6312" s="6">
        <f t="shared" si="257"/>
        <v>1.581411785572487</v>
      </c>
    </row>
    <row r="6313" spans="1:11" hidden="1">
      <c r="A6313" s="4">
        <v>2026</v>
      </c>
      <c r="B6313">
        <v>6</v>
      </c>
      <c r="C6313" t="s">
        <v>54</v>
      </c>
      <c r="D6313" t="s">
        <v>11</v>
      </c>
      <c r="E6313" t="s">
        <v>85</v>
      </c>
      <c r="F6313" t="s">
        <v>88</v>
      </c>
      <c r="G6313" t="str">
        <f t="shared" si="256"/>
        <v>011CAYENNE</v>
      </c>
      <c r="H6313" s="5">
        <v>1320</v>
      </c>
      <c r="I6313" s="6">
        <v>994.97117647058747</v>
      </c>
      <c r="J6313" s="5">
        <v>7200</v>
      </c>
      <c r="K6313" s="6">
        <f t="shared" si="257"/>
        <v>1.3266715973445296</v>
      </c>
    </row>
    <row r="6314" spans="1:11" hidden="1">
      <c r="A6314" s="4">
        <v>2026</v>
      </c>
      <c r="B6314">
        <v>6</v>
      </c>
      <c r="C6314" t="s">
        <v>54</v>
      </c>
      <c r="D6314" t="s">
        <v>11</v>
      </c>
      <c r="E6314" t="s">
        <v>85</v>
      </c>
      <c r="F6314" t="s">
        <v>61</v>
      </c>
      <c r="G6314" t="str">
        <f t="shared" si="256"/>
        <v>011LUMIA</v>
      </c>
      <c r="H6314" s="5">
        <v>2130</v>
      </c>
      <c r="I6314" s="6">
        <v>994.97117647058747</v>
      </c>
      <c r="J6314" s="5">
        <v>7920</v>
      </c>
      <c r="K6314" s="6">
        <f t="shared" si="257"/>
        <v>2.1407655320786727</v>
      </c>
    </row>
    <row r="6315" spans="1:11" hidden="1">
      <c r="A6315" s="4">
        <v>2026</v>
      </c>
      <c r="B6315">
        <v>6</v>
      </c>
      <c r="C6315" t="s">
        <v>54</v>
      </c>
      <c r="D6315" t="s">
        <v>11</v>
      </c>
      <c r="E6315" t="s">
        <v>85</v>
      </c>
      <c r="F6315" t="s">
        <v>89</v>
      </c>
      <c r="G6315" t="str">
        <f t="shared" si="256"/>
        <v>011STARDUST</v>
      </c>
      <c r="H6315" s="5">
        <v>3425</v>
      </c>
      <c r="I6315" s="6">
        <v>2263.7999998868127</v>
      </c>
      <c r="J6315" s="5">
        <v>17920</v>
      </c>
      <c r="K6315" s="6">
        <f t="shared" si="257"/>
        <v>1.5129428395490971</v>
      </c>
    </row>
    <row r="6316" spans="1:11" hidden="1">
      <c r="A6316" s="4">
        <v>2026</v>
      </c>
      <c r="B6316">
        <v>6</v>
      </c>
      <c r="C6316" t="s">
        <v>54</v>
      </c>
      <c r="D6316" t="s">
        <v>11</v>
      </c>
      <c r="E6316" t="s">
        <v>90</v>
      </c>
      <c r="F6316" t="s">
        <v>67</v>
      </c>
      <c r="G6316" t="str">
        <f t="shared" si="256"/>
        <v>012DEEP PURPLE</v>
      </c>
      <c r="H6316" s="5">
        <v>15900</v>
      </c>
      <c r="I6316" s="6">
        <v>6727.0499997982479</v>
      </c>
      <c r="J6316" s="5">
        <v>49210</v>
      </c>
      <c r="K6316" s="6">
        <f t="shared" si="257"/>
        <v>2.3635917676361644</v>
      </c>
    </row>
    <row r="6317" spans="1:11" hidden="1">
      <c r="A6317" s="4">
        <v>2026</v>
      </c>
      <c r="B6317">
        <v>6</v>
      </c>
      <c r="C6317" t="s">
        <v>54</v>
      </c>
      <c r="D6317" t="s">
        <v>11</v>
      </c>
      <c r="E6317" t="s">
        <v>90</v>
      </c>
      <c r="F6317" t="s">
        <v>60</v>
      </c>
      <c r="G6317" t="str">
        <f t="shared" si="256"/>
        <v>012LIGHT HOUSE</v>
      </c>
      <c r="H6317" s="5">
        <v>2310</v>
      </c>
      <c r="I6317" s="6">
        <v>994.95</v>
      </c>
      <c r="J6317" s="5">
        <v>7200</v>
      </c>
      <c r="K6317" s="6">
        <f t="shared" si="257"/>
        <v>2.3217247097844114</v>
      </c>
    </row>
    <row r="6318" spans="1:11" hidden="1">
      <c r="A6318" s="4">
        <v>2026</v>
      </c>
      <c r="B6318">
        <v>6</v>
      </c>
      <c r="C6318" t="s">
        <v>54</v>
      </c>
      <c r="D6318" t="s">
        <v>11</v>
      </c>
      <c r="E6318" t="s">
        <v>91</v>
      </c>
      <c r="F6318" t="s">
        <v>92</v>
      </c>
      <c r="G6318" t="str">
        <f t="shared" si="256"/>
        <v>013COUNTRY BLUES</v>
      </c>
      <c r="H6318" s="5">
        <v>875</v>
      </c>
      <c r="I6318" s="6">
        <v>831.6</v>
      </c>
      <c r="J6318" s="5">
        <v>6300</v>
      </c>
      <c r="K6318" s="6">
        <f t="shared" si="257"/>
        <v>1.0521885521885521</v>
      </c>
    </row>
    <row r="6319" spans="1:11" hidden="1">
      <c r="A6319" s="4">
        <v>2026</v>
      </c>
      <c r="B6319">
        <v>6</v>
      </c>
      <c r="C6319" t="s">
        <v>54</v>
      </c>
      <c r="D6319" t="s">
        <v>11</v>
      </c>
      <c r="E6319" t="s">
        <v>91</v>
      </c>
      <c r="F6319" t="s">
        <v>93</v>
      </c>
      <c r="G6319" t="str">
        <f t="shared" si="256"/>
        <v>013LORRAINE</v>
      </c>
      <c r="H6319" s="5">
        <v>3425</v>
      </c>
      <c r="I6319" s="6">
        <v>1267.2</v>
      </c>
      <c r="J6319" s="5">
        <v>9600</v>
      </c>
      <c r="K6319" s="6">
        <f t="shared" si="257"/>
        <v>2.7028093434343434</v>
      </c>
    </row>
    <row r="6320" spans="1:11" hidden="1">
      <c r="A6320" s="4">
        <v>2026</v>
      </c>
      <c r="B6320">
        <v>6</v>
      </c>
      <c r="C6320" t="s">
        <v>54</v>
      </c>
      <c r="D6320" t="s">
        <v>11</v>
      </c>
      <c r="E6320" t="s">
        <v>91</v>
      </c>
      <c r="F6320" t="s">
        <v>61</v>
      </c>
      <c r="G6320" t="str">
        <f t="shared" si="256"/>
        <v>013LUMIA</v>
      </c>
      <c r="H6320" s="5">
        <v>690</v>
      </c>
      <c r="I6320" s="6">
        <v>316.8</v>
      </c>
      <c r="J6320" s="5">
        <v>2400</v>
      </c>
      <c r="K6320" s="6">
        <f t="shared" si="257"/>
        <v>2.1780303030303028</v>
      </c>
    </row>
    <row r="6321" spans="1:11" hidden="1">
      <c r="A6321" s="4">
        <v>2026</v>
      </c>
      <c r="B6321">
        <v>6</v>
      </c>
      <c r="C6321" t="s">
        <v>54</v>
      </c>
      <c r="D6321" t="s">
        <v>11</v>
      </c>
      <c r="E6321" t="s">
        <v>91</v>
      </c>
      <c r="F6321" t="s">
        <v>74</v>
      </c>
      <c r="G6321" t="str">
        <f t="shared" si="256"/>
        <v>013VENDELA</v>
      </c>
      <c r="H6321" s="5">
        <v>8010</v>
      </c>
      <c r="I6321" s="6">
        <v>3603.6</v>
      </c>
      <c r="J6321" s="5">
        <v>27296</v>
      </c>
      <c r="K6321" s="6">
        <f t="shared" si="257"/>
        <v>2.2227772227772227</v>
      </c>
    </row>
    <row r="6322" spans="1:11" hidden="1">
      <c r="A6322" s="4">
        <v>2026</v>
      </c>
      <c r="B6322">
        <v>6</v>
      </c>
      <c r="C6322" t="s">
        <v>54</v>
      </c>
      <c r="D6322" t="s">
        <v>11</v>
      </c>
      <c r="E6322" t="s">
        <v>23</v>
      </c>
      <c r="F6322" t="s">
        <v>89</v>
      </c>
      <c r="G6322" t="str">
        <f t="shared" si="256"/>
        <v>014STARDUST</v>
      </c>
      <c r="H6322" s="5">
        <v>10775</v>
      </c>
      <c r="I6322" s="6">
        <v>3682.8</v>
      </c>
      <c r="J6322" s="5">
        <v>27900</v>
      </c>
      <c r="K6322" s="6">
        <f t="shared" si="257"/>
        <v>2.9257630064081677</v>
      </c>
    </row>
    <row r="6323" spans="1:11" hidden="1">
      <c r="A6323" s="4">
        <v>2026</v>
      </c>
      <c r="B6323">
        <v>6</v>
      </c>
      <c r="C6323" t="s">
        <v>54</v>
      </c>
      <c r="D6323" t="s">
        <v>11</v>
      </c>
      <c r="E6323" t="s">
        <v>25</v>
      </c>
      <c r="F6323" t="s">
        <v>68</v>
      </c>
      <c r="G6323" t="str">
        <f t="shared" si="256"/>
        <v>015JOCKER</v>
      </c>
      <c r="H6323" s="5">
        <v>8350</v>
      </c>
      <c r="I6323" s="6">
        <v>2376</v>
      </c>
      <c r="J6323" s="5">
        <v>18000</v>
      </c>
      <c r="K6323" s="6">
        <f t="shared" si="257"/>
        <v>3.5143097643097643</v>
      </c>
    </row>
    <row r="6324" spans="1:11" hidden="1">
      <c r="A6324" s="4">
        <v>2026</v>
      </c>
      <c r="B6324">
        <v>6</v>
      </c>
      <c r="C6324" t="s">
        <v>54</v>
      </c>
      <c r="D6324" t="s">
        <v>11</v>
      </c>
      <c r="E6324" t="s">
        <v>27</v>
      </c>
      <c r="F6324" t="s">
        <v>94</v>
      </c>
      <c r="G6324" t="str">
        <f t="shared" si="256"/>
        <v>016DREAM IN PEACH</v>
      </c>
      <c r="H6324" s="5">
        <v>2130</v>
      </c>
      <c r="I6324" s="6">
        <v>950.4</v>
      </c>
      <c r="J6324" s="5">
        <v>7200</v>
      </c>
      <c r="K6324" s="6">
        <f t="shared" si="257"/>
        <v>2.2411616161616164</v>
      </c>
    </row>
    <row r="6325" spans="1:11" hidden="1">
      <c r="A6325" s="4">
        <v>2026</v>
      </c>
      <c r="B6325">
        <v>6</v>
      </c>
      <c r="C6325" t="s">
        <v>54</v>
      </c>
      <c r="D6325" t="s">
        <v>11</v>
      </c>
      <c r="E6325" t="s">
        <v>27</v>
      </c>
      <c r="F6325" t="s">
        <v>95</v>
      </c>
      <c r="G6325" t="str">
        <f t="shared" si="256"/>
        <v>016NINA</v>
      </c>
      <c r="H6325" s="5">
        <v>2950</v>
      </c>
      <c r="I6325" s="6">
        <v>1346.4</v>
      </c>
      <c r="J6325" s="5">
        <v>10200</v>
      </c>
      <c r="K6325" s="6">
        <f t="shared" si="257"/>
        <v>2.191027926322044</v>
      </c>
    </row>
    <row r="6326" spans="1:11" hidden="1">
      <c r="A6326" s="4">
        <v>2026</v>
      </c>
      <c r="B6326">
        <v>6</v>
      </c>
      <c r="C6326" t="s">
        <v>54</v>
      </c>
      <c r="D6326" t="s">
        <v>11</v>
      </c>
      <c r="E6326" t="s">
        <v>30</v>
      </c>
      <c r="F6326" t="s">
        <v>81</v>
      </c>
      <c r="G6326" t="str">
        <f t="shared" ref="G6326:G6386" si="259">+E6326&amp;F6326</f>
        <v>017FREEDOM</v>
      </c>
      <c r="H6326" s="5">
        <v>10440</v>
      </c>
      <c r="I6326" s="6">
        <v>2851.2</v>
      </c>
      <c r="J6326" s="5">
        <v>21600</v>
      </c>
      <c r="K6326" s="6">
        <f t="shared" si="257"/>
        <v>3.6616161616161618</v>
      </c>
    </row>
    <row r="6327" spans="1:11" hidden="1">
      <c r="A6327" s="4">
        <v>2026</v>
      </c>
      <c r="B6327">
        <v>6</v>
      </c>
      <c r="C6327" t="s">
        <v>54</v>
      </c>
      <c r="D6327" t="s">
        <v>11</v>
      </c>
      <c r="E6327" t="s">
        <v>30</v>
      </c>
      <c r="F6327" t="s">
        <v>73</v>
      </c>
      <c r="G6327" t="str">
        <f t="shared" si="259"/>
        <v>017GOLDFINCH</v>
      </c>
      <c r="H6327" s="5">
        <v>5625</v>
      </c>
      <c r="I6327" s="6">
        <v>2138.4</v>
      </c>
      <c r="J6327" s="5">
        <v>16200</v>
      </c>
      <c r="K6327" s="6">
        <f t="shared" si="257"/>
        <v>2.6304713804713802</v>
      </c>
    </row>
    <row r="6328" spans="1:11" hidden="1">
      <c r="A6328" s="4">
        <v>2026</v>
      </c>
      <c r="B6328">
        <v>6</v>
      </c>
      <c r="C6328" t="s">
        <v>54</v>
      </c>
      <c r="D6328" t="s">
        <v>11</v>
      </c>
      <c r="E6328" t="s">
        <v>32</v>
      </c>
      <c r="F6328" t="s">
        <v>86</v>
      </c>
      <c r="G6328" t="str">
        <f t="shared" si="259"/>
        <v>018BRIGHTON</v>
      </c>
      <c r="H6328" s="5">
        <v>3075</v>
      </c>
      <c r="I6328" s="6">
        <v>963.6</v>
      </c>
      <c r="J6328" s="5">
        <v>7570</v>
      </c>
      <c r="K6328" s="6">
        <f t="shared" si="257"/>
        <v>3.1911581569115817</v>
      </c>
    </row>
    <row r="6329" spans="1:11" hidden="1">
      <c r="A6329" s="4">
        <v>2026</v>
      </c>
      <c r="B6329">
        <v>6</v>
      </c>
      <c r="C6329" t="s">
        <v>54</v>
      </c>
      <c r="D6329" t="s">
        <v>11</v>
      </c>
      <c r="E6329" t="s">
        <v>35</v>
      </c>
      <c r="F6329" t="s">
        <v>86</v>
      </c>
      <c r="G6329" t="str">
        <f t="shared" si="259"/>
        <v>019BRIGHTON</v>
      </c>
      <c r="H6329" s="5">
        <v>10275</v>
      </c>
      <c r="I6329" s="6">
        <v>3168</v>
      </c>
      <c r="J6329" s="5">
        <v>24000</v>
      </c>
      <c r="K6329" s="6">
        <f t="shared" si="257"/>
        <v>3.2433712121212119</v>
      </c>
    </row>
    <row r="6330" spans="1:11" hidden="1">
      <c r="A6330" s="4">
        <v>2026</v>
      </c>
      <c r="B6330">
        <v>6</v>
      </c>
      <c r="C6330" t="s">
        <v>54</v>
      </c>
      <c r="D6330" t="s">
        <v>11</v>
      </c>
      <c r="E6330" t="s">
        <v>35</v>
      </c>
      <c r="F6330" t="s">
        <v>96</v>
      </c>
      <c r="G6330" t="str">
        <f t="shared" si="259"/>
        <v>019TABATHA</v>
      </c>
      <c r="H6330" s="5">
        <v>3810</v>
      </c>
      <c r="I6330" s="6">
        <v>1188</v>
      </c>
      <c r="J6330" s="5">
        <v>9000</v>
      </c>
      <c r="K6330" s="6">
        <f t="shared" si="257"/>
        <v>3.2070707070707072</v>
      </c>
    </row>
    <row r="6331" spans="1:11" hidden="1">
      <c r="A6331" s="4">
        <v>2026</v>
      </c>
      <c r="B6331">
        <v>6</v>
      </c>
      <c r="C6331" t="s">
        <v>54</v>
      </c>
      <c r="D6331" t="s">
        <v>11</v>
      </c>
      <c r="E6331" t="s">
        <v>36</v>
      </c>
      <c r="F6331" t="s">
        <v>86</v>
      </c>
      <c r="G6331" t="str">
        <f t="shared" si="259"/>
        <v>020BRIGHTON</v>
      </c>
      <c r="H6331" s="5">
        <v>6825</v>
      </c>
      <c r="I6331" s="6">
        <v>2732.4</v>
      </c>
      <c r="J6331" s="5">
        <v>20700</v>
      </c>
      <c r="K6331" s="6">
        <f t="shared" si="257"/>
        <v>2.497804128238911</v>
      </c>
    </row>
    <row r="6332" spans="1:11" hidden="1">
      <c r="A6332" s="4">
        <v>2026</v>
      </c>
      <c r="B6332">
        <v>6</v>
      </c>
      <c r="C6332" t="s">
        <v>54</v>
      </c>
      <c r="D6332" t="s">
        <v>11</v>
      </c>
      <c r="E6332" t="s">
        <v>36</v>
      </c>
      <c r="F6332" t="s">
        <v>97</v>
      </c>
      <c r="G6332" t="str">
        <f t="shared" si="259"/>
        <v>020TYCOON</v>
      </c>
      <c r="H6332" s="5">
        <v>1200</v>
      </c>
      <c r="I6332" s="6">
        <v>673.2</v>
      </c>
      <c r="J6332" s="5">
        <v>5100</v>
      </c>
      <c r="K6332" s="6">
        <f t="shared" si="257"/>
        <v>1.7825311942959001</v>
      </c>
    </row>
    <row r="6333" spans="1:11" hidden="1">
      <c r="A6333" s="4">
        <v>2026</v>
      </c>
      <c r="B6333">
        <v>6</v>
      </c>
      <c r="C6333" t="s">
        <v>54</v>
      </c>
      <c r="D6333" t="s">
        <v>11</v>
      </c>
      <c r="E6333" t="s">
        <v>38</v>
      </c>
      <c r="F6333" t="s">
        <v>98</v>
      </c>
      <c r="G6333" t="str">
        <f t="shared" si="259"/>
        <v>021SHOW GIRL</v>
      </c>
      <c r="H6333" s="5">
        <v>1650</v>
      </c>
      <c r="I6333" s="6">
        <v>1100.4749999999999</v>
      </c>
      <c r="J6333" s="5">
        <v>8000</v>
      </c>
      <c r="K6333" s="6">
        <f t="shared" si="257"/>
        <v>1.4993525523069584</v>
      </c>
    </row>
    <row r="6334" spans="1:11" hidden="1">
      <c r="A6334" s="4">
        <v>2026</v>
      </c>
      <c r="B6334">
        <v>6</v>
      </c>
      <c r="C6334" t="s">
        <v>54</v>
      </c>
      <c r="D6334" t="s">
        <v>11</v>
      </c>
      <c r="E6334" t="s">
        <v>43</v>
      </c>
      <c r="F6334" t="s">
        <v>99</v>
      </c>
      <c r="G6334" t="str">
        <f t="shared" si="259"/>
        <v>022CORAL REEF</v>
      </c>
      <c r="H6334" s="5">
        <v>1900</v>
      </c>
      <c r="I6334" s="6">
        <v>1287</v>
      </c>
      <c r="J6334" s="5">
        <v>9400</v>
      </c>
      <c r="K6334" s="6">
        <f t="shared" si="257"/>
        <v>1.4763014763014763</v>
      </c>
    </row>
    <row r="6335" spans="1:11" hidden="1">
      <c r="A6335" s="4">
        <v>2026</v>
      </c>
      <c r="B6335">
        <v>6</v>
      </c>
      <c r="C6335" t="s">
        <v>54</v>
      </c>
      <c r="D6335" t="s">
        <v>11</v>
      </c>
      <c r="E6335" t="s">
        <v>100</v>
      </c>
      <c r="F6335" t="s">
        <v>70</v>
      </c>
      <c r="G6335" t="str">
        <f t="shared" si="259"/>
        <v>023COTOPAXI</v>
      </c>
      <c r="H6335" s="5">
        <v>6060</v>
      </c>
      <c r="I6335" s="6">
        <v>2641.14</v>
      </c>
      <c r="J6335" s="5">
        <v>19200</v>
      </c>
      <c r="K6335" s="6">
        <f t="shared" si="257"/>
        <v>2.2944637542879214</v>
      </c>
    </row>
    <row r="6336" spans="1:11" hidden="1">
      <c r="A6336" s="4">
        <v>2026</v>
      </c>
      <c r="B6336">
        <v>6</v>
      </c>
      <c r="C6336" t="s">
        <v>54</v>
      </c>
      <c r="D6336" t="s">
        <v>11</v>
      </c>
      <c r="E6336" t="s">
        <v>100</v>
      </c>
      <c r="F6336" t="s">
        <v>101</v>
      </c>
      <c r="G6336" t="str">
        <f t="shared" si="259"/>
        <v>023FRUTTETO</v>
      </c>
      <c r="H6336" s="5">
        <v>8700</v>
      </c>
      <c r="I6336" s="6">
        <v>2641.14</v>
      </c>
      <c r="J6336" s="5">
        <v>19200</v>
      </c>
      <c r="K6336" s="6">
        <f t="shared" ref="K6336:K6396" si="260">+H6336/I6336</f>
        <v>3.2940321224925602</v>
      </c>
    </row>
    <row r="6337" spans="1:11" hidden="1">
      <c r="A6337" s="4">
        <v>2026</v>
      </c>
      <c r="B6337">
        <v>6</v>
      </c>
      <c r="C6337" t="s">
        <v>54</v>
      </c>
      <c r="D6337" t="s">
        <v>11</v>
      </c>
      <c r="E6337" t="s">
        <v>102</v>
      </c>
      <c r="F6337" t="s">
        <v>70</v>
      </c>
      <c r="G6337" t="str">
        <f t="shared" si="259"/>
        <v>024COTOPAXI</v>
      </c>
      <c r="H6337" s="5">
        <v>2490</v>
      </c>
      <c r="I6337" s="6">
        <v>1430.6174906250001</v>
      </c>
      <c r="J6337" s="5">
        <v>10400</v>
      </c>
      <c r="K6337" s="6">
        <f t="shared" si="260"/>
        <v>1.7405071700278059</v>
      </c>
    </row>
    <row r="6338" spans="1:11" hidden="1">
      <c r="A6338" s="4">
        <v>2026</v>
      </c>
      <c r="B6338">
        <v>6</v>
      </c>
      <c r="C6338" t="s">
        <v>54</v>
      </c>
      <c r="D6338" t="s">
        <v>11</v>
      </c>
      <c r="E6338" t="s">
        <v>102</v>
      </c>
      <c r="F6338" t="s">
        <v>64</v>
      </c>
      <c r="G6338" t="str">
        <f t="shared" si="259"/>
        <v>024SWEETNESS</v>
      </c>
      <c r="H6338" s="5">
        <v>2010</v>
      </c>
      <c r="I6338" s="6">
        <v>1430.6175000000001</v>
      </c>
      <c r="J6338" s="5">
        <v>10400</v>
      </c>
      <c r="K6338" s="6">
        <f t="shared" si="260"/>
        <v>1.4049877063575693</v>
      </c>
    </row>
    <row r="6339" spans="1:11" hidden="1">
      <c r="A6339" s="4">
        <v>2026</v>
      </c>
      <c r="B6339">
        <v>6</v>
      </c>
      <c r="C6339" t="s">
        <v>54</v>
      </c>
      <c r="D6339" t="s">
        <v>11</v>
      </c>
      <c r="E6339" t="s">
        <v>102</v>
      </c>
      <c r="F6339" t="s">
        <v>97</v>
      </c>
      <c r="G6339" t="str">
        <f t="shared" si="259"/>
        <v>024TYCOON</v>
      </c>
      <c r="H6339" s="5">
        <v>5340</v>
      </c>
      <c r="I6339" s="6">
        <v>2861.2350000000001</v>
      </c>
      <c r="J6339" s="5">
        <v>20800</v>
      </c>
      <c r="K6339" s="6">
        <f t="shared" si="260"/>
        <v>1.8663269532212488</v>
      </c>
    </row>
    <row r="6340" spans="1:11" hidden="1">
      <c r="A6340" s="4">
        <v>2026</v>
      </c>
      <c r="B6340">
        <v>6</v>
      </c>
      <c r="C6340" t="s">
        <v>54</v>
      </c>
      <c r="D6340" t="s">
        <v>11</v>
      </c>
      <c r="E6340" t="s">
        <v>103</v>
      </c>
      <c r="F6340" t="s">
        <v>104</v>
      </c>
      <c r="G6340" t="str">
        <f t="shared" si="259"/>
        <v>025PINK MONDIAL</v>
      </c>
      <c r="H6340" s="5">
        <v>7900</v>
      </c>
      <c r="I6340" s="6">
        <v>3071.9505625000002</v>
      </c>
      <c r="J6340" s="5">
        <v>22400</v>
      </c>
      <c r="K6340" s="6">
        <f t="shared" si="260"/>
        <v>2.5716559688287624</v>
      </c>
    </row>
    <row r="6341" spans="1:11" hidden="1">
      <c r="A6341" s="4">
        <v>2026</v>
      </c>
      <c r="B6341">
        <v>6</v>
      </c>
      <c r="C6341" t="s">
        <v>54</v>
      </c>
      <c r="D6341" t="s">
        <v>11</v>
      </c>
      <c r="E6341" t="s">
        <v>45</v>
      </c>
      <c r="F6341" t="s">
        <v>105</v>
      </c>
      <c r="G6341" t="str">
        <f t="shared" si="259"/>
        <v>026LOLA</v>
      </c>
      <c r="H6341" s="5">
        <v>3075</v>
      </c>
      <c r="I6341" s="6">
        <v>1097.125</v>
      </c>
      <c r="J6341" s="5">
        <v>8000</v>
      </c>
      <c r="K6341" s="6">
        <f t="shared" si="260"/>
        <v>2.8027799931639512</v>
      </c>
    </row>
    <row r="6342" spans="1:11" hidden="1">
      <c r="A6342" s="4">
        <v>2026</v>
      </c>
      <c r="B6342">
        <v>6</v>
      </c>
      <c r="C6342" t="s">
        <v>54</v>
      </c>
      <c r="D6342" t="s">
        <v>11</v>
      </c>
      <c r="E6342" t="s">
        <v>45</v>
      </c>
      <c r="F6342" t="s">
        <v>106</v>
      </c>
      <c r="G6342" t="str">
        <f t="shared" si="259"/>
        <v>026PALOMA</v>
      </c>
      <c r="H6342" s="5">
        <v>2900</v>
      </c>
      <c r="I6342" s="6">
        <v>2852.5250000000001</v>
      </c>
      <c r="J6342" s="5">
        <v>20800</v>
      </c>
      <c r="K6342" s="6">
        <f t="shared" si="260"/>
        <v>1.0166431494903638</v>
      </c>
    </row>
    <row r="6343" spans="1:11" hidden="1">
      <c r="A6343" s="4">
        <v>2026</v>
      </c>
      <c r="B6343">
        <v>6</v>
      </c>
      <c r="C6343" t="s">
        <v>54</v>
      </c>
      <c r="D6343" t="s">
        <v>11</v>
      </c>
      <c r="E6343" t="s">
        <v>107</v>
      </c>
      <c r="F6343" t="s">
        <v>108</v>
      </c>
      <c r="G6343" t="str">
        <f t="shared" si="259"/>
        <v>027SATISFACTION</v>
      </c>
      <c r="H6343" s="5">
        <v>7110</v>
      </c>
      <c r="I6343" s="6">
        <v>2633.1</v>
      </c>
      <c r="J6343" s="5">
        <v>19200</v>
      </c>
      <c r="K6343" s="6">
        <f t="shared" si="260"/>
        <v>2.7002392617067335</v>
      </c>
    </row>
    <row r="6344" spans="1:11" hidden="1">
      <c r="A6344" s="4">
        <v>2026</v>
      </c>
      <c r="B6344">
        <v>6</v>
      </c>
      <c r="C6344" t="s">
        <v>54</v>
      </c>
      <c r="D6344" t="s">
        <v>11</v>
      </c>
      <c r="E6344" t="s">
        <v>107</v>
      </c>
      <c r="F6344" t="s">
        <v>109</v>
      </c>
      <c r="G6344" t="str">
        <f t="shared" si="259"/>
        <v>027TIFFANY</v>
      </c>
      <c r="H6344" s="5">
        <v>6270</v>
      </c>
      <c r="I6344" s="6">
        <v>2633.1</v>
      </c>
      <c r="J6344" s="5">
        <v>19200</v>
      </c>
      <c r="K6344" s="6">
        <f t="shared" si="260"/>
        <v>2.3812236527287229</v>
      </c>
    </row>
    <row r="6345" spans="1:11" hidden="1">
      <c r="A6345" s="4">
        <v>2026</v>
      </c>
      <c r="B6345">
        <v>6</v>
      </c>
      <c r="C6345" t="s">
        <v>54</v>
      </c>
      <c r="D6345" t="s">
        <v>11</v>
      </c>
      <c r="E6345" t="s">
        <v>110</v>
      </c>
      <c r="F6345" t="s">
        <v>70</v>
      </c>
      <c r="G6345" t="str">
        <f t="shared" si="259"/>
        <v>028COTOPAXI</v>
      </c>
      <c r="H6345" s="5">
        <v>5670</v>
      </c>
      <c r="I6345" s="6">
        <v>2852.5250000000001</v>
      </c>
      <c r="J6345" s="5">
        <v>20800</v>
      </c>
      <c r="K6345" s="6">
        <f t="shared" si="260"/>
        <v>1.9877126405552974</v>
      </c>
    </row>
    <row r="6346" spans="1:11" hidden="1">
      <c r="A6346" s="4">
        <v>2026</v>
      </c>
      <c r="B6346">
        <v>6</v>
      </c>
      <c r="C6346" t="s">
        <v>54</v>
      </c>
      <c r="D6346" t="s">
        <v>11</v>
      </c>
      <c r="E6346" t="s">
        <v>110</v>
      </c>
      <c r="F6346" t="s">
        <v>67</v>
      </c>
      <c r="G6346" t="str">
        <f t="shared" si="259"/>
        <v>028DEEP PURPLE</v>
      </c>
      <c r="H6346" s="5">
        <v>8250</v>
      </c>
      <c r="I6346" s="6">
        <v>2852.5250000000001</v>
      </c>
      <c r="J6346" s="5">
        <v>20800</v>
      </c>
      <c r="K6346" s="6">
        <f t="shared" si="260"/>
        <v>2.8921744769984485</v>
      </c>
    </row>
    <row r="6347" spans="1:11" hidden="1">
      <c r="A6347" s="4">
        <v>2026</v>
      </c>
      <c r="B6347">
        <v>6</v>
      </c>
      <c r="C6347" t="s">
        <v>54</v>
      </c>
      <c r="D6347" t="s">
        <v>11</v>
      </c>
      <c r="E6347" t="s">
        <v>111</v>
      </c>
      <c r="F6347" t="s">
        <v>112</v>
      </c>
      <c r="G6347" t="str">
        <f t="shared" si="259"/>
        <v>029PINK FLOYD</v>
      </c>
      <c r="H6347" s="5">
        <v>4125</v>
      </c>
      <c r="I6347" s="6">
        <v>3071.95</v>
      </c>
      <c r="J6347" s="5">
        <v>22400</v>
      </c>
      <c r="K6347" s="6">
        <f t="shared" si="260"/>
        <v>1.3427952928921369</v>
      </c>
    </row>
    <row r="6348" spans="1:11" hidden="1">
      <c r="A6348" s="4">
        <v>2026</v>
      </c>
      <c r="B6348">
        <v>6</v>
      </c>
      <c r="C6348" t="s">
        <v>54</v>
      </c>
      <c r="D6348" t="s">
        <v>11</v>
      </c>
      <c r="E6348" t="s">
        <v>47</v>
      </c>
      <c r="F6348" t="s">
        <v>57</v>
      </c>
      <c r="G6348" t="str">
        <f t="shared" si="259"/>
        <v>030EXPLORER</v>
      </c>
      <c r="H6348" s="5">
        <v>2925</v>
      </c>
      <c r="I6348" s="6">
        <v>1645.6875</v>
      </c>
      <c r="J6348" s="5">
        <v>12000</v>
      </c>
      <c r="K6348" s="6">
        <f t="shared" si="260"/>
        <v>1.7773726785917741</v>
      </c>
    </row>
    <row r="6349" spans="1:11" hidden="1">
      <c r="A6349" s="4">
        <v>2026</v>
      </c>
      <c r="B6349">
        <v>7</v>
      </c>
      <c r="C6349" t="s">
        <v>10</v>
      </c>
      <c r="D6349" t="s">
        <v>11</v>
      </c>
      <c r="E6349" t="s">
        <v>12</v>
      </c>
      <c r="F6349" t="s">
        <v>13</v>
      </c>
      <c r="G6349" t="str">
        <f t="shared" si="259"/>
        <v>002SOMERSET</v>
      </c>
      <c r="H6349" s="5">
        <v>9840</v>
      </c>
      <c r="I6349" s="6">
        <v>4121.4642855494085</v>
      </c>
      <c r="J6349" s="5">
        <v>31200</v>
      </c>
      <c r="K6349" s="6">
        <f t="shared" si="260"/>
        <v>2.3875009749570806</v>
      </c>
    </row>
    <row r="6350" spans="1:11" hidden="1">
      <c r="A6350" s="4">
        <v>2026</v>
      </c>
      <c r="B6350">
        <v>7</v>
      </c>
      <c r="C6350" t="s">
        <v>10</v>
      </c>
      <c r="D6350" t="s">
        <v>11</v>
      </c>
      <c r="E6350" t="s">
        <v>14</v>
      </c>
      <c r="F6350" t="s">
        <v>15</v>
      </c>
      <c r="G6350" t="str">
        <f t="shared" si="259"/>
        <v>004BELLINA</v>
      </c>
      <c r="H6350" s="5">
        <v>1890</v>
      </c>
      <c r="I6350" s="6">
        <v>1056.7857142434418</v>
      </c>
      <c r="J6350" s="5">
        <v>8000</v>
      </c>
      <c r="K6350" s="6">
        <f t="shared" si="260"/>
        <v>1.7884420413016848</v>
      </c>
    </row>
    <row r="6351" spans="1:11" hidden="1">
      <c r="A6351" s="4">
        <v>2026</v>
      </c>
      <c r="B6351">
        <v>7</v>
      </c>
      <c r="C6351" t="s">
        <v>10</v>
      </c>
      <c r="D6351" t="s">
        <v>11</v>
      </c>
      <c r="E6351" t="s">
        <v>16</v>
      </c>
      <c r="F6351" t="s">
        <v>17</v>
      </c>
      <c r="G6351" t="str">
        <f t="shared" si="259"/>
        <v>005ELBA</v>
      </c>
      <c r="H6351" s="5">
        <v>10230</v>
      </c>
      <c r="I6351" s="6">
        <v>2641.9642856076484</v>
      </c>
      <c r="J6351" s="5">
        <v>19996</v>
      </c>
      <c r="K6351" s="6">
        <f t="shared" si="260"/>
        <v>3.8721189592640965</v>
      </c>
    </row>
    <row r="6352" spans="1:11" hidden="1">
      <c r="A6352" s="4">
        <v>2026</v>
      </c>
      <c r="B6352">
        <v>7</v>
      </c>
      <c r="C6352" t="s">
        <v>10</v>
      </c>
      <c r="D6352" t="s">
        <v>11</v>
      </c>
      <c r="E6352" t="s">
        <v>16</v>
      </c>
      <c r="F6352" t="s">
        <v>18</v>
      </c>
      <c r="G6352" t="str">
        <f t="shared" si="259"/>
        <v>005HOT BUBBLES</v>
      </c>
      <c r="H6352" s="5">
        <v>1500</v>
      </c>
      <c r="I6352" s="6">
        <v>528.39285712153003</v>
      </c>
      <c r="J6352" s="5">
        <v>4000</v>
      </c>
      <c r="K6352" s="6">
        <f t="shared" si="260"/>
        <v>2.8387968909560808</v>
      </c>
    </row>
    <row r="6353" spans="1:11" hidden="1">
      <c r="A6353" s="4">
        <v>2026</v>
      </c>
      <c r="B6353">
        <v>7</v>
      </c>
      <c r="C6353" t="s">
        <v>10</v>
      </c>
      <c r="D6353" t="s">
        <v>11</v>
      </c>
      <c r="E6353" t="s">
        <v>16</v>
      </c>
      <c r="F6353" t="s">
        <v>19</v>
      </c>
      <c r="G6353" t="str">
        <f t="shared" si="259"/>
        <v>005SUSPIRO</v>
      </c>
      <c r="H6353" s="5">
        <v>7140</v>
      </c>
      <c r="I6353" s="6">
        <v>1902.2142856375078</v>
      </c>
      <c r="J6353" s="5">
        <v>14400</v>
      </c>
      <c r="K6353" s="6">
        <f t="shared" si="260"/>
        <v>3.7535203335974852</v>
      </c>
    </row>
    <row r="6354" spans="1:11" hidden="1">
      <c r="A6354" s="4">
        <v>2026</v>
      </c>
      <c r="B6354">
        <v>7</v>
      </c>
      <c r="C6354" t="s">
        <v>10</v>
      </c>
      <c r="D6354" t="s">
        <v>11</v>
      </c>
      <c r="E6354" t="s">
        <v>20</v>
      </c>
      <c r="F6354" t="s">
        <v>21</v>
      </c>
      <c r="G6354" t="str">
        <f t="shared" si="259"/>
        <v>007SNOW BUBBLES</v>
      </c>
      <c r="H6354" s="5">
        <v>980</v>
      </c>
      <c r="I6354" s="6">
        <v>634.05652706821195</v>
      </c>
      <c r="J6354" s="5">
        <v>4800</v>
      </c>
      <c r="K6354" s="6">
        <f t="shared" si="260"/>
        <v>1.5456035198176761</v>
      </c>
    </row>
    <row r="6355" spans="1:11" hidden="1">
      <c r="A6355" s="4">
        <v>2026</v>
      </c>
      <c r="B6355">
        <v>7</v>
      </c>
      <c r="C6355" t="s">
        <v>10</v>
      </c>
      <c r="D6355" t="s">
        <v>11</v>
      </c>
      <c r="E6355" t="s">
        <v>22</v>
      </c>
      <c r="F6355" t="s">
        <v>18</v>
      </c>
      <c r="G6355" t="str">
        <f t="shared" si="259"/>
        <v>009HOT BUBBLES</v>
      </c>
      <c r="H6355" s="5">
        <v>8500</v>
      </c>
      <c r="I6355" s="6">
        <v>4487.9999999102474</v>
      </c>
      <c r="J6355" s="5">
        <v>31740</v>
      </c>
      <c r="K6355" s="6">
        <f t="shared" si="260"/>
        <v>1.8939393939772695</v>
      </c>
    </row>
    <row r="6356" spans="1:11" hidden="1">
      <c r="A6356" s="4">
        <v>2026</v>
      </c>
      <c r="B6356">
        <v>7</v>
      </c>
      <c r="C6356" t="s">
        <v>10</v>
      </c>
      <c r="D6356" t="s">
        <v>11</v>
      </c>
      <c r="E6356" t="s">
        <v>23</v>
      </c>
      <c r="F6356" t="s">
        <v>24</v>
      </c>
      <c r="G6356" t="str">
        <f t="shared" si="259"/>
        <v>014FRUITY BUBBLES</v>
      </c>
      <c r="H6356" s="5">
        <v>3000</v>
      </c>
      <c r="I6356" s="6">
        <v>1702.8</v>
      </c>
      <c r="J6356" s="5">
        <v>12900</v>
      </c>
      <c r="K6356" s="6">
        <f t="shared" si="260"/>
        <v>1.7618040873854828</v>
      </c>
    </row>
    <row r="6357" spans="1:11" hidden="1">
      <c r="A6357" s="4">
        <v>2026</v>
      </c>
      <c r="B6357">
        <v>7</v>
      </c>
      <c r="C6357" t="s">
        <v>10</v>
      </c>
      <c r="D6357" t="s">
        <v>11</v>
      </c>
      <c r="E6357" t="s">
        <v>25</v>
      </c>
      <c r="F6357" t="s">
        <v>26</v>
      </c>
      <c r="G6357" t="str">
        <f t="shared" si="259"/>
        <v>015FELLINI</v>
      </c>
      <c r="H6357" s="5">
        <v>7660</v>
      </c>
      <c r="I6357" s="6">
        <v>3009.6</v>
      </c>
      <c r="J6357" s="5">
        <v>22800</v>
      </c>
      <c r="K6357" s="6">
        <f t="shared" si="260"/>
        <v>2.5451887293992557</v>
      </c>
    </row>
    <row r="6358" spans="1:11" hidden="1">
      <c r="A6358" s="4">
        <v>2026</v>
      </c>
      <c r="B6358">
        <v>7</v>
      </c>
      <c r="C6358" t="s">
        <v>10</v>
      </c>
      <c r="D6358" t="s">
        <v>11</v>
      </c>
      <c r="E6358" t="s">
        <v>27</v>
      </c>
      <c r="F6358" t="s">
        <v>28</v>
      </c>
      <c r="G6358" t="str">
        <f t="shared" si="259"/>
        <v>016GOOD PEACH</v>
      </c>
      <c r="H6358" s="5">
        <v>3630</v>
      </c>
      <c r="I6358" s="6">
        <v>1386</v>
      </c>
      <c r="J6358" s="5">
        <v>10500</v>
      </c>
      <c r="K6358" s="6">
        <f t="shared" si="260"/>
        <v>2.6190476190476191</v>
      </c>
    </row>
    <row r="6359" spans="1:11" hidden="1">
      <c r="A6359" s="4">
        <v>2026</v>
      </c>
      <c r="B6359">
        <v>7</v>
      </c>
      <c r="C6359" t="s">
        <v>10</v>
      </c>
      <c r="D6359" t="s">
        <v>11</v>
      </c>
      <c r="E6359" t="s">
        <v>27</v>
      </c>
      <c r="F6359" t="s">
        <v>29</v>
      </c>
      <c r="G6359" t="str">
        <f t="shared" si="259"/>
        <v>016GOOD YELLOW</v>
      </c>
      <c r="H6359" s="5">
        <v>3060</v>
      </c>
      <c r="I6359" s="6">
        <v>1386</v>
      </c>
      <c r="J6359" s="5">
        <v>10500</v>
      </c>
      <c r="K6359" s="6">
        <f t="shared" si="260"/>
        <v>2.2077922077922079</v>
      </c>
    </row>
    <row r="6360" spans="1:11" hidden="1">
      <c r="A6360" s="4">
        <v>2026</v>
      </c>
      <c r="B6360">
        <v>7</v>
      </c>
      <c r="C6360" t="s">
        <v>10</v>
      </c>
      <c r="D6360" t="s">
        <v>11</v>
      </c>
      <c r="E6360" t="s">
        <v>30</v>
      </c>
      <c r="F6360" t="s">
        <v>31</v>
      </c>
      <c r="G6360" t="str">
        <f t="shared" si="259"/>
        <v>017ORANGE STAR</v>
      </c>
      <c r="H6360" s="5">
        <v>2000</v>
      </c>
      <c r="I6360" s="6">
        <v>1029.5999999999999</v>
      </c>
      <c r="J6360" s="5">
        <v>7800</v>
      </c>
      <c r="K6360" s="6">
        <f t="shared" si="260"/>
        <v>1.9425019425019427</v>
      </c>
    </row>
    <row r="6361" spans="1:11" hidden="1">
      <c r="A6361" s="4">
        <v>2026</v>
      </c>
      <c r="B6361">
        <v>7</v>
      </c>
      <c r="C6361" t="s">
        <v>10</v>
      </c>
      <c r="D6361" t="s">
        <v>11</v>
      </c>
      <c r="E6361" t="s">
        <v>32</v>
      </c>
      <c r="F6361" t="s">
        <v>33</v>
      </c>
      <c r="G6361" t="str">
        <f t="shared" si="259"/>
        <v>018COSMO</v>
      </c>
      <c r="H6361" s="5">
        <v>5350</v>
      </c>
      <c r="I6361" s="6">
        <v>2653.2</v>
      </c>
      <c r="J6361" s="5">
        <v>20100</v>
      </c>
      <c r="K6361" s="6">
        <f t="shared" si="260"/>
        <v>2.0164329865822403</v>
      </c>
    </row>
    <row r="6362" spans="1:11" hidden="1">
      <c r="A6362" s="4">
        <v>2026</v>
      </c>
      <c r="B6362">
        <v>7</v>
      </c>
      <c r="C6362" t="s">
        <v>10</v>
      </c>
      <c r="D6362" t="s">
        <v>11</v>
      </c>
      <c r="E6362" t="s">
        <v>32</v>
      </c>
      <c r="F6362" t="s">
        <v>34</v>
      </c>
      <c r="G6362" t="str">
        <f t="shared" si="259"/>
        <v>018RUBICON</v>
      </c>
      <c r="H6362" s="5">
        <v>3660</v>
      </c>
      <c r="I6362" s="6">
        <v>1768.8</v>
      </c>
      <c r="J6362" s="5">
        <v>13400</v>
      </c>
      <c r="K6362" s="6">
        <f t="shared" si="260"/>
        <v>2.0691994572591588</v>
      </c>
    </row>
    <row r="6363" spans="1:11" hidden="1">
      <c r="A6363" s="4">
        <v>2026</v>
      </c>
      <c r="B6363">
        <v>7</v>
      </c>
      <c r="C6363" t="s">
        <v>10</v>
      </c>
      <c r="D6363" t="s">
        <v>11</v>
      </c>
      <c r="E6363" t="s">
        <v>35</v>
      </c>
      <c r="F6363" t="s">
        <v>15</v>
      </c>
      <c r="G6363" t="str">
        <f t="shared" si="259"/>
        <v>019BELLINA</v>
      </c>
      <c r="H6363" s="5">
        <v>2640</v>
      </c>
      <c r="I6363" s="6">
        <v>1029.5999999999999</v>
      </c>
      <c r="J6363" s="5">
        <v>7800</v>
      </c>
      <c r="K6363" s="6">
        <f t="shared" si="260"/>
        <v>2.5641025641025643</v>
      </c>
    </row>
    <row r="6364" spans="1:11" hidden="1">
      <c r="A6364" s="4">
        <v>2026</v>
      </c>
      <c r="B6364">
        <v>7</v>
      </c>
      <c r="C6364" t="s">
        <v>10</v>
      </c>
      <c r="D6364" t="s">
        <v>11</v>
      </c>
      <c r="E6364" t="s">
        <v>36</v>
      </c>
      <c r="F6364" t="s">
        <v>37</v>
      </c>
      <c r="G6364" t="str">
        <f t="shared" si="259"/>
        <v>020SUMMER DANCE</v>
      </c>
      <c r="H6364" s="5">
        <v>2475</v>
      </c>
      <c r="I6364" s="6">
        <v>1346.4</v>
      </c>
      <c r="J6364" s="5">
        <v>10200</v>
      </c>
      <c r="K6364" s="6">
        <f t="shared" si="260"/>
        <v>1.838235294117647</v>
      </c>
    </row>
    <row r="6365" spans="1:11" hidden="1">
      <c r="A6365" s="4">
        <v>2026</v>
      </c>
      <c r="B6365">
        <v>7</v>
      </c>
      <c r="C6365" t="s">
        <v>10</v>
      </c>
      <c r="D6365" t="s">
        <v>11</v>
      </c>
      <c r="E6365" t="s">
        <v>38</v>
      </c>
      <c r="F6365" t="s">
        <v>39</v>
      </c>
      <c r="G6365" t="str">
        <f t="shared" si="259"/>
        <v>021ELEGANT ROSEVER</v>
      </c>
      <c r="H6365" s="5">
        <v>840</v>
      </c>
      <c r="I6365" s="6">
        <v>440.18999062500001</v>
      </c>
      <c r="J6365" s="5">
        <v>3200</v>
      </c>
      <c r="K6365" s="6">
        <f t="shared" si="260"/>
        <v>1.9082669253958573</v>
      </c>
    </row>
    <row r="6366" spans="1:11" hidden="1">
      <c r="A6366" s="4">
        <v>2026</v>
      </c>
      <c r="B6366">
        <v>7</v>
      </c>
      <c r="C6366" t="s">
        <v>10</v>
      </c>
      <c r="D6366" t="s">
        <v>11</v>
      </c>
      <c r="E6366" t="s">
        <v>38</v>
      </c>
      <c r="F6366" t="s">
        <v>40</v>
      </c>
      <c r="G6366" t="str">
        <f t="shared" si="259"/>
        <v>021FLAME CLUB</v>
      </c>
      <c r="H6366" s="5">
        <v>2725</v>
      </c>
      <c r="I6366" s="6">
        <v>880.38</v>
      </c>
      <c r="J6366" s="5">
        <v>6400</v>
      </c>
      <c r="K6366" s="6">
        <f t="shared" si="260"/>
        <v>3.0952543219973192</v>
      </c>
    </row>
    <row r="6367" spans="1:11" hidden="1">
      <c r="A6367" s="4">
        <v>2026</v>
      </c>
      <c r="B6367">
        <v>7</v>
      </c>
      <c r="C6367" t="s">
        <v>10</v>
      </c>
      <c r="D6367" t="s">
        <v>11</v>
      </c>
      <c r="E6367" t="s">
        <v>38</v>
      </c>
      <c r="F6367" t="s">
        <v>41</v>
      </c>
      <c r="G6367" t="str">
        <f t="shared" si="259"/>
        <v>021KELLY</v>
      </c>
      <c r="H6367" s="5">
        <v>975</v>
      </c>
      <c r="I6367" s="6">
        <v>330.14249999999998</v>
      </c>
      <c r="J6367" s="5">
        <v>2400</v>
      </c>
      <c r="K6367" s="6">
        <f t="shared" si="260"/>
        <v>2.9532701787864331</v>
      </c>
    </row>
    <row r="6368" spans="1:11" hidden="1">
      <c r="A6368" s="4">
        <v>2026</v>
      </c>
      <c r="B6368">
        <v>7</v>
      </c>
      <c r="C6368" t="s">
        <v>10</v>
      </c>
      <c r="D6368" t="s">
        <v>11</v>
      </c>
      <c r="E6368" t="s">
        <v>38</v>
      </c>
      <c r="F6368" t="s">
        <v>42</v>
      </c>
      <c r="G6368" t="str">
        <f t="shared" si="259"/>
        <v>021LEILA</v>
      </c>
      <c r="H6368" s="5">
        <v>8825</v>
      </c>
      <c r="I6368" s="6">
        <v>1430.6175000000001</v>
      </c>
      <c r="J6368" s="5">
        <v>10400</v>
      </c>
      <c r="K6368" s="6">
        <f t="shared" si="260"/>
        <v>6.1686649296545024</v>
      </c>
    </row>
    <row r="6369" spans="1:11" hidden="1">
      <c r="A6369" s="4">
        <v>2026</v>
      </c>
      <c r="B6369">
        <v>7</v>
      </c>
      <c r="C6369" t="s">
        <v>10</v>
      </c>
      <c r="D6369" t="s">
        <v>11</v>
      </c>
      <c r="E6369" t="s">
        <v>38</v>
      </c>
      <c r="F6369" t="s">
        <v>21</v>
      </c>
      <c r="G6369" t="str">
        <f t="shared" si="259"/>
        <v>021SNOW BUBBLES</v>
      </c>
      <c r="H6369" s="5">
        <v>4260</v>
      </c>
      <c r="I6369" s="6">
        <v>1287.0000000000018</v>
      </c>
      <c r="J6369" s="5">
        <v>9400</v>
      </c>
      <c r="K6369" s="6">
        <f t="shared" si="260"/>
        <v>3.3100233100233054</v>
      </c>
    </row>
    <row r="6370" spans="1:11" hidden="1">
      <c r="A6370" s="4">
        <v>2026</v>
      </c>
      <c r="B6370">
        <v>7</v>
      </c>
      <c r="C6370" t="s">
        <v>10</v>
      </c>
      <c r="D6370" t="s">
        <v>11</v>
      </c>
      <c r="E6370" t="s">
        <v>43</v>
      </c>
      <c r="F6370" t="s">
        <v>24</v>
      </c>
      <c r="G6370" t="str">
        <f t="shared" si="259"/>
        <v>022FRUITY BUBBLES</v>
      </c>
      <c r="H6370" s="5">
        <v>5725</v>
      </c>
      <c r="I6370" s="6">
        <v>2641.14</v>
      </c>
      <c r="J6370" s="5">
        <v>19200</v>
      </c>
      <c r="K6370" s="6">
        <f t="shared" si="260"/>
        <v>2.1676245863528627</v>
      </c>
    </row>
    <row r="6371" spans="1:11" hidden="1">
      <c r="A6371" s="4">
        <v>2026</v>
      </c>
      <c r="B6371">
        <v>7</v>
      </c>
      <c r="C6371" t="s">
        <v>10</v>
      </c>
      <c r="D6371" t="s">
        <v>11</v>
      </c>
      <c r="E6371" t="s">
        <v>43</v>
      </c>
      <c r="F6371" t="s">
        <v>28</v>
      </c>
      <c r="G6371" t="str">
        <f t="shared" si="259"/>
        <v>022GOOD PEACH</v>
      </c>
      <c r="H6371" s="5">
        <v>2550</v>
      </c>
      <c r="I6371" s="6">
        <v>880.38</v>
      </c>
      <c r="J6371" s="5">
        <v>6400</v>
      </c>
      <c r="K6371" s="6">
        <f t="shared" si="260"/>
        <v>2.8964765215020787</v>
      </c>
    </row>
    <row r="6372" spans="1:11" hidden="1">
      <c r="A6372" s="4">
        <v>2026</v>
      </c>
      <c r="B6372">
        <v>7</v>
      </c>
      <c r="C6372" t="s">
        <v>10</v>
      </c>
      <c r="D6372" t="s">
        <v>11</v>
      </c>
      <c r="E6372" t="s">
        <v>43</v>
      </c>
      <c r="F6372" t="s">
        <v>44</v>
      </c>
      <c r="G6372" t="str">
        <f t="shared" si="259"/>
        <v>022MIRABEL</v>
      </c>
      <c r="H6372" s="5">
        <v>1520</v>
      </c>
      <c r="I6372" s="6">
        <v>880.38</v>
      </c>
      <c r="J6372" s="5">
        <v>6400</v>
      </c>
      <c r="K6372" s="6">
        <f t="shared" si="260"/>
        <v>1.7265271814443763</v>
      </c>
    </row>
    <row r="6373" spans="1:11" hidden="1">
      <c r="A6373" s="4">
        <v>2026</v>
      </c>
      <c r="B6373">
        <v>7</v>
      </c>
      <c r="C6373" t="s">
        <v>10</v>
      </c>
      <c r="D6373" t="s">
        <v>11</v>
      </c>
      <c r="E6373" t="s">
        <v>47</v>
      </c>
      <c r="F6373" t="s">
        <v>44</v>
      </c>
      <c r="G6373" t="str">
        <f t="shared" si="259"/>
        <v>030MIRABEL</v>
      </c>
      <c r="H6373" s="5">
        <v>3260</v>
      </c>
      <c r="I6373" s="6">
        <v>2413.6749943750001</v>
      </c>
      <c r="J6373" s="5">
        <v>17600</v>
      </c>
      <c r="K6373" s="6">
        <f t="shared" si="260"/>
        <v>1.3506375164830957</v>
      </c>
    </row>
    <row r="6374" spans="1:11" hidden="1">
      <c r="A6374" s="4">
        <v>2026</v>
      </c>
      <c r="B6374">
        <v>7</v>
      </c>
      <c r="C6374" t="s">
        <v>10</v>
      </c>
      <c r="D6374" t="s">
        <v>11</v>
      </c>
      <c r="E6374" t="s">
        <v>47</v>
      </c>
      <c r="F6374" t="s">
        <v>13</v>
      </c>
      <c r="G6374" t="str">
        <f t="shared" si="259"/>
        <v>030SOMERSET</v>
      </c>
      <c r="H6374" s="5">
        <v>3780</v>
      </c>
      <c r="I6374" s="6">
        <v>1645.6875</v>
      </c>
      <c r="J6374" s="5">
        <v>12000</v>
      </c>
      <c r="K6374" s="6">
        <f t="shared" si="260"/>
        <v>2.296912384641677</v>
      </c>
    </row>
    <row r="6375" spans="1:11" hidden="1">
      <c r="A6375" s="4">
        <v>2026</v>
      </c>
      <c r="B6375">
        <v>7</v>
      </c>
      <c r="C6375" t="s">
        <v>10</v>
      </c>
      <c r="D6375" t="s">
        <v>11</v>
      </c>
      <c r="E6375" t="s">
        <v>48</v>
      </c>
      <c r="F6375" t="s">
        <v>49</v>
      </c>
      <c r="G6375" t="str">
        <f t="shared" si="259"/>
        <v>03182989</v>
      </c>
      <c r="H6375" s="5">
        <v>920</v>
      </c>
      <c r="I6375" s="6">
        <v>726.32013058333712</v>
      </c>
      <c r="J6375" s="5">
        <v>5712</v>
      </c>
      <c r="K6375" s="6">
        <f t="shared" si="260"/>
        <v>1.2666590959844535</v>
      </c>
    </row>
    <row r="6376" spans="1:11" hidden="1">
      <c r="A6376" s="4">
        <v>2026</v>
      </c>
      <c r="B6376">
        <v>7</v>
      </c>
      <c r="C6376" t="s">
        <v>10</v>
      </c>
      <c r="D6376" t="s">
        <v>11</v>
      </c>
      <c r="E6376" t="s">
        <v>48</v>
      </c>
      <c r="F6376" t="s">
        <v>34</v>
      </c>
      <c r="G6376" t="str">
        <f t="shared" si="259"/>
        <v>031RUBICON</v>
      </c>
      <c r="H6376" s="5">
        <v>2910</v>
      </c>
      <c r="I6376" s="6">
        <v>924.39958333667107</v>
      </c>
      <c r="J6376" s="5">
        <v>6720</v>
      </c>
      <c r="K6376" s="6">
        <f t="shared" si="260"/>
        <v>3.1479893029551085</v>
      </c>
    </row>
    <row r="6377" spans="1:11" hidden="1">
      <c r="A6377" s="4">
        <v>2026</v>
      </c>
      <c r="B6377">
        <v>7</v>
      </c>
      <c r="C6377" t="s">
        <v>10</v>
      </c>
      <c r="D6377" t="s">
        <v>11</v>
      </c>
      <c r="E6377" t="s">
        <v>48</v>
      </c>
      <c r="F6377" t="s">
        <v>13</v>
      </c>
      <c r="G6377" t="str">
        <f t="shared" si="259"/>
        <v>031SOMERSET</v>
      </c>
      <c r="H6377" s="5">
        <v>2080</v>
      </c>
      <c r="I6377" s="6">
        <v>1122.485208333339</v>
      </c>
      <c r="J6377" s="5">
        <v>8160</v>
      </c>
      <c r="K6377" s="6">
        <f t="shared" si="260"/>
        <v>1.8530310997045341</v>
      </c>
    </row>
    <row r="6378" spans="1:11" hidden="1">
      <c r="A6378" s="4">
        <v>2026</v>
      </c>
      <c r="B6378">
        <v>7</v>
      </c>
      <c r="C6378" t="s">
        <v>10</v>
      </c>
      <c r="D6378" t="s">
        <v>11</v>
      </c>
      <c r="E6378" t="s">
        <v>48</v>
      </c>
      <c r="F6378" t="s">
        <v>50</v>
      </c>
      <c r="G6378" t="str">
        <f t="shared" si="259"/>
        <v>031VELVET BLOSSOMS</v>
      </c>
      <c r="H6378" s="5">
        <v>500</v>
      </c>
      <c r="I6378" s="6">
        <v>396.17125000000198</v>
      </c>
      <c r="J6378" s="5">
        <v>2880</v>
      </c>
      <c r="K6378" s="6">
        <f t="shared" si="260"/>
        <v>1.2620804765615816</v>
      </c>
    </row>
    <row r="6379" spans="1:11" hidden="1">
      <c r="A6379" s="4">
        <v>2026</v>
      </c>
      <c r="B6379">
        <v>7</v>
      </c>
      <c r="C6379" t="s">
        <v>10</v>
      </c>
      <c r="D6379" t="s">
        <v>11</v>
      </c>
      <c r="E6379" t="s">
        <v>51</v>
      </c>
      <c r="F6379" t="s">
        <v>17</v>
      </c>
      <c r="G6379" t="str">
        <f t="shared" si="259"/>
        <v>032ELBA</v>
      </c>
      <c r="H6379" s="5">
        <v>2550</v>
      </c>
      <c r="I6379" s="6">
        <v>1535.9749999999999</v>
      </c>
      <c r="J6379" s="5">
        <v>11200</v>
      </c>
      <c r="K6379" s="6">
        <f t="shared" si="260"/>
        <v>1.6601832712120967</v>
      </c>
    </row>
    <row r="6380" spans="1:11" hidden="1">
      <c r="A6380" s="4">
        <v>2026</v>
      </c>
      <c r="B6380">
        <v>7</v>
      </c>
      <c r="C6380" t="s">
        <v>10</v>
      </c>
      <c r="D6380" t="s">
        <v>11</v>
      </c>
      <c r="E6380" t="s">
        <v>51</v>
      </c>
      <c r="F6380" t="s">
        <v>44</v>
      </c>
      <c r="G6380" t="str">
        <f t="shared" si="259"/>
        <v>032MIRABEL</v>
      </c>
      <c r="H6380" s="5">
        <v>1820</v>
      </c>
      <c r="I6380" s="6">
        <v>1535.9749999999999</v>
      </c>
      <c r="J6380" s="5">
        <v>11200</v>
      </c>
      <c r="K6380" s="6">
        <f t="shared" si="260"/>
        <v>1.1849151190611826</v>
      </c>
    </row>
    <row r="6381" spans="1:11" hidden="1">
      <c r="A6381" s="4">
        <v>2026</v>
      </c>
      <c r="B6381">
        <v>7</v>
      </c>
      <c r="C6381" t="s">
        <v>10</v>
      </c>
      <c r="D6381" t="s">
        <v>11</v>
      </c>
      <c r="E6381" t="s">
        <v>52</v>
      </c>
      <c r="F6381" t="s">
        <v>53</v>
      </c>
      <c r="G6381" t="str">
        <f t="shared" si="259"/>
        <v>033CREAMY FOLIES</v>
      </c>
      <c r="H6381" s="5">
        <v>900</v>
      </c>
      <c r="I6381" s="6">
        <v>594.25687500000299</v>
      </c>
      <c r="J6381" s="5">
        <v>4320</v>
      </c>
      <c r="K6381" s="6">
        <f t="shared" si="260"/>
        <v>1.5144965718738979</v>
      </c>
    </row>
    <row r="6382" spans="1:11" hidden="1">
      <c r="A6382" s="4">
        <v>2026</v>
      </c>
      <c r="B6382">
        <v>7</v>
      </c>
      <c r="C6382" t="s">
        <v>10</v>
      </c>
      <c r="D6382" t="s">
        <v>11</v>
      </c>
      <c r="E6382" t="s">
        <v>52</v>
      </c>
      <c r="F6382" t="s">
        <v>18</v>
      </c>
      <c r="G6382" t="str">
        <f t="shared" si="259"/>
        <v>033HOT BUBBLES</v>
      </c>
      <c r="H6382" s="5">
        <v>3400</v>
      </c>
      <c r="I6382" s="6">
        <v>2575.1131250013459</v>
      </c>
      <c r="J6382" s="5">
        <v>18720</v>
      </c>
      <c r="K6382" s="6">
        <f t="shared" si="260"/>
        <v>1.3203303447098942</v>
      </c>
    </row>
    <row r="6383" spans="1:11" hidden="1">
      <c r="A6383" s="4">
        <v>2026</v>
      </c>
      <c r="B6383">
        <v>7</v>
      </c>
      <c r="C6383" t="s">
        <v>54</v>
      </c>
      <c r="D6383" t="s">
        <v>11</v>
      </c>
      <c r="E6383" t="s">
        <v>55</v>
      </c>
      <c r="F6383" t="s">
        <v>56</v>
      </c>
      <c r="G6383" t="str">
        <f t="shared" si="259"/>
        <v>001BELIEVE IN PINK</v>
      </c>
      <c r="H6383" s="5">
        <v>1260</v>
      </c>
      <c r="I6383" s="6">
        <v>528.37931032368999</v>
      </c>
      <c r="J6383" s="5">
        <v>4000</v>
      </c>
      <c r="K6383" s="6">
        <f t="shared" ref="K6383:K6388" si="261">IFERROR(H6383/I6383,"")</f>
        <v>2.3846505254494397</v>
      </c>
    </row>
    <row r="6384" spans="1:11" hidden="1">
      <c r="A6384" s="4">
        <v>2026</v>
      </c>
      <c r="B6384">
        <v>7</v>
      </c>
      <c r="C6384" t="s">
        <v>54</v>
      </c>
      <c r="D6384" t="s">
        <v>11</v>
      </c>
      <c r="E6384" t="s">
        <v>55</v>
      </c>
      <c r="F6384" t="s">
        <v>57</v>
      </c>
      <c r="G6384" t="str">
        <f t="shared" si="259"/>
        <v>001EXPLORER</v>
      </c>
      <c r="H6384" s="5">
        <v>3375</v>
      </c>
      <c r="I6384" s="6">
        <v>2272.0310343918732</v>
      </c>
      <c r="J6384" s="5">
        <v>17200</v>
      </c>
      <c r="K6384" s="6">
        <f t="shared" si="261"/>
        <v>1.4854550615341156</v>
      </c>
    </row>
    <row r="6385" spans="1:11" hidden="1">
      <c r="A6385" s="4">
        <v>2026</v>
      </c>
      <c r="B6385">
        <v>7</v>
      </c>
      <c r="C6385" t="s">
        <v>54</v>
      </c>
      <c r="D6385" t="s">
        <v>11</v>
      </c>
      <c r="E6385" t="s">
        <v>55</v>
      </c>
      <c r="F6385" t="s">
        <v>58</v>
      </c>
      <c r="G6385" t="str">
        <f t="shared" si="259"/>
        <v>001GRACE KELLY</v>
      </c>
      <c r="H6385" s="5">
        <v>2250</v>
      </c>
      <c r="I6385" s="6">
        <v>1162.4344827121224</v>
      </c>
      <c r="J6385" s="5">
        <v>8800</v>
      </c>
      <c r="K6385" s="6">
        <f t="shared" si="261"/>
        <v>1.9355929589686938</v>
      </c>
    </row>
    <row r="6386" spans="1:11" hidden="1">
      <c r="A6386" s="4">
        <v>2026</v>
      </c>
      <c r="B6386">
        <v>7</v>
      </c>
      <c r="C6386" t="s">
        <v>54</v>
      </c>
      <c r="D6386" t="s">
        <v>11</v>
      </c>
      <c r="E6386" t="s">
        <v>55</v>
      </c>
      <c r="F6386" t="s">
        <v>60</v>
      </c>
      <c r="G6386" t="str">
        <f t="shared" si="259"/>
        <v>001LIGHT HOUSE</v>
      </c>
      <c r="H6386" s="5">
        <v>1890</v>
      </c>
      <c r="I6386" s="6">
        <v>1056.7586206473827</v>
      </c>
      <c r="J6386" s="5">
        <v>8000</v>
      </c>
      <c r="K6386" s="6">
        <f t="shared" si="261"/>
        <v>1.7884878940870752</v>
      </c>
    </row>
    <row r="6387" spans="1:11" hidden="1">
      <c r="A6387" s="4">
        <v>2026</v>
      </c>
      <c r="B6387">
        <v>7</v>
      </c>
      <c r="C6387" t="s">
        <v>54</v>
      </c>
      <c r="D6387" t="s">
        <v>11</v>
      </c>
      <c r="E6387" t="s">
        <v>55</v>
      </c>
      <c r="F6387" t="s">
        <v>61</v>
      </c>
      <c r="G6387" t="str">
        <f t="shared" ref="G6387:G6449" si="262">+E6387&amp;F6387</f>
        <v>001LUMIA</v>
      </c>
      <c r="H6387" s="5">
        <v>2130</v>
      </c>
      <c r="I6387" s="6">
        <v>1109.596551679753</v>
      </c>
      <c r="J6387" s="5">
        <v>8400</v>
      </c>
      <c r="K6387" s="6">
        <f t="shared" si="261"/>
        <v>1.919616636132762</v>
      </c>
    </row>
    <row r="6388" spans="1:11" hidden="1">
      <c r="A6388" s="4">
        <v>2026</v>
      </c>
      <c r="B6388">
        <v>7</v>
      </c>
      <c r="C6388" t="s">
        <v>54</v>
      </c>
      <c r="D6388" t="s">
        <v>11</v>
      </c>
      <c r="E6388" t="s">
        <v>55</v>
      </c>
      <c r="F6388" t="s">
        <v>62</v>
      </c>
      <c r="G6388" t="str">
        <f t="shared" si="262"/>
        <v>001MOMENTUM</v>
      </c>
      <c r="H6388" s="5">
        <v>5425</v>
      </c>
      <c r="I6388" s="6">
        <v>1902.1655171652881</v>
      </c>
      <c r="J6388" s="5">
        <v>14400</v>
      </c>
      <c r="K6388" s="6">
        <f t="shared" si="261"/>
        <v>2.8520125883075802</v>
      </c>
    </row>
    <row r="6389" spans="1:11" hidden="1">
      <c r="A6389" s="4">
        <v>2026</v>
      </c>
      <c r="B6389">
        <v>7</v>
      </c>
      <c r="C6389" t="s">
        <v>54</v>
      </c>
      <c r="D6389" t="s">
        <v>11</v>
      </c>
      <c r="E6389" t="s">
        <v>12</v>
      </c>
      <c r="F6389" t="s">
        <v>63</v>
      </c>
      <c r="G6389" t="str">
        <f t="shared" si="262"/>
        <v>002SUMMER ROMANCE</v>
      </c>
      <c r="H6389" s="5">
        <v>2550</v>
      </c>
      <c r="I6389" s="6">
        <v>951.10714281909407</v>
      </c>
      <c r="J6389" s="5">
        <v>7200</v>
      </c>
      <c r="K6389" s="6">
        <f t="shared" si="260"/>
        <v>2.6810859525686732</v>
      </c>
    </row>
    <row r="6390" spans="1:11" hidden="1">
      <c r="A6390" s="4">
        <v>2026</v>
      </c>
      <c r="B6390">
        <v>7</v>
      </c>
      <c r="C6390" t="s">
        <v>54</v>
      </c>
      <c r="D6390" t="s">
        <v>11</v>
      </c>
      <c r="E6390" t="s">
        <v>12</v>
      </c>
      <c r="F6390" t="s">
        <v>64</v>
      </c>
      <c r="G6390" t="str">
        <f t="shared" si="262"/>
        <v>002SWEETNESS</v>
      </c>
      <c r="H6390" s="5">
        <v>6990</v>
      </c>
      <c r="I6390" s="6">
        <v>3804.4285712763772</v>
      </c>
      <c r="J6390" s="5">
        <v>28800</v>
      </c>
      <c r="K6390" s="6">
        <f t="shared" si="260"/>
        <v>1.8373324322014728</v>
      </c>
    </row>
    <row r="6391" spans="1:11" hidden="1">
      <c r="A6391" s="4">
        <v>2026</v>
      </c>
      <c r="B6391">
        <v>7</v>
      </c>
      <c r="C6391" t="s">
        <v>54</v>
      </c>
      <c r="D6391" t="s">
        <v>11</v>
      </c>
      <c r="E6391" t="s">
        <v>65</v>
      </c>
      <c r="F6391" t="s">
        <v>66</v>
      </c>
      <c r="G6391" t="str">
        <f t="shared" si="262"/>
        <v>003CABARET</v>
      </c>
      <c r="H6391" s="5">
        <v>5490</v>
      </c>
      <c r="I6391" s="6">
        <v>2641.8965516184649</v>
      </c>
      <c r="J6391" s="5">
        <v>20000</v>
      </c>
      <c r="K6391" s="6">
        <f t="shared" si="260"/>
        <v>2.0780526007487858</v>
      </c>
    </row>
    <row r="6392" spans="1:11" hidden="1">
      <c r="A6392" s="4">
        <v>2026</v>
      </c>
      <c r="B6392">
        <v>7</v>
      </c>
      <c r="C6392" t="s">
        <v>54</v>
      </c>
      <c r="D6392" t="s">
        <v>11</v>
      </c>
      <c r="E6392" t="s">
        <v>65</v>
      </c>
      <c r="F6392" t="s">
        <v>67</v>
      </c>
      <c r="G6392" t="str">
        <f t="shared" si="262"/>
        <v>003DEEP PURPLE</v>
      </c>
      <c r="H6392" s="5">
        <v>7530</v>
      </c>
      <c r="I6392" s="6">
        <v>3592.9793102010913</v>
      </c>
      <c r="J6392" s="5">
        <v>26044</v>
      </c>
      <c r="K6392" s="6">
        <f t="shared" si="260"/>
        <v>2.0957537881225825</v>
      </c>
    </row>
    <row r="6393" spans="1:11" hidden="1">
      <c r="A6393" s="4">
        <v>2026</v>
      </c>
      <c r="B6393">
        <v>7</v>
      </c>
      <c r="C6393" t="s">
        <v>54</v>
      </c>
      <c r="D6393" t="s">
        <v>11</v>
      </c>
      <c r="E6393" t="s">
        <v>65</v>
      </c>
      <c r="F6393" t="s">
        <v>57</v>
      </c>
      <c r="G6393" t="str">
        <f t="shared" si="262"/>
        <v>003EXPLORER</v>
      </c>
      <c r="H6393" s="5">
        <v>1375</v>
      </c>
      <c r="I6393" s="6">
        <v>1268.1103447768633</v>
      </c>
      <c r="J6393" s="5">
        <v>9600</v>
      </c>
      <c r="K6393" s="6">
        <f t="shared" si="260"/>
        <v>1.0842905001630163</v>
      </c>
    </row>
    <row r="6394" spans="1:11" hidden="1">
      <c r="A6394" s="4">
        <v>2026</v>
      </c>
      <c r="B6394">
        <v>7</v>
      </c>
      <c r="C6394" t="s">
        <v>54</v>
      </c>
      <c r="D6394" t="s">
        <v>11</v>
      </c>
      <c r="E6394" t="s">
        <v>65</v>
      </c>
      <c r="F6394" t="s">
        <v>68</v>
      </c>
      <c r="G6394" t="str">
        <f t="shared" si="262"/>
        <v>003JOCKER</v>
      </c>
      <c r="H6394" s="5">
        <v>1400</v>
      </c>
      <c r="I6394" s="6">
        <v>528.37931032368999</v>
      </c>
      <c r="J6394" s="5">
        <v>4000</v>
      </c>
      <c r="K6394" s="6">
        <f t="shared" si="260"/>
        <v>2.6496116949438222</v>
      </c>
    </row>
    <row r="6395" spans="1:11" hidden="1">
      <c r="A6395" s="4">
        <v>2026</v>
      </c>
      <c r="B6395">
        <v>7</v>
      </c>
      <c r="C6395" t="s">
        <v>54</v>
      </c>
      <c r="D6395" t="s">
        <v>11</v>
      </c>
      <c r="E6395" t="s">
        <v>65</v>
      </c>
      <c r="F6395" t="s">
        <v>69</v>
      </c>
      <c r="G6395" t="str">
        <f t="shared" si="262"/>
        <v>003QUICKSAND</v>
      </c>
      <c r="H6395" s="5">
        <v>1980</v>
      </c>
      <c r="I6395" s="6">
        <v>1162.4344827121247</v>
      </c>
      <c r="J6395" s="5">
        <v>8800</v>
      </c>
      <c r="K6395" s="6">
        <f t="shared" si="260"/>
        <v>1.7033218038924471</v>
      </c>
    </row>
    <row r="6396" spans="1:11" hidden="1">
      <c r="A6396" s="4">
        <v>2026</v>
      </c>
      <c r="B6396">
        <v>7</v>
      </c>
      <c r="C6396" t="s">
        <v>54</v>
      </c>
      <c r="D6396" t="s">
        <v>11</v>
      </c>
      <c r="E6396" t="s">
        <v>14</v>
      </c>
      <c r="F6396" t="s">
        <v>70</v>
      </c>
      <c r="G6396" t="str">
        <f t="shared" si="262"/>
        <v>004COTOPAXI</v>
      </c>
      <c r="H6396" s="5">
        <v>900</v>
      </c>
      <c r="I6396" s="6">
        <v>528.3915024419166</v>
      </c>
      <c r="J6396" s="5">
        <v>4000</v>
      </c>
      <c r="K6396" s="6">
        <f t="shared" si="260"/>
        <v>1.7032825014042168</v>
      </c>
    </row>
    <row r="6397" spans="1:11" hidden="1">
      <c r="A6397" s="4">
        <v>2026</v>
      </c>
      <c r="B6397">
        <v>7</v>
      </c>
      <c r="C6397" t="s">
        <v>54</v>
      </c>
      <c r="D6397" t="s">
        <v>11</v>
      </c>
      <c r="E6397" t="s">
        <v>14</v>
      </c>
      <c r="F6397" t="s">
        <v>67</v>
      </c>
      <c r="G6397" t="str">
        <f t="shared" si="262"/>
        <v>004DEEP PURPLE</v>
      </c>
      <c r="H6397" s="5">
        <v>9600</v>
      </c>
      <c r="I6397" s="6">
        <v>3910.1071427007282</v>
      </c>
      <c r="J6397" s="5">
        <v>29260</v>
      </c>
      <c r="K6397" s="6">
        <f t="shared" ref="K6397:K6459" si="263">+H6397/I6397</f>
        <v>2.4551756894746464</v>
      </c>
    </row>
    <row r="6398" spans="1:11" hidden="1">
      <c r="A6398" s="4">
        <v>2026</v>
      </c>
      <c r="B6398">
        <v>7</v>
      </c>
      <c r="C6398" t="s">
        <v>54</v>
      </c>
      <c r="D6398" t="s">
        <v>11</v>
      </c>
      <c r="E6398" t="s">
        <v>14</v>
      </c>
      <c r="F6398" t="s">
        <v>71</v>
      </c>
      <c r="G6398" t="str">
        <f t="shared" si="262"/>
        <v>004HOT EXPLORER</v>
      </c>
      <c r="H6398" s="5">
        <v>2550</v>
      </c>
      <c r="I6398" s="6">
        <v>1902.2142856381945</v>
      </c>
      <c r="J6398" s="5">
        <v>14400</v>
      </c>
      <c r="K6398" s="6">
        <f t="shared" si="263"/>
        <v>1.3405429762843322</v>
      </c>
    </row>
    <row r="6399" spans="1:11" hidden="1">
      <c r="A6399" s="4">
        <v>2026</v>
      </c>
      <c r="B6399">
        <v>7</v>
      </c>
      <c r="C6399" t="s">
        <v>54</v>
      </c>
      <c r="D6399" t="s">
        <v>11</v>
      </c>
      <c r="E6399" t="s">
        <v>14</v>
      </c>
      <c r="F6399" t="s">
        <v>72</v>
      </c>
      <c r="G6399" t="str">
        <f t="shared" si="262"/>
        <v>004HOT MERENGUE</v>
      </c>
      <c r="H6399" s="5">
        <v>3180</v>
      </c>
      <c r="I6399" s="6">
        <v>1162.4642856677858</v>
      </c>
      <c r="J6399" s="5">
        <v>8800</v>
      </c>
      <c r="K6399" s="6">
        <f t="shared" si="263"/>
        <v>2.7355679131021446</v>
      </c>
    </row>
    <row r="6400" spans="1:11" hidden="1">
      <c r="A6400" s="4">
        <v>2026</v>
      </c>
      <c r="B6400">
        <v>7</v>
      </c>
      <c r="C6400" t="s">
        <v>54</v>
      </c>
      <c r="D6400" t="s">
        <v>11</v>
      </c>
      <c r="E6400" t="s">
        <v>14</v>
      </c>
      <c r="F6400" t="s">
        <v>64</v>
      </c>
      <c r="G6400" t="str">
        <f t="shared" si="262"/>
        <v>004SWEETNESS</v>
      </c>
      <c r="H6400" s="5">
        <v>540</v>
      </c>
      <c r="I6400" s="6">
        <v>317.03571427303262</v>
      </c>
      <c r="J6400" s="5">
        <v>2400</v>
      </c>
      <c r="K6400" s="6">
        <f t="shared" si="263"/>
        <v>1.7032781345730328</v>
      </c>
    </row>
    <row r="6401" spans="1:11" hidden="1">
      <c r="A6401" s="4">
        <v>2026</v>
      </c>
      <c r="B6401">
        <v>7</v>
      </c>
      <c r="C6401" t="s">
        <v>54</v>
      </c>
      <c r="D6401" t="s">
        <v>11</v>
      </c>
      <c r="E6401" t="s">
        <v>16</v>
      </c>
      <c r="F6401" t="s">
        <v>57</v>
      </c>
      <c r="G6401" t="str">
        <f t="shared" si="262"/>
        <v>005EXPLORER</v>
      </c>
      <c r="H6401" s="5">
        <v>1325</v>
      </c>
      <c r="I6401" s="6">
        <v>951.10714281875391</v>
      </c>
      <c r="J6401" s="5">
        <v>7200</v>
      </c>
      <c r="K6401" s="6">
        <f t="shared" si="263"/>
        <v>1.3931132890802991</v>
      </c>
    </row>
    <row r="6402" spans="1:11" hidden="1">
      <c r="A6402" s="4">
        <v>2026</v>
      </c>
      <c r="B6402">
        <v>7</v>
      </c>
      <c r="C6402" t="s">
        <v>54</v>
      </c>
      <c r="D6402" t="s">
        <v>11</v>
      </c>
      <c r="E6402" t="s">
        <v>16</v>
      </c>
      <c r="F6402" t="s">
        <v>73</v>
      </c>
      <c r="G6402" t="str">
        <f t="shared" si="262"/>
        <v>005GOLDFINCH</v>
      </c>
      <c r="H6402" s="5">
        <v>1375</v>
      </c>
      <c r="I6402" s="6">
        <v>898.26785710660101</v>
      </c>
      <c r="J6402" s="5">
        <v>6800</v>
      </c>
      <c r="K6402" s="6">
        <f t="shared" si="263"/>
        <v>1.5307238137508279</v>
      </c>
    </row>
    <row r="6403" spans="1:11" hidden="1">
      <c r="A6403" s="4">
        <v>2026</v>
      </c>
      <c r="B6403">
        <v>7</v>
      </c>
      <c r="C6403" t="s">
        <v>54</v>
      </c>
      <c r="D6403" t="s">
        <v>11</v>
      </c>
      <c r="E6403" t="s">
        <v>16</v>
      </c>
      <c r="F6403" t="s">
        <v>68</v>
      </c>
      <c r="G6403" t="str">
        <f t="shared" si="262"/>
        <v>005JOCKER</v>
      </c>
      <c r="H6403" s="5">
        <v>2375</v>
      </c>
      <c r="I6403" s="6">
        <v>1162.4642856673661</v>
      </c>
      <c r="J6403" s="5">
        <v>8800</v>
      </c>
      <c r="K6403" s="6">
        <f t="shared" si="263"/>
        <v>2.0430735200062702</v>
      </c>
    </row>
    <row r="6404" spans="1:11" hidden="1">
      <c r="A6404" s="4">
        <v>2026</v>
      </c>
      <c r="B6404">
        <v>7</v>
      </c>
      <c r="C6404" t="s">
        <v>54</v>
      </c>
      <c r="D6404" t="s">
        <v>11</v>
      </c>
      <c r="E6404" t="s">
        <v>16</v>
      </c>
      <c r="F6404" t="s">
        <v>74</v>
      </c>
      <c r="G6404" t="str">
        <f t="shared" si="262"/>
        <v>005VENDELA</v>
      </c>
      <c r="H6404" s="5">
        <v>1650</v>
      </c>
      <c r="I6404" s="6">
        <v>686.91071425798896</v>
      </c>
      <c r="J6404" s="5">
        <v>5200</v>
      </c>
      <c r="K6404" s="6">
        <f t="shared" si="263"/>
        <v>2.4020589077320684</v>
      </c>
    </row>
    <row r="6405" spans="1:11" hidden="1">
      <c r="A6405" s="4">
        <v>2026</v>
      </c>
      <c r="B6405">
        <v>7</v>
      </c>
      <c r="C6405" t="s">
        <v>54</v>
      </c>
      <c r="D6405" t="s">
        <v>11</v>
      </c>
      <c r="E6405" t="s">
        <v>75</v>
      </c>
      <c r="F6405" t="s">
        <v>76</v>
      </c>
      <c r="G6405" t="str">
        <f t="shared" si="262"/>
        <v>006ATOMIC</v>
      </c>
      <c r="H6405" s="5">
        <v>1050</v>
      </c>
      <c r="I6405" s="6">
        <v>845.428571394752</v>
      </c>
      <c r="J6405" s="5">
        <v>6400</v>
      </c>
      <c r="K6405" s="6">
        <f t="shared" si="263"/>
        <v>1.2419736397928387</v>
      </c>
    </row>
    <row r="6406" spans="1:11" hidden="1">
      <c r="A6406" s="4">
        <v>2026</v>
      </c>
      <c r="B6406">
        <v>7</v>
      </c>
      <c r="C6406" t="s">
        <v>54</v>
      </c>
      <c r="D6406" t="s">
        <v>11</v>
      </c>
      <c r="E6406" t="s">
        <v>75</v>
      </c>
      <c r="F6406" t="s">
        <v>57</v>
      </c>
      <c r="G6406" t="str">
        <f t="shared" si="262"/>
        <v>006EXPLORER</v>
      </c>
      <c r="H6406" s="5">
        <v>6350</v>
      </c>
      <c r="I6406" s="6">
        <v>3910.1071427007355</v>
      </c>
      <c r="J6406" s="5">
        <v>29600</v>
      </c>
      <c r="K6406" s="6">
        <f t="shared" si="263"/>
        <v>1.6239964196004142</v>
      </c>
    </row>
    <row r="6407" spans="1:11" hidden="1">
      <c r="A6407" s="4">
        <v>2026</v>
      </c>
      <c r="B6407">
        <v>7</v>
      </c>
      <c r="C6407" t="s">
        <v>54</v>
      </c>
      <c r="D6407" t="s">
        <v>11</v>
      </c>
      <c r="E6407" t="s">
        <v>75</v>
      </c>
      <c r="F6407" t="s">
        <v>77</v>
      </c>
      <c r="G6407" t="str">
        <f t="shared" si="262"/>
        <v>006MONDIAL</v>
      </c>
      <c r="H6407" s="5">
        <v>9650</v>
      </c>
      <c r="I6407" s="6">
        <v>4015.7857141250793</v>
      </c>
      <c r="J6407" s="5">
        <v>30400</v>
      </c>
      <c r="K6407" s="6">
        <f t="shared" si="263"/>
        <v>2.4030166664663404</v>
      </c>
    </row>
    <row r="6408" spans="1:11" hidden="1">
      <c r="A6408" s="4">
        <v>2026</v>
      </c>
      <c r="B6408">
        <v>7</v>
      </c>
      <c r="C6408" t="s">
        <v>54</v>
      </c>
      <c r="D6408" t="s">
        <v>11</v>
      </c>
      <c r="E6408" t="s">
        <v>20</v>
      </c>
      <c r="F6408" t="s">
        <v>70</v>
      </c>
      <c r="G6408" t="str">
        <f t="shared" si="262"/>
        <v>007COTOPAXI</v>
      </c>
      <c r="H6408" s="5">
        <v>4800</v>
      </c>
      <c r="I6408" s="6">
        <v>2747.5751230427709</v>
      </c>
      <c r="J6408" s="5">
        <v>20800</v>
      </c>
      <c r="K6408" s="6">
        <f t="shared" si="263"/>
        <v>1.7469949992429303</v>
      </c>
    </row>
    <row r="6409" spans="1:11" hidden="1">
      <c r="A6409" s="4">
        <v>2026</v>
      </c>
      <c r="B6409">
        <v>7</v>
      </c>
      <c r="C6409" t="s">
        <v>54</v>
      </c>
      <c r="D6409" t="s">
        <v>11</v>
      </c>
      <c r="E6409" t="s">
        <v>20</v>
      </c>
      <c r="F6409" t="s">
        <v>78</v>
      </c>
      <c r="G6409" t="str">
        <f t="shared" si="262"/>
        <v>007REDIANT</v>
      </c>
      <c r="H6409" s="5">
        <v>1110</v>
      </c>
      <c r="I6409" s="6">
        <v>1056.75862064738</v>
      </c>
      <c r="J6409" s="5">
        <v>9600</v>
      </c>
      <c r="K6409" s="6">
        <f t="shared" si="263"/>
        <v>1.0503817790670151</v>
      </c>
    </row>
    <row r="6410" spans="1:11" hidden="1">
      <c r="A6410" s="4">
        <v>2026</v>
      </c>
      <c r="B6410">
        <v>7</v>
      </c>
      <c r="C6410" t="s">
        <v>54</v>
      </c>
      <c r="D6410" t="s">
        <v>11</v>
      </c>
      <c r="E6410" t="s">
        <v>20</v>
      </c>
      <c r="F6410" t="s">
        <v>63</v>
      </c>
      <c r="G6410" t="str">
        <f t="shared" si="262"/>
        <v>007SUMMER ROMANCE</v>
      </c>
      <c r="H6410" s="5">
        <v>875</v>
      </c>
      <c r="I6410" s="6">
        <v>369.86551722658481</v>
      </c>
      <c r="J6410" s="5">
        <v>3080</v>
      </c>
      <c r="K6410" s="6">
        <f t="shared" si="263"/>
        <v>2.3657247276284008</v>
      </c>
    </row>
    <row r="6411" spans="1:11" hidden="1">
      <c r="A6411" s="4">
        <v>2026</v>
      </c>
      <c r="B6411">
        <v>7</v>
      </c>
      <c r="C6411" t="s">
        <v>54</v>
      </c>
      <c r="D6411" t="s">
        <v>11</v>
      </c>
      <c r="E6411" t="s">
        <v>20</v>
      </c>
      <c r="F6411" t="s">
        <v>74</v>
      </c>
      <c r="G6411" t="str">
        <f t="shared" si="262"/>
        <v>007VENDELA</v>
      </c>
      <c r="H6411" s="5">
        <v>8340</v>
      </c>
      <c r="I6411" s="6">
        <v>3592.9793102011122</v>
      </c>
      <c r="J6411" s="5">
        <v>27820</v>
      </c>
      <c r="K6411" s="6">
        <f t="shared" si="263"/>
        <v>2.3211934386377471</v>
      </c>
    </row>
    <row r="6412" spans="1:11" hidden="1">
      <c r="A6412" s="4">
        <v>2026</v>
      </c>
      <c r="B6412">
        <v>7</v>
      </c>
      <c r="C6412" t="s">
        <v>54</v>
      </c>
      <c r="D6412" t="s">
        <v>11</v>
      </c>
      <c r="E6412" t="s">
        <v>79</v>
      </c>
      <c r="F6412" t="s">
        <v>67</v>
      </c>
      <c r="G6412" t="str">
        <f t="shared" si="262"/>
        <v>008DEEP PURPLE</v>
      </c>
      <c r="H6412" s="5">
        <v>3720</v>
      </c>
      <c r="I6412" s="6">
        <v>1585.2222221588099</v>
      </c>
      <c r="J6412" s="5">
        <v>11490</v>
      </c>
      <c r="K6412" s="6">
        <f t="shared" si="263"/>
        <v>2.3466741432213691</v>
      </c>
    </row>
    <row r="6413" spans="1:11" hidden="1">
      <c r="A6413" s="4">
        <v>2026</v>
      </c>
      <c r="B6413">
        <v>7</v>
      </c>
      <c r="C6413" t="s">
        <v>54</v>
      </c>
      <c r="D6413" t="s">
        <v>11</v>
      </c>
      <c r="E6413" t="s">
        <v>79</v>
      </c>
      <c r="F6413" t="s">
        <v>81</v>
      </c>
      <c r="G6413" t="str">
        <f t="shared" si="262"/>
        <v>008FREEDOM</v>
      </c>
      <c r="H6413" s="5">
        <v>3090</v>
      </c>
      <c r="I6413" s="6">
        <v>2219.311111022334</v>
      </c>
      <c r="J6413" s="5">
        <v>16800</v>
      </c>
      <c r="K6413" s="6">
        <f t="shared" si="263"/>
        <v>1.3923239444228168</v>
      </c>
    </row>
    <row r="6414" spans="1:11" hidden="1">
      <c r="A6414" s="4">
        <v>2026</v>
      </c>
      <c r="B6414">
        <v>7</v>
      </c>
      <c r="C6414" t="s">
        <v>54</v>
      </c>
      <c r="D6414" t="s">
        <v>11</v>
      </c>
      <c r="E6414" t="s">
        <v>79</v>
      </c>
      <c r="F6414" t="s">
        <v>68</v>
      </c>
      <c r="G6414" t="str">
        <f t="shared" si="262"/>
        <v>008JOCKER</v>
      </c>
      <c r="H6414" s="5">
        <v>7275</v>
      </c>
      <c r="I6414" s="6">
        <v>2959.0814813631118</v>
      </c>
      <c r="J6414" s="5">
        <v>22400</v>
      </c>
      <c r="K6414" s="6">
        <f t="shared" si="263"/>
        <v>2.458533178562134</v>
      </c>
    </row>
    <row r="6415" spans="1:11" hidden="1">
      <c r="A6415" s="4">
        <v>2026</v>
      </c>
      <c r="B6415">
        <v>7</v>
      </c>
      <c r="C6415" t="s">
        <v>54</v>
      </c>
      <c r="D6415" t="s">
        <v>11</v>
      </c>
      <c r="E6415" t="s">
        <v>79</v>
      </c>
      <c r="F6415" t="s">
        <v>61</v>
      </c>
      <c r="G6415" t="str">
        <f t="shared" si="262"/>
        <v>008LUMIA</v>
      </c>
      <c r="H6415" s="5">
        <v>690</v>
      </c>
      <c r="I6415" s="6">
        <v>1796.5851851133182</v>
      </c>
      <c r="J6415" s="5">
        <v>13600</v>
      </c>
      <c r="K6415" s="6">
        <f t="shared" si="263"/>
        <v>0.38406194469230182</v>
      </c>
    </row>
    <row r="6416" spans="1:11" hidden="1">
      <c r="A6416" s="4">
        <v>2026</v>
      </c>
      <c r="B6416">
        <v>7</v>
      </c>
      <c r="C6416" t="s">
        <v>54</v>
      </c>
      <c r="D6416" t="s">
        <v>11</v>
      </c>
      <c r="E6416" t="s">
        <v>82</v>
      </c>
      <c r="F6416" t="s">
        <v>83</v>
      </c>
      <c r="G6416" t="str">
        <f t="shared" si="262"/>
        <v>010COOLDOWN</v>
      </c>
      <c r="H6416" s="5">
        <v>2700</v>
      </c>
      <c r="I6416" s="6">
        <v>1912.3542857142861</v>
      </c>
      <c r="J6416" s="5">
        <v>16320</v>
      </c>
      <c r="K6416" s="6">
        <f t="shared" si="263"/>
        <v>1.4118722771034653</v>
      </c>
    </row>
    <row r="6417" spans="1:11" hidden="1">
      <c r="A6417" s="4">
        <v>2026</v>
      </c>
      <c r="B6417">
        <v>7</v>
      </c>
      <c r="C6417" t="s">
        <v>54</v>
      </c>
      <c r="D6417" t="s">
        <v>11</v>
      </c>
      <c r="E6417" t="s">
        <v>82</v>
      </c>
      <c r="F6417" t="s">
        <v>84</v>
      </c>
      <c r="G6417" t="str">
        <f t="shared" si="262"/>
        <v>010VIOLET HILL</v>
      </c>
      <c r="H6417" s="5">
        <v>9780</v>
      </c>
      <c r="I6417" s="6">
        <v>2812.2857142428579</v>
      </c>
      <c r="J6417" s="5">
        <v>20000</v>
      </c>
      <c r="K6417" s="6">
        <f t="shared" si="263"/>
        <v>3.4775982932562868</v>
      </c>
    </row>
    <row r="6418" spans="1:11" hidden="1">
      <c r="A6418" s="4">
        <v>2026</v>
      </c>
      <c r="B6418">
        <v>7</v>
      </c>
      <c r="C6418" t="s">
        <v>54</v>
      </c>
      <c r="D6418" t="s">
        <v>11</v>
      </c>
      <c r="E6418" t="s">
        <v>85</v>
      </c>
      <c r="F6418" t="s">
        <v>86</v>
      </c>
      <c r="G6418" t="str">
        <f t="shared" si="262"/>
        <v>011BRIGHTON</v>
      </c>
      <c r="H6418" s="5">
        <v>3500</v>
      </c>
      <c r="I6418" s="6">
        <v>1768.8376470588223</v>
      </c>
      <c r="J6418" s="5">
        <v>12800</v>
      </c>
      <c r="K6418" s="6">
        <f t="shared" si="263"/>
        <v>1.9787005358121532</v>
      </c>
    </row>
    <row r="6419" spans="1:11" hidden="1">
      <c r="A6419" s="4">
        <v>2026</v>
      </c>
      <c r="B6419">
        <v>7</v>
      </c>
      <c r="C6419" t="s">
        <v>54</v>
      </c>
      <c r="D6419" t="s">
        <v>11</v>
      </c>
      <c r="E6419" t="s">
        <v>85</v>
      </c>
      <c r="F6419" t="s">
        <v>87</v>
      </c>
      <c r="G6419" t="str">
        <f t="shared" si="262"/>
        <v>011CANDLELIGHT</v>
      </c>
      <c r="H6419" s="5">
        <v>3980</v>
      </c>
      <c r="I6419" s="6">
        <v>2263.7999998868127</v>
      </c>
      <c r="J6419" s="5">
        <v>17920</v>
      </c>
      <c r="K6419" s="6">
        <f t="shared" si="263"/>
        <v>1.758105839826396</v>
      </c>
    </row>
    <row r="6420" spans="1:11" hidden="1">
      <c r="A6420" s="4">
        <v>2026</v>
      </c>
      <c r="B6420">
        <v>7</v>
      </c>
      <c r="C6420" t="s">
        <v>54</v>
      </c>
      <c r="D6420" t="s">
        <v>11</v>
      </c>
      <c r="E6420" t="s">
        <v>85</v>
      </c>
      <c r="F6420" t="s">
        <v>88</v>
      </c>
      <c r="G6420" t="str">
        <f t="shared" si="262"/>
        <v>011CAYENNE</v>
      </c>
      <c r="H6420" s="5">
        <v>1380</v>
      </c>
      <c r="I6420" s="6">
        <v>994.97117647058747</v>
      </c>
      <c r="J6420" s="5">
        <v>7200</v>
      </c>
      <c r="K6420" s="6">
        <f t="shared" si="263"/>
        <v>1.3869748517692808</v>
      </c>
    </row>
    <row r="6421" spans="1:11" hidden="1">
      <c r="A6421" s="4">
        <v>2026</v>
      </c>
      <c r="B6421">
        <v>7</v>
      </c>
      <c r="C6421" t="s">
        <v>54</v>
      </c>
      <c r="D6421" t="s">
        <v>11</v>
      </c>
      <c r="E6421" t="s">
        <v>85</v>
      </c>
      <c r="F6421" t="s">
        <v>61</v>
      </c>
      <c r="G6421" t="str">
        <f t="shared" si="262"/>
        <v>011LUMIA</v>
      </c>
      <c r="H6421" s="5">
        <v>1470</v>
      </c>
      <c r="I6421" s="6">
        <v>994.97117647058747</v>
      </c>
      <c r="J6421" s="5">
        <v>7920</v>
      </c>
      <c r="K6421" s="6">
        <f t="shared" si="263"/>
        <v>1.4774297334064079</v>
      </c>
    </row>
    <row r="6422" spans="1:11" hidden="1">
      <c r="A6422" s="4">
        <v>2026</v>
      </c>
      <c r="B6422">
        <v>7</v>
      </c>
      <c r="C6422" t="s">
        <v>54</v>
      </c>
      <c r="D6422" t="s">
        <v>11</v>
      </c>
      <c r="E6422" t="s">
        <v>85</v>
      </c>
      <c r="F6422" t="s">
        <v>89</v>
      </c>
      <c r="G6422" t="str">
        <f t="shared" si="262"/>
        <v>011STARDUST</v>
      </c>
      <c r="H6422" s="5">
        <v>5175</v>
      </c>
      <c r="I6422" s="6">
        <v>2263.7999998868127</v>
      </c>
      <c r="J6422" s="5">
        <v>17920</v>
      </c>
      <c r="K6422" s="6">
        <f t="shared" si="263"/>
        <v>2.2859793269099495</v>
      </c>
    </row>
    <row r="6423" spans="1:11" hidden="1">
      <c r="A6423" s="4">
        <v>2026</v>
      </c>
      <c r="B6423">
        <v>7</v>
      </c>
      <c r="C6423" t="s">
        <v>54</v>
      </c>
      <c r="D6423" t="s">
        <v>11</v>
      </c>
      <c r="E6423" t="s">
        <v>90</v>
      </c>
      <c r="F6423" t="s">
        <v>67</v>
      </c>
      <c r="G6423" t="str">
        <f t="shared" si="262"/>
        <v>012DEEP PURPLE</v>
      </c>
      <c r="H6423" s="5">
        <v>15270</v>
      </c>
      <c r="I6423" s="6">
        <v>6727.0499997982479</v>
      </c>
      <c r="J6423" s="5">
        <v>49210</v>
      </c>
      <c r="K6423" s="6">
        <f t="shared" si="263"/>
        <v>2.2699400183524672</v>
      </c>
    </row>
    <row r="6424" spans="1:11" hidden="1">
      <c r="A6424" s="4">
        <v>2026</v>
      </c>
      <c r="B6424">
        <v>7</v>
      </c>
      <c r="C6424" t="s">
        <v>54</v>
      </c>
      <c r="D6424" t="s">
        <v>11</v>
      </c>
      <c r="E6424" t="s">
        <v>90</v>
      </c>
      <c r="F6424" t="s">
        <v>60</v>
      </c>
      <c r="G6424" t="str">
        <f t="shared" si="262"/>
        <v>012LIGHT HOUSE</v>
      </c>
      <c r="H6424" s="5">
        <v>1950</v>
      </c>
      <c r="I6424" s="6">
        <v>994.95</v>
      </c>
      <c r="J6424" s="5">
        <v>7200</v>
      </c>
      <c r="K6424" s="6">
        <f t="shared" si="263"/>
        <v>1.9598974822855419</v>
      </c>
    </row>
    <row r="6425" spans="1:11" hidden="1">
      <c r="A6425" s="4">
        <v>2026</v>
      </c>
      <c r="B6425">
        <v>7</v>
      </c>
      <c r="C6425" t="s">
        <v>54</v>
      </c>
      <c r="D6425" t="s">
        <v>11</v>
      </c>
      <c r="E6425" t="s">
        <v>91</v>
      </c>
      <c r="F6425" t="s">
        <v>92</v>
      </c>
      <c r="G6425" t="str">
        <f t="shared" si="262"/>
        <v>013COUNTRY BLUES</v>
      </c>
      <c r="H6425" s="5">
        <v>1225</v>
      </c>
      <c r="I6425" s="6">
        <v>831.6</v>
      </c>
      <c r="J6425" s="5">
        <v>6300</v>
      </c>
      <c r="K6425" s="6">
        <f t="shared" si="263"/>
        <v>1.473063973063973</v>
      </c>
    </row>
    <row r="6426" spans="1:11" hidden="1">
      <c r="A6426" s="4">
        <v>2026</v>
      </c>
      <c r="B6426">
        <v>7</v>
      </c>
      <c r="C6426" t="s">
        <v>54</v>
      </c>
      <c r="D6426" t="s">
        <v>11</v>
      </c>
      <c r="E6426" t="s">
        <v>91</v>
      </c>
      <c r="F6426" t="s">
        <v>93</v>
      </c>
      <c r="G6426" t="str">
        <f t="shared" si="262"/>
        <v>013LORRAINE</v>
      </c>
      <c r="H6426" s="5">
        <v>2975</v>
      </c>
      <c r="I6426" s="6">
        <v>1267.2</v>
      </c>
      <c r="J6426" s="5">
        <v>9600</v>
      </c>
      <c r="K6426" s="6">
        <f t="shared" si="263"/>
        <v>2.3476957070707072</v>
      </c>
    </row>
    <row r="6427" spans="1:11" hidden="1">
      <c r="A6427" s="4">
        <v>2026</v>
      </c>
      <c r="B6427">
        <v>7</v>
      </c>
      <c r="C6427" t="s">
        <v>54</v>
      </c>
      <c r="D6427" t="s">
        <v>11</v>
      </c>
      <c r="E6427" t="s">
        <v>91</v>
      </c>
      <c r="F6427" t="s">
        <v>61</v>
      </c>
      <c r="G6427" t="str">
        <f t="shared" si="262"/>
        <v>013LUMIA</v>
      </c>
      <c r="H6427" s="5">
        <v>570</v>
      </c>
      <c r="I6427" s="6">
        <v>316.8</v>
      </c>
      <c r="J6427" s="5">
        <v>2400</v>
      </c>
      <c r="K6427" s="6">
        <f t="shared" si="263"/>
        <v>1.7992424242424241</v>
      </c>
    </row>
    <row r="6428" spans="1:11" hidden="1">
      <c r="A6428" s="4">
        <v>2026</v>
      </c>
      <c r="B6428">
        <v>7</v>
      </c>
      <c r="C6428" t="s">
        <v>54</v>
      </c>
      <c r="D6428" t="s">
        <v>11</v>
      </c>
      <c r="E6428" t="s">
        <v>91</v>
      </c>
      <c r="F6428" t="s">
        <v>74</v>
      </c>
      <c r="G6428" t="str">
        <f t="shared" si="262"/>
        <v>013VENDELA</v>
      </c>
      <c r="H6428" s="5">
        <v>8370</v>
      </c>
      <c r="I6428" s="6">
        <v>3603.6</v>
      </c>
      <c r="J6428" s="5">
        <v>27296</v>
      </c>
      <c r="K6428" s="6">
        <f t="shared" si="263"/>
        <v>2.3226773226773227</v>
      </c>
    </row>
    <row r="6429" spans="1:11" hidden="1">
      <c r="A6429" s="4">
        <v>2026</v>
      </c>
      <c r="B6429">
        <v>7</v>
      </c>
      <c r="C6429" t="s">
        <v>54</v>
      </c>
      <c r="D6429" t="s">
        <v>11</v>
      </c>
      <c r="E6429" t="s">
        <v>23</v>
      </c>
      <c r="F6429" t="s">
        <v>89</v>
      </c>
      <c r="G6429" t="str">
        <f t="shared" si="262"/>
        <v>014STARDUST</v>
      </c>
      <c r="H6429" s="5">
        <v>10475</v>
      </c>
      <c r="I6429" s="6">
        <v>3682.8</v>
      </c>
      <c r="J6429" s="5">
        <v>27900</v>
      </c>
      <c r="K6429" s="6">
        <f t="shared" si="263"/>
        <v>2.8443032475290537</v>
      </c>
    </row>
    <row r="6430" spans="1:11" hidden="1">
      <c r="A6430" s="4">
        <v>2026</v>
      </c>
      <c r="B6430">
        <v>7</v>
      </c>
      <c r="C6430" t="s">
        <v>54</v>
      </c>
      <c r="D6430" t="s">
        <v>11</v>
      </c>
      <c r="E6430" t="s">
        <v>25</v>
      </c>
      <c r="F6430" t="s">
        <v>68</v>
      </c>
      <c r="G6430" t="str">
        <f t="shared" si="262"/>
        <v>015JOCKER</v>
      </c>
      <c r="H6430" s="5">
        <v>6300</v>
      </c>
      <c r="I6430" s="6">
        <v>2376</v>
      </c>
      <c r="J6430" s="5">
        <v>18000</v>
      </c>
      <c r="K6430" s="6">
        <f t="shared" si="263"/>
        <v>2.6515151515151514</v>
      </c>
    </row>
    <row r="6431" spans="1:11" hidden="1">
      <c r="A6431" s="4">
        <v>2026</v>
      </c>
      <c r="B6431">
        <v>7</v>
      </c>
      <c r="C6431" t="s">
        <v>54</v>
      </c>
      <c r="D6431" t="s">
        <v>11</v>
      </c>
      <c r="E6431" t="s">
        <v>27</v>
      </c>
      <c r="F6431" t="s">
        <v>94</v>
      </c>
      <c r="G6431" t="str">
        <f t="shared" si="262"/>
        <v>016DREAM IN PEACH</v>
      </c>
      <c r="H6431" s="5">
        <v>2550</v>
      </c>
      <c r="I6431" s="6">
        <v>950.4</v>
      </c>
      <c r="J6431" s="5">
        <v>7200</v>
      </c>
      <c r="K6431" s="6">
        <f t="shared" si="263"/>
        <v>2.683080808080808</v>
      </c>
    </row>
    <row r="6432" spans="1:11" hidden="1">
      <c r="A6432" s="4">
        <v>2026</v>
      </c>
      <c r="B6432">
        <v>7</v>
      </c>
      <c r="C6432" t="s">
        <v>54</v>
      </c>
      <c r="D6432" t="s">
        <v>11</v>
      </c>
      <c r="E6432" t="s">
        <v>27</v>
      </c>
      <c r="F6432" t="s">
        <v>95</v>
      </c>
      <c r="G6432" t="str">
        <f t="shared" si="262"/>
        <v>016NINA</v>
      </c>
      <c r="H6432" s="5">
        <v>2900</v>
      </c>
      <c r="I6432" s="6">
        <v>1346.4</v>
      </c>
      <c r="J6432" s="5">
        <v>10200</v>
      </c>
      <c r="K6432" s="6">
        <f t="shared" si="263"/>
        <v>2.1538918597742125</v>
      </c>
    </row>
    <row r="6433" spans="1:11" hidden="1">
      <c r="A6433" s="4">
        <v>2026</v>
      </c>
      <c r="B6433">
        <v>7</v>
      </c>
      <c r="C6433" t="s">
        <v>54</v>
      </c>
      <c r="D6433" t="s">
        <v>11</v>
      </c>
      <c r="E6433" t="s">
        <v>30</v>
      </c>
      <c r="F6433" t="s">
        <v>81</v>
      </c>
      <c r="G6433" t="str">
        <f t="shared" si="262"/>
        <v>017FREEDOM</v>
      </c>
      <c r="H6433" s="5">
        <v>3570</v>
      </c>
      <c r="I6433" s="6">
        <v>2851.2</v>
      </c>
      <c r="J6433" s="5">
        <v>21600</v>
      </c>
      <c r="K6433" s="6">
        <f t="shared" si="263"/>
        <v>1.2521043771043772</v>
      </c>
    </row>
    <row r="6434" spans="1:11" hidden="1">
      <c r="A6434" s="4">
        <v>2026</v>
      </c>
      <c r="B6434">
        <v>7</v>
      </c>
      <c r="C6434" t="s">
        <v>54</v>
      </c>
      <c r="D6434" t="s">
        <v>11</v>
      </c>
      <c r="E6434" t="s">
        <v>30</v>
      </c>
      <c r="F6434" t="s">
        <v>73</v>
      </c>
      <c r="G6434" t="str">
        <f t="shared" si="262"/>
        <v>017GOLDFINCH</v>
      </c>
      <c r="H6434" s="5">
        <v>4700</v>
      </c>
      <c r="I6434" s="6">
        <v>2138.4</v>
      </c>
      <c r="J6434" s="5">
        <v>16200</v>
      </c>
      <c r="K6434" s="6">
        <f t="shared" si="263"/>
        <v>2.1979049756827536</v>
      </c>
    </row>
    <row r="6435" spans="1:11" hidden="1">
      <c r="A6435" s="4">
        <v>2026</v>
      </c>
      <c r="B6435">
        <v>7</v>
      </c>
      <c r="C6435" t="s">
        <v>54</v>
      </c>
      <c r="D6435" t="s">
        <v>11</v>
      </c>
      <c r="E6435" t="s">
        <v>32</v>
      </c>
      <c r="F6435" t="s">
        <v>86</v>
      </c>
      <c r="G6435" t="str">
        <f t="shared" si="262"/>
        <v>018BRIGHTON</v>
      </c>
      <c r="H6435" s="5">
        <v>2675</v>
      </c>
      <c r="I6435" s="6">
        <v>963.6</v>
      </c>
      <c r="J6435" s="5">
        <v>7570</v>
      </c>
      <c r="K6435" s="6">
        <f t="shared" si="263"/>
        <v>2.7760481527604814</v>
      </c>
    </row>
    <row r="6436" spans="1:11" hidden="1">
      <c r="A6436" s="4">
        <v>2026</v>
      </c>
      <c r="B6436">
        <v>7</v>
      </c>
      <c r="C6436" t="s">
        <v>54</v>
      </c>
      <c r="D6436" t="s">
        <v>11</v>
      </c>
      <c r="E6436" t="s">
        <v>35</v>
      </c>
      <c r="F6436" t="s">
        <v>86</v>
      </c>
      <c r="G6436" t="str">
        <f t="shared" si="262"/>
        <v>019BRIGHTON</v>
      </c>
      <c r="H6436" s="5">
        <v>7175</v>
      </c>
      <c r="I6436" s="6">
        <v>3168</v>
      </c>
      <c r="J6436" s="5">
        <v>24000</v>
      </c>
      <c r="K6436" s="6">
        <f t="shared" si="263"/>
        <v>2.2648358585858586</v>
      </c>
    </row>
    <row r="6437" spans="1:11" hidden="1">
      <c r="A6437" s="4">
        <v>2026</v>
      </c>
      <c r="B6437">
        <v>7</v>
      </c>
      <c r="C6437" t="s">
        <v>54</v>
      </c>
      <c r="D6437" t="s">
        <v>11</v>
      </c>
      <c r="E6437" t="s">
        <v>35</v>
      </c>
      <c r="F6437" t="s">
        <v>96</v>
      </c>
      <c r="G6437" t="str">
        <f t="shared" si="262"/>
        <v>019TABATHA</v>
      </c>
      <c r="H6437" s="5">
        <v>3690</v>
      </c>
      <c r="I6437" s="6">
        <v>1188</v>
      </c>
      <c r="J6437" s="5">
        <v>9000</v>
      </c>
      <c r="K6437" s="6">
        <f t="shared" si="263"/>
        <v>3.106060606060606</v>
      </c>
    </row>
    <row r="6438" spans="1:11" hidden="1">
      <c r="A6438" s="4">
        <v>2026</v>
      </c>
      <c r="B6438">
        <v>7</v>
      </c>
      <c r="C6438" t="s">
        <v>54</v>
      </c>
      <c r="D6438" t="s">
        <v>11</v>
      </c>
      <c r="E6438" t="s">
        <v>36</v>
      </c>
      <c r="F6438" t="s">
        <v>86</v>
      </c>
      <c r="G6438" t="str">
        <f t="shared" si="262"/>
        <v>020BRIGHTON</v>
      </c>
      <c r="H6438" s="5">
        <v>4850</v>
      </c>
      <c r="I6438" s="6">
        <v>2732.4</v>
      </c>
      <c r="J6438" s="5">
        <v>20700</v>
      </c>
      <c r="K6438" s="6">
        <f t="shared" si="263"/>
        <v>1.7749963402137314</v>
      </c>
    </row>
    <row r="6439" spans="1:11" hidden="1">
      <c r="A6439" s="4">
        <v>2026</v>
      </c>
      <c r="B6439">
        <v>7</v>
      </c>
      <c r="C6439" t="s">
        <v>54</v>
      </c>
      <c r="D6439" t="s">
        <v>11</v>
      </c>
      <c r="E6439" t="s">
        <v>36</v>
      </c>
      <c r="F6439" t="s">
        <v>97</v>
      </c>
      <c r="G6439" t="str">
        <f t="shared" si="262"/>
        <v>020TYCOON</v>
      </c>
      <c r="H6439" s="5">
        <v>1500</v>
      </c>
      <c r="I6439" s="6">
        <v>673.2</v>
      </c>
      <c r="J6439" s="5">
        <v>5100</v>
      </c>
      <c r="K6439" s="6">
        <f t="shared" si="263"/>
        <v>2.2281639928698751</v>
      </c>
    </row>
    <row r="6440" spans="1:11" hidden="1">
      <c r="A6440" s="4">
        <v>2026</v>
      </c>
      <c r="B6440">
        <v>7</v>
      </c>
      <c r="C6440" t="s">
        <v>54</v>
      </c>
      <c r="D6440" t="s">
        <v>11</v>
      </c>
      <c r="E6440" t="s">
        <v>38</v>
      </c>
      <c r="F6440" t="s">
        <v>98</v>
      </c>
      <c r="G6440" t="str">
        <f t="shared" si="262"/>
        <v>021SHOW GIRL</v>
      </c>
      <c r="H6440" s="5">
        <v>2600</v>
      </c>
      <c r="I6440" s="6">
        <v>1100.4749999999999</v>
      </c>
      <c r="J6440" s="5">
        <v>8000</v>
      </c>
      <c r="K6440" s="6">
        <f t="shared" si="263"/>
        <v>2.3626161430291468</v>
      </c>
    </row>
    <row r="6441" spans="1:11" hidden="1">
      <c r="A6441" s="4">
        <v>2026</v>
      </c>
      <c r="B6441">
        <v>7</v>
      </c>
      <c r="C6441" t="s">
        <v>54</v>
      </c>
      <c r="D6441" t="s">
        <v>11</v>
      </c>
      <c r="E6441" t="s">
        <v>43</v>
      </c>
      <c r="F6441" t="s">
        <v>99</v>
      </c>
      <c r="G6441" t="str">
        <f t="shared" si="262"/>
        <v>022CORAL REEF</v>
      </c>
      <c r="H6441" s="5">
        <v>1525</v>
      </c>
      <c r="I6441" s="6">
        <v>1287</v>
      </c>
      <c r="J6441" s="5">
        <v>9400</v>
      </c>
      <c r="K6441" s="6">
        <f t="shared" si="263"/>
        <v>1.184926184926185</v>
      </c>
    </row>
    <row r="6442" spans="1:11" hidden="1">
      <c r="A6442" s="4">
        <v>2026</v>
      </c>
      <c r="B6442">
        <v>7</v>
      </c>
      <c r="C6442" t="s">
        <v>54</v>
      </c>
      <c r="D6442" t="s">
        <v>11</v>
      </c>
      <c r="E6442" t="s">
        <v>100</v>
      </c>
      <c r="F6442" t="s">
        <v>70</v>
      </c>
      <c r="G6442" t="str">
        <f t="shared" si="262"/>
        <v>023COTOPAXI</v>
      </c>
      <c r="H6442" s="5">
        <v>5160</v>
      </c>
      <c r="I6442" s="6">
        <v>2641.14</v>
      </c>
      <c r="J6442" s="5">
        <v>19200</v>
      </c>
      <c r="K6442" s="6">
        <f t="shared" si="263"/>
        <v>1.9537018105817943</v>
      </c>
    </row>
    <row r="6443" spans="1:11" hidden="1">
      <c r="A6443" s="4">
        <v>2026</v>
      </c>
      <c r="B6443">
        <v>7</v>
      </c>
      <c r="C6443" t="s">
        <v>54</v>
      </c>
      <c r="D6443" t="s">
        <v>11</v>
      </c>
      <c r="E6443" t="s">
        <v>100</v>
      </c>
      <c r="F6443" t="s">
        <v>101</v>
      </c>
      <c r="G6443" t="str">
        <f t="shared" si="262"/>
        <v>023FRUTTETO</v>
      </c>
      <c r="H6443" s="5">
        <v>6540</v>
      </c>
      <c r="I6443" s="6">
        <v>2641.14</v>
      </c>
      <c r="J6443" s="5">
        <v>19200</v>
      </c>
      <c r="K6443" s="6">
        <f t="shared" si="263"/>
        <v>2.4762034575978555</v>
      </c>
    </row>
    <row r="6444" spans="1:11" hidden="1">
      <c r="A6444" s="4">
        <v>2026</v>
      </c>
      <c r="B6444">
        <v>7</v>
      </c>
      <c r="C6444" t="s">
        <v>54</v>
      </c>
      <c r="D6444" t="s">
        <v>11</v>
      </c>
      <c r="E6444" t="s">
        <v>102</v>
      </c>
      <c r="F6444" t="s">
        <v>70</v>
      </c>
      <c r="G6444" t="str">
        <f t="shared" si="262"/>
        <v>024COTOPAXI</v>
      </c>
      <c r="H6444" s="5">
        <v>2550</v>
      </c>
      <c r="I6444" s="6">
        <v>1430.6174906250001</v>
      </c>
      <c r="J6444" s="5">
        <v>10400</v>
      </c>
      <c r="K6444" s="6">
        <f t="shared" si="263"/>
        <v>1.7824471018357049</v>
      </c>
    </row>
    <row r="6445" spans="1:11" hidden="1">
      <c r="A6445" s="4">
        <v>2026</v>
      </c>
      <c r="B6445">
        <v>7</v>
      </c>
      <c r="C6445" t="s">
        <v>54</v>
      </c>
      <c r="D6445" t="s">
        <v>11</v>
      </c>
      <c r="E6445" t="s">
        <v>102</v>
      </c>
      <c r="F6445" t="s">
        <v>64</v>
      </c>
      <c r="G6445" t="str">
        <f t="shared" si="262"/>
        <v>024SWEETNESS</v>
      </c>
      <c r="H6445" s="5">
        <v>1590</v>
      </c>
      <c r="I6445" s="6">
        <v>1430.6175000000001</v>
      </c>
      <c r="J6445" s="5">
        <v>10400</v>
      </c>
      <c r="K6445" s="6">
        <f t="shared" si="263"/>
        <v>1.1114081856261369</v>
      </c>
    </row>
    <row r="6446" spans="1:11" hidden="1">
      <c r="A6446" s="4">
        <v>2026</v>
      </c>
      <c r="B6446">
        <v>7</v>
      </c>
      <c r="C6446" t="s">
        <v>54</v>
      </c>
      <c r="D6446" t="s">
        <v>11</v>
      </c>
      <c r="E6446" t="s">
        <v>102</v>
      </c>
      <c r="F6446" t="s">
        <v>97</v>
      </c>
      <c r="G6446" t="str">
        <f t="shared" si="262"/>
        <v>024TYCOON</v>
      </c>
      <c r="H6446" s="5">
        <v>8580</v>
      </c>
      <c r="I6446" s="6">
        <v>2861.2350000000001</v>
      </c>
      <c r="J6446" s="5">
        <v>20800</v>
      </c>
      <c r="K6446" s="6">
        <f t="shared" si="263"/>
        <v>2.9987051046139164</v>
      </c>
    </row>
    <row r="6447" spans="1:11" hidden="1">
      <c r="A6447" s="4">
        <v>2026</v>
      </c>
      <c r="B6447">
        <v>7</v>
      </c>
      <c r="C6447" t="s">
        <v>54</v>
      </c>
      <c r="D6447" t="s">
        <v>11</v>
      </c>
      <c r="E6447" t="s">
        <v>103</v>
      </c>
      <c r="F6447" t="s">
        <v>104</v>
      </c>
      <c r="G6447" t="str">
        <f t="shared" si="262"/>
        <v>025PINK MONDIAL</v>
      </c>
      <c r="H6447" s="5">
        <v>6325</v>
      </c>
      <c r="I6447" s="6">
        <v>3071.9505625000002</v>
      </c>
      <c r="J6447" s="5">
        <v>22400</v>
      </c>
      <c r="K6447" s="6">
        <f t="shared" si="263"/>
        <v>2.0589524054230282</v>
      </c>
    </row>
    <row r="6448" spans="1:11" hidden="1">
      <c r="A6448" s="4">
        <v>2026</v>
      </c>
      <c r="B6448">
        <v>7</v>
      </c>
      <c r="C6448" t="s">
        <v>54</v>
      </c>
      <c r="D6448" t="s">
        <v>11</v>
      </c>
      <c r="E6448" t="s">
        <v>45</v>
      </c>
      <c r="F6448" t="s">
        <v>105</v>
      </c>
      <c r="G6448" t="str">
        <f t="shared" si="262"/>
        <v>026LOLA</v>
      </c>
      <c r="H6448" s="5">
        <v>2375</v>
      </c>
      <c r="I6448" s="6">
        <v>1097.125</v>
      </c>
      <c r="J6448" s="5">
        <v>8000</v>
      </c>
      <c r="K6448" s="6">
        <f t="shared" si="263"/>
        <v>2.1647487752079297</v>
      </c>
    </row>
    <row r="6449" spans="1:11" hidden="1">
      <c r="A6449" s="4">
        <v>2026</v>
      </c>
      <c r="B6449">
        <v>7</v>
      </c>
      <c r="C6449" t="s">
        <v>54</v>
      </c>
      <c r="D6449" t="s">
        <v>11</v>
      </c>
      <c r="E6449" t="s">
        <v>45</v>
      </c>
      <c r="F6449" t="s">
        <v>106</v>
      </c>
      <c r="G6449" t="str">
        <f t="shared" si="262"/>
        <v>026PALOMA</v>
      </c>
      <c r="H6449" s="5">
        <v>4475</v>
      </c>
      <c r="I6449" s="6">
        <v>2852.5250000000001</v>
      </c>
      <c r="J6449" s="5">
        <v>20800</v>
      </c>
      <c r="K6449" s="6">
        <f t="shared" si="263"/>
        <v>1.568785549644613</v>
      </c>
    </row>
    <row r="6450" spans="1:11" hidden="1">
      <c r="A6450" s="4">
        <v>2026</v>
      </c>
      <c r="B6450">
        <v>7</v>
      </c>
      <c r="C6450" t="s">
        <v>54</v>
      </c>
      <c r="D6450" t="s">
        <v>11</v>
      </c>
      <c r="E6450" t="s">
        <v>107</v>
      </c>
      <c r="F6450" t="s">
        <v>108</v>
      </c>
      <c r="G6450" t="str">
        <f t="shared" ref="G6450:G6510" si="264">+E6450&amp;F6450</f>
        <v>027SATISFACTION</v>
      </c>
      <c r="H6450" s="5">
        <v>6990</v>
      </c>
      <c r="I6450" s="6">
        <v>2633.1</v>
      </c>
      <c r="J6450" s="5">
        <v>19200</v>
      </c>
      <c r="K6450" s="6">
        <f t="shared" si="263"/>
        <v>2.6546656032813036</v>
      </c>
    </row>
    <row r="6451" spans="1:11" hidden="1">
      <c r="A6451" s="4">
        <v>2026</v>
      </c>
      <c r="B6451">
        <v>7</v>
      </c>
      <c r="C6451" t="s">
        <v>54</v>
      </c>
      <c r="D6451" t="s">
        <v>11</v>
      </c>
      <c r="E6451" t="s">
        <v>107</v>
      </c>
      <c r="F6451" t="s">
        <v>109</v>
      </c>
      <c r="G6451" t="str">
        <f t="shared" si="264"/>
        <v>027TIFFANY</v>
      </c>
      <c r="H6451" s="5">
        <v>7470</v>
      </c>
      <c r="I6451" s="6">
        <v>2633.1</v>
      </c>
      <c r="J6451" s="5">
        <v>19200</v>
      </c>
      <c r="K6451" s="6">
        <f t="shared" si="263"/>
        <v>2.8369602369830238</v>
      </c>
    </row>
    <row r="6452" spans="1:11" hidden="1">
      <c r="A6452" s="4">
        <v>2026</v>
      </c>
      <c r="B6452">
        <v>7</v>
      </c>
      <c r="C6452" t="s">
        <v>54</v>
      </c>
      <c r="D6452" t="s">
        <v>11</v>
      </c>
      <c r="E6452" t="s">
        <v>110</v>
      </c>
      <c r="F6452" t="s">
        <v>70</v>
      </c>
      <c r="G6452" t="str">
        <f t="shared" si="264"/>
        <v>028COTOPAXI</v>
      </c>
      <c r="H6452" s="5">
        <v>5280</v>
      </c>
      <c r="I6452" s="6">
        <v>2852.5250000000001</v>
      </c>
      <c r="J6452" s="5">
        <v>20800</v>
      </c>
      <c r="K6452" s="6">
        <f t="shared" si="263"/>
        <v>1.850991665279007</v>
      </c>
    </row>
    <row r="6453" spans="1:11" hidden="1">
      <c r="A6453" s="4">
        <v>2026</v>
      </c>
      <c r="B6453">
        <v>7</v>
      </c>
      <c r="C6453" t="s">
        <v>54</v>
      </c>
      <c r="D6453" t="s">
        <v>11</v>
      </c>
      <c r="E6453" t="s">
        <v>110</v>
      </c>
      <c r="F6453" t="s">
        <v>67</v>
      </c>
      <c r="G6453" t="str">
        <f t="shared" si="264"/>
        <v>028DEEP PURPLE</v>
      </c>
      <c r="H6453" s="5">
        <v>9480</v>
      </c>
      <c r="I6453" s="6">
        <v>2852.5250000000001</v>
      </c>
      <c r="J6453" s="5">
        <v>20800</v>
      </c>
      <c r="K6453" s="6">
        <f t="shared" si="263"/>
        <v>3.3233713990236717</v>
      </c>
    </row>
    <row r="6454" spans="1:11" hidden="1">
      <c r="A6454" s="4">
        <v>2026</v>
      </c>
      <c r="B6454">
        <v>7</v>
      </c>
      <c r="C6454" t="s">
        <v>54</v>
      </c>
      <c r="D6454" t="s">
        <v>11</v>
      </c>
      <c r="E6454" t="s">
        <v>111</v>
      </c>
      <c r="F6454" t="s">
        <v>112</v>
      </c>
      <c r="G6454" t="str">
        <f t="shared" si="264"/>
        <v>029PINK FLOYD</v>
      </c>
      <c r="H6454" s="5">
        <v>3975</v>
      </c>
      <c r="I6454" s="6">
        <v>3071.95</v>
      </c>
      <c r="J6454" s="5">
        <v>22400</v>
      </c>
      <c r="K6454" s="6">
        <f t="shared" si="263"/>
        <v>1.2939663731506048</v>
      </c>
    </row>
    <row r="6455" spans="1:11" hidden="1">
      <c r="A6455" s="4">
        <v>2026</v>
      </c>
      <c r="B6455">
        <v>7</v>
      </c>
      <c r="C6455" t="s">
        <v>54</v>
      </c>
      <c r="D6455" t="s">
        <v>11</v>
      </c>
      <c r="E6455" t="s">
        <v>47</v>
      </c>
      <c r="F6455" t="s">
        <v>57</v>
      </c>
      <c r="G6455" t="str">
        <f t="shared" si="264"/>
        <v>030EXPLORER</v>
      </c>
      <c r="H6455" s="5">
        <v>2050</v>
      </c>
      <c r="I6455" s="6">
        <v>1645.6875</v>
      </c>
      <c r="J6455" s="5">
        <v>12000</v>
      </c>
      <c r="K6455" s="6">
        <f t="shared" si="263"/>
        <v>1.245679996961756</v>
      </c>
    </row>
    <row r="6456" spans="1:11" hidden="1">
      <c r="A6456" s="4">
        <v>2026</v>
      </c>
      <c r="B6456">
        <v>8</v>
      </c>
      <c r="C6456" t="s">
        <v>10</v>
      </c>
      <c r="D6456" t="s">
        <v>11</v>
      </c>
      <c r="E6456" t="s">
        <v>12</v>
      </c>
      <c r="F6456" t="s">
        <v>13</v>
      </c>
      <c r="G6456" t="str">
        <f t="shared" si="264"/>
        <v>002SOMERSET</v>
      </c>
      <c r="H6456" s="5">
        <v>8240</v>
      </c>
      <c r="I6456" s="6">
        <v>4121.4642855494085</v>
      </c>
      <c r="J6456" s="5">
        <v>31200</v>
      </c>
      <c r="K6456" s="6">
        <f t="shared" si="263"/>
        <v>1.9992894343136527</v>
      </c>
    </row>
    <row r="6457" spans="1:11" hidden="1">
      <c r="A6457" s="4">
        <v>2026</v>
      </c>
      <c r="B6457">
        <v>8</v>
      </c>
      <c r="C6457" t="s">
        <v>10</v>
      </c>
      <c r="D6457" t="s">
        <v>11</v>
      </c>
      <c r="E6457" t="s">
        <v>14</v>
      </c>
      <c r="F6457" t="s">
        <v>15</v>
      </c>
      <c r="G6457" t="str">
        <f t="shared" si="264"/>
        <v>004BELLINA</v>
      </c>
      <c r="H6457" s="5">
        <v>1410</v>
      </c>
      <c r="I6457" s="6">
        <v>1056.7857142434418</v>
      </c>
      <c r="J6457" s="5">
        <v>8000</v>
      </c>
      <c r="K6457" s="6">
        <f t="shared" si="263"/>
        <v>1.3342345387488759</v>
      </c>
    </row>
    <row r="6458" spans="1:11" hidden="1">
      <c r="A6458" s="4">
        <v>2026</v>
      </c>
      <c r="B6458">
        <v>8</v>
      </c>
      <c r="C6458" t="s">
        <v>10</v>
      </c>
      <c r="D6458" t="s">
        <v>11</v>
      </c>
      <c r="E6458" t="s">
        <v>16</v>
      </c>
      <c r="F6458" t="s">
        <v>17</v>
      </c>
      <c r="G6458" t="str">
        <f t="shared" si="264"/>
        <v>005ELBA</v>
      </c>
      <c r="H6458" s="5">
        <v>9930</v>
      </c>
      <c r="I6458" s="6">
        <v>2641.9642856076484</v>
      </c>
      <c r="J6458" s="5">
        <v>19996</v>
      </c>
      <c r="K6458" s="6">
        <f t="shared" si="263"/>
        <v>3.7585670836258531</v>
      </c>
    </row>
    <row r="6459" spans="1:11" hidden="1">
      <c r="A6459" s="4">
        <v>2026</v>
      </c>
      <c r="B6459">
        <v>8</v>
      </c>
      <c r="C6459" t="s">
        <v>10</v>
      </c>
      <c r="D6459" t="s">
        <v>11</v>
      </c>
      <c r="E6459" t="s">
        <v>16</v>
      </c>
      <c r="F6459" t="s">
        <v>18</v>
      </c>
      <c r="G6459" t="str">
        <f t="shared" si="264"/>
        <v>005HOT BUBBLES</v>
      </c>
      <c r="H6459" s="5">
        <v>1160</v>
      </c>
      <c r="I6459" s="6">
        <v>528.39285712153003</v>
      </c>
      <c r="J6459" s="5">
        <v>4000</v>
      </c>
      <c r="K6459" s="6">
        <f t="shared" si="263"/>
        <v>2.1953362623393691</v>
      </c>
    </row>
    <row r="6460" spans="1:11" hidden="1">
      <c r="A6460" s="4">
        <v>2026</v>
      </c>
      <c r="B6460">
        <v>8</v>
      </c>
      <c r="C6460" t="s">
        <v>10</v>
      </c>
      <c r="D6460" t="s">
        <v>11</v>
      </c>
      <c r="E6460" t="s">
        <v>16</v>
      </c>
      <c r="F6460" t="s">
        <v>19</v>
      </c>
      <c r="G6460" t="str">
        <f t="shared" si="264"/>
        <v>005SUSPIRO</v>
      </c>
      <c r="H6460" s="5">
        <v>4050</v>
      </c>
      <c r="I6460" s="6">
        <v>1902.2142856375078</v>
      </c>
      <c r="J6460" s="5">
        <v>14400</v>
      </c>
      <c r="K6460" s="6">
        <f t="shared" ref="K6460:K6519" si="265">+H6460/I6460</f>
        <v>2.129097668217061</v>
      </c>
    </row>
    <row r="6461" spans="1:11" hidden="1">
      <c r="A6461" s="4">
        <v>2026</v>
      </c>
      <c r="B6461">
        <v>8</v>
      </c>
      <c r="C6461" t="s">
        <v>10</v>
      </c>
      <c r="D6461" t="s">
        <v>11</v>
      </c>
      <c r="E6461" t="s">
        <v>20</v>
      </c>
      <c r="F6461" t="s">
        <v>21</v>
      </c>
      <c r="G6461" t="str">
        <f t="shared" si="264"/>
        <v>007SNOW BUBBLES</v>
      </c>
      <c r="H6461" s="5">
        <v>700</v>
      </c>
      <c r="I6461" s="6">
        <v>634.05652706821195</v>
      </c>
      <c r="J6461" s="5">
        <v>4800</v>
      </c>
      <c r="K6461" s="6">
        <f t="shared" si="265"/>
        <v>1.104002514155483</v>
      </c>
    </row>
    <row r="6462" spans="1:11" hidden="1">
      <c r="A6462" s="4">
        <v>2026</v>
      </c>
      <c r="B6462">
        <v>8</v>
      </c>
      <c r="C6462" t="s">
        <v>10</v>
      </c>
      <c r="D6462" t="s">
        <v>11</v>
      </c>
      <c r="E6462" t="s">
        <v>22</v>
      </c>
      <c r="F6462" t="s">
        <v>18</v>
      </c>
      <c r="G6462" t="str">
        <f t="shared" si="264"/>
        <v>009HOT BUBBLES</v>
      </c>
      <c r="H6462" s="5">
        <v>7940</v>
      </c>
      <c r="I6462" s="6">
        <v>4487.9999999102474</v>
      </c>
      <c r="J6462" s="5">
        <v>31740</v>
      </c>
      <c r="K6462" s="6">
        <f t="shared" si="265"/>
        <v>1.7691622103740612</v>
      </c>
    </row>
    <row r="6463" spans="1:11" hidden="1">
      <c r="A6463" s="4">
        <v>2026</v>
      </c>
      <c r="B6463">
        <v>8</v>
      </c>
      <c r="C6463" t="s">
        <v>10</v>
      </c>
      <c r="D6463" t="s">
        <v>11</v>
      </c>
      <c r="E6463" t="s">
        <v>23</v>
      </c>
      <c r="F6463" t="s">
        <v>24</v>
      </c>
      <c r="G6463" t="str">
        <f t="shared" si="264"/>
        <v>014FRUITY BUBBLES</v>
      </c>
      <c r="H6463" s="5">
        <v>2550</v>
      </c>
      <c r="I6463" s="6">
        <v>1702.8</v>
      </c>
      <c r="J6463" s="5">
        <v>12900</v>
      </c>
      <c r="K6463" s="6">
        <f t="shared" si="265"/>
        <v>1.4975334742776603</v>
      </c>
    </row>
    <row r="6464" spans="1:11" hidden="1">
      <c r="A6464" s="4">
        <v>2026</v>
      </c>
      <c r="B6464">
        <v>8</v>
      </c>
      <c r="C6464" t="s">
        <v>10</v>
      </c>
      <c r="D6464" t="s">
        <v>11</v>
      </c>
      <c r="E6464" t="s">
        <v>25</v>
      </c>
      <c r="F6464" t="s">
        <v>26</v>
      </c>
      <c r="G6464" t="str">
        <f t="shared" si="264"/>
        <v>015FELLINI</v>
      </c>
      <c r="H6464" s="5">
        <v>6900</v>
      </c>
      <c r="I6464" s="6">
        <v>3009.6</v>
      </c>
      <c r="J6464" s="5">
        <v>22800</v>
      </c>
      <c r="K6464" s="6">
        <f t="shared" si="265"/>
        <v>2.2926634768740031</v>
      </c>
    </row>
    <row r="6465" spans="1:11" hidden="1">
      <c r="A6465" s="4">
        <v>2026</v>
      </c>
      <c r="B6465">
        <v>8</v>
      </c>
      <c r="C6465" t="s">
        <v>10</v>
      </c>
      <c r="D6465" t="s">
        <v>11</v>
      </c>
      <c r="E6465" t="s">
        <v>27</v>
      </c>
      <c r="F6465" t="s">
        <v>28</v>
      </c>
      <c r="G6465" t="str">
        <f t="shared" si="264"/>
        <v>016GOOD PEACH</v>
      </c>
      <c r="H6465" s="5">
        <v>3600</v>
      </c>
      <c r="I6465" s="6">
        <v>1386</v>
      </c>
      <c r="J6465" s="5">
        <v>10500</v>
      </c>
      <c r="K6465" s="6">
        <f t="shared" si="265"/>
        <v>2.5974025974025974</v>
      </c>
    </row>
    <row r="6466" spans="1:11" hidden="1">
      <c r="A6466" s="4">
        <v>2026</v>
      </c>
      <c r="B6466">
        <v>8</v>
      </c>
      <c r="C6466" t="s">
        <v>10</v>
      </c>
      <c r="D6466" t="s">
        <v>11</v>
      </c>
      <c r="E6466" t="s">
        <v>27</v>
      </c>
      <c r="F6466" t="s">
        <v>29</v>
      </c>
      <c r="G6466" t="str">
        <f t="shared" si="264"/>
        <v>016GOOD YELLOW</v>
      </c>
      <c r="H6466" s="5">
        <v>3150</v>
      </c>
      <c r="I6466" s="6">
        <v>1386</v>
      </c>
      <c r="J6466" s="5">
        <v>10500</v>
      </c>
      <c r="K6466" s="6">
        <f t="shared" si="265"/>
        <v>2.2727272727272729</v>
      </c>
    </row>
    <row r="6467" spans="1:11" hidden="1">
      <c r="A6467" s="4">
        <v>2026</v>
      </c>
      <c r="B6467">
        <v>8</v>
      </c>
      <c r="C6467" t="s">
        <v>10</v>
      </c>
      <c r="D6467" t="s">
        <v>11</v>
      </c>
      <c r="E6467" t="s">
        <v>30</v>
      </c>
      <c r="F6467" t="s">
        <v>31</v>
      </c>
      <c r="G6467" t="str">
        <f t="shared" si="264"/>
        <v>017ORANGE STAR</v>
      </c>
      <c r="H6467" s="5">
        <v>1625</v>
      </c>
      <c r="I6467" s="6">
        <v>1029.5999999999999</v>
      </c>
      <c r="J6467" s="5">
        <v>7800</v>
      </c>
      <c r="K6467" s="6">
        <f t="shared" si="265"/>
        <v>1.5782828282828285</v>
      </c>
    </row>
    <row r="6468" spans="1:11" hidden="1">
      <c r="A6468" s="4">
        <v>2026</v>
      </c>
      <c r="B6468">
        <v>8</v>
      </c>
      <c r="C6468" t="s">
        <v>10</v>
      </c>
      <c r="D6468" t="s">
        <v>11</v>
      </c>
      <c r="E6468" t="s">
        <v>32</v>
      </c>
      <c r="F6468" t="s">
        <v>33</v>
      </c>
      <c r="G6468" t="str">
        <f t="shared" si="264"/>
        <v>018COSMO</v>
      </c>
      <c r="H6468" s="5">
        <v>4300</v>
      </c>
      <c r="I6468" s="6">
        <v>2653.2</v>
      </c>
      <c r="J6468" s="5">
        <v>20100</v>
      </c>
      <c r="K6468" s="6">
        <f t="shared" si="265"/>
        <v>1.6206844565053522</v>
      </c>
    </row>
    <row r="6469" spans="1:11" hidden="1">
      <c r="A6469" s="4">
        <v>2026</v>
      </c>
      <c r="B6469">
        <v>8</v>
      </c>
      <c r="C6469" t="s">
        <v>10</v>
      </c>
      <c r="D6469" t="s">
        <v>11</v>
      </c>
      <c r="E6469" t="s">
        <v>32</v>
      </c>
      <c r="F6469" t="s">
        <v>34</v>
      </c>
      <c r="G6469" t="str">
        <f t="shared" si="264"/>
        <v>018RUBICON</v>
      </c>
      <c r="H6469" s="5">
        <v>3600</v>
      </c>
      <c r="I6469" s="6">
        <v>1768.8</v>
      </c>
      <c r="J6469" s="5">
        <v>13400</v>
      </c>
      <c r="K6469" s="6">
        <f t="shared" si="265"/>
        <v>2.0352781546811398</v>
      </c>
    </row>
    <row r="6470" spans="1:11" hidden="1">
      <c r="A6470" s="4">
        <v>2026</v>
      </c>
      <c r="B6470">
        <v>8</v>
      </c>
      <c r="C6470" t="s">
        <v>10</v>
      </c>
      <c r="D6470" t="s">
        <v>11</v>
      </c>
      <c r="E6470" t="s">
        <v>35</v>
      </c>
      <c r="F6470" t="s">
        <v>15</v>
      </c>
      <c r="G6470" t="str">
        <f t="shared" si="264"/>
        <v>019BELLINA</v>
      </c>
      <c r="H6470" s="5">
        <v>2235</v>
      </c>
      <c r="I6470" s="6">
        <v>1029.5999999999999</v>
      </c>
      <c r="J6470" s="5">
        <v>7800</v>
      </c>
      <c r="K6470" s="6">
        <f t="shared" si="265"/>
        <v>2.170745920745921</v>
      </c>
    </row>
    <row r="6471" spans="1:11" hidden="1">
      <c r="A6471" s="4">
        <v>2026</v>
      </c>
      <c r="B6471">
        <v>8</v>
      </c>
      <c r="C6471" t="s">
        <v>10</v>
      </c>
      <c r="D6471" t="s">
        <v>11</v>
      </c>
      <c r="E6471" t="s">
        <v>36</v>
      </c>
      <c r="F6471" t="s">
        <v>37</v>
      </c>
      <c r="G6471" t="str">
        <f t="shared" si="264"/>
        <v>020SUMMER DANCE</v>
      </c>
      <c r="H6471" s="5">
        <v>2200</v>
      </c>
      <c r="I6471" s="6">
        <v>1346.4</v>
      </c>
      <c r="J6471" s="5">
        <v>10200</v>
      </c>
      <c r="K6471" s="6">
        <f t="shared" si="265"/>
        <v>1.6339869281045751</v>
      </c>
    </row>
    <row r="6472" spans="1:11" hidden="1">
      <c r="A6472" s="4">
        <v>2026</v>
      </c>
      <c r="B6472">
        <v>8</v>
      </c>
      <c r="C6472" t="s">
        <v>10</v>
      </c>
      <c r="D6472" t="s">
        <v>11</v>
      </c>
      <c r="E6472" t="s">
        <v>38</v>
      </c>
      <c r="F6472" t="s">
        <v>39</v>
      </c>
      <c r="G6472" t="str">
        <f t="shared" si="264"/>
        <v>021ELEGANT ROSEVER</v>
      </c>
      <c r="H6472" s="5">
        <v>510</v>
      </c>
      <c r="I6472" s="6">
        <v>440.18999062500001</v>
      </c>
      <c r="J6472" s="5">
        <v>3200</v>
      </c>
      <c r="K6472" s="6">
        <f t="shared" si="265"/>
        <v>1.1585906332760563</v>
      </c>
    </row>
    <row r="6473" spans="1:11" hidden="1">
      <c r="A6473" s="4">
        <v>2026</v>
      </c>
      <c r="B6473">
        <v>8</v>
      </c>
      <c r="C6473" t="s">
        <v>10</v>
      </c>
      <c r="D6473" t="s">
        <v>11</v>
      </c>
      <c r="E6473" t="s">
        <v>38</v>
      </c>
      <c r="F6473" t="s">
        <v>40</v>
      </c>
      <c r="G6473" t="str">
        <f t="shared" si="264"/>
        <v>021FLAME CLUB</v>
      </c>
      <c r="H6473" s="5">
        <v>1725</v>
      </c>
      <c r="I6473" s="6">
        <v>880.38</v>
      </c>
      <c r="J6473" s="5">
        <v>6400</v>
      </c>
      <c r="K6473" s="6">
        <f t="shared" si="265"/>
        <v>1.9593811763102298</v>
      </c>
    </row>
    <row r="6474" spans="1:11" hidden="1">
      <c r="A6474" s="4">
        <v>2026</v>
      </c>
      <c r="B6474">
        <v>8</v>
      </c>
      <c r="C6474" t="s">
        <v>10</v>
      </c>
      <c r="D6474" t="s">
        <v>11</v>
      </c>
      <c r="E6474" t="s">
        <v>38</v>
      </c>
      <c r="F6474" t="s">
        <v>41</v>
      </c>
      <c r="G6474" t="str">
        <f t="shared" si="264"/>
        <v>021KELLY</v>
      </c>
      <c r="H6474" s="5">
        <v>975</v>
      </c>
      <c r="I6474" s="6">
        <v>330.14249999999998</v>
      </c>
      <c r="J6474" s="5">
        <v>2400</v>
      </c>
      <c r="K6474" s="6">
        <f t="shared" si="265"/>
        <v>2.9532701787864331</v>
      </c>
    </row>
    <row r="6475" spans="1:11" hidden="1">
      <c r="A6475" s="4">
        <v>2026</v>
      </c>
      <c r="B6475">
        <v>8</v>
      </c>
      <c r="C6475" t="s">
        <v>10</v>
      </c>
      <c r="D6475" t="s">
        <v>11</v>
      </c>
      <c r="E6475" t="s">
        <v>38</v>
      </c>
      <c r="F6475" t="s">
        <v>42</v>
      </c>
      <c r="G6475" t="str">
        <f t="shared" si="264"/>
        <v>021LEILA</v>
      </c>
      <c r="H6475" s="5">
        <v>9450</v>
      </c>
      <c r="I6475" s="6">
        <v>1430.6175000000001</v>
      </c>
      <c r="J6475" s="5">
        <v>10400</v>
      </c>
      <c r="K6475" s="6">
        <f t="shared" si="265"/>
        <v>6.6055392164572284</v>
      </c>
    </row>
    <row r="6476" spans="1:11" hidden="1">
      <c r="A6476" s="4">
        <v>2026</v>
      </c>
      <c r="B6476">
        <v>8</v>
      </c>
      <c r="C6476" t="s">
        <v>10</v>
      </c>
      <c r="D6476" t="s">
        <v>11</v>
      </c>
      <c r="E6476" t="s">
        <v>38</v>
      </c>
      <c r="F6476" t="s">
        <v>21</v>
      </c>
      <c r="G6476" t="str">
        <f t="shared" si="264"/>
        <v>021SNOW BUBBLES</v>
      </c>
      <c r="H6476" s="5">
        <v>2620</v>
      </c>
      <c r="I6476" s="6">
        <v>1287.0000000000018</v>
      </c>
      <c r="J6476" s="5">
        <v>9400</v>
      </c>
      <c r="K6476" s="6">
        <f t="shared" si="265"/>
        <v>2.0357420357420328</v>
      </c>
    </row>
    <row r="6477" spans="1:11" hidden="1">
      <c r="A6477" s="4">
        <v>2026</v>
      </c>
      <c r="B6477">
        <v>8</v>
      </c>
      <c r="C6477" t="s">
        <v>10</v>
      </c>
      <c r="D6477" t="s">
        <v>11</v>
      </c>
      <c r="E6477" t="s">
        <v>43</v>
      </c>
      <c r="F6477" t="s">
        <v>24</v>
      </c>
      <c r="G6477" t="str">
        <f t="shared" si="264"/>
        <v>022FRUITY BUBBLES</v>
      </c>
      <c r="H6477" s="5">
        <v>4350</v>
      </c>
      <c r="I6477" s="6">
        <v>2641.14</v>
      </c>
      <c r="J6477" s="5">
        <v>19200</v>
      </c>
      <c r="K6477" s="6">
        <f t="shared" si="265"/>
        <v>1.6470160612462801</v>
      </c>
    </row>
    <row r="6478" spans="1:11" hidden="1">
      <c r="A6478" s="4">
        <v>2026</v>
      </c>
      <c r="B6478">
        <v>8</v>
      </c>
      <c r="C6478" t="s">
        <v>10</v>
      </c>
      <c r="D6478" t="s">
        <v>11</v>
      </c>
      <c r="E6478" t="s">
        <v>43</v>
      </c>
      <c r="F6478" t="s">
        <v>28</v>
      </c>
      <c r="G6478" t="str">
        <f t="shared" si="264"/>
        <v>022GOOD PEACH</v>
      </c>
      <c r="H6478" s="5">
        <v>2430</v>
      </c>
      <c r="I6478" s="6">
        <v>880.38</v>
      </c>
      <c r="J6478" s="5">
        <v>6400</v>
      </c>
      <c r="K6478" s="6">
        <f t="shared" si="265"/>
        <v>2.7601717440196278</v>
      </c>
    </row>
    <row r="6479" spans="1:11" hidden="1">
      <c r="A6479" s="4">
        <v>2026</v>
      </c>
      <c r="B6479">
        <v>8</v>
      </c>
      <c r="C6479" t="s">
        <v>10</v>
      </c>
      <c r="D6479" t="s">
        <v>11</v>
      </c>
      <c r="E6479" t="s">
        <v>43</v>
      </c>
      <c r="F6479" t="s">
        <v>44</v>
      </c>
      <c r="G6479" t="str">
        <f t="shared" si="264"/>
        <v>022MIRABEL</v>
      </c>
      <c r="H6479" s="5">
        <v>1100</v>
      </c>
      <c r="I6479" s="6">
        <v>880.38</v>
      </c>
      <c r="J6479" s="5">
        <v>6400</v>
      </c>
      <c r="K6479" s="6">
        <f t="shared" si="265"/>
        <v>1.2494604602557986</v>
      </c>
    </row>
    <row r="6480" spans="1:11" hidden="1">
      <c r="A6480" s="4">
        <v>2026</v>
      </c>
      <c r="B6480">
        <v>8</v>
      </c>
      <c r="C6480" t="s">
        <v>10</v>
      </c>
      <c r="D6480" t="s">
        <v>11</v>
      </c>
      <c r="E6480" t="s">
        <v>47</v>
      </c>
      <c r="F6480" t="s">
        <v>44</v>
      </c>
      <c r="G6480" t="str">
        <f t="shared" si="264"/>
        <v>030MIRABEL</v>
      </c>
      <c r="H6480" s="5">
        <v>4500</v>
      </c>
      <c r="I6480" s="6">
        <v>2413.6749943750001</v>
      </c>
      <c r="J6480" s="5">
        <v>17600</v>
      </c>
      <c r="K6480" s="6">
        <f t="shared" si="265"/>
        <v>1.8643769399306536</v>
      </c>
    </row>
    <row r="6481" spans="1:11" hidden="1">
      <c r="A6481" s="4">
        <v>2026</v>
      </c>
      <c r="B6481">
        <v>8</v>
      </c>
      <c r="C6481" t="s">
        <v>10</v>
      </c>
      <c r="D6481" t="s">
        <v>11</v>
      </c>
      <c r="E6481" t="s">
        <v>47</v>
      </c>
      <c r="F6481" t="s">
        <v>13</v>
      </c>
      <c r="G6481" t="str">
        <f t="shared" si="264"/>
        <v>030SOMERSET</v>
      </c>
      <c r="H6481" s="5">
        <v>3660</v>
      </c>
      <c r="I6481" s="6">
        <v>1645.6875</v>
      </c>
      <c r="J6481" s="5">
        <v>12000</v>
      </c>
      <c r="K6481" s="6">
        <f t="shared" si="265"/>
        <v>2.2239945311609888</v>
      </c>
    </row>
    <row r="6482" spans="1:11" hidden="1">
      <c r="A6482" s="4">
        <v>2026</v>
      </c>
      <c r="B6482">
        <v>8</v>
      </c>
      <c r="C6482" t="s">
        <v>10</v>
      </c>
      <c r="D6482" t="s">
        <v>11</v>
      </c>
      <c r="E6482" t="s">
        <v>48</v>
      </c>
      <c r="F6482" t="s">
        <v>49</v>
      </c>
      <c r="G6482" t="str">
        <f t="shared" si="264"/>
        <v>03182989</v>
      </c>
      <c r="H6482" s="5">
        <v>1380</v>
      </c>
      <c r="I6482" s="6">
        <v>726.32013058333712</v>
      </c>
      <c r="J6482" s="5">
        <v>5712</v>
      </c>
      <c r="K6482" s="6">
        <f t="shared" si="265"/>
        <v>1.8999886439766802</v>
      </c>
    </row>
    <row r="6483" spans="1:11" hidden="1">
      <c r="A6483" s="4">
        <v>2026</v>
      </c>
      <c r="B6483">
        <v>8</v>
      </c>
      <c r="C6483" t="s">
        <v>10</v>
      </c>
      <c r="D6483" t="s">
        <v>11</v>
      </c>
      <c r="E6483" t="s">
        <v>48</v>
      </c>
      <c r="F6483" t="s">
        <v>34</v>
      </c>
      <c r="G6483" t="str">
        <f t="shared" si="264"/>
        <v>031RUBICON</v>
      </c>
      <c r="H6483" s="5">
        <v>2880</v>
      </c>
      <c r="I6483" s="6">
        <v>924.39958333667107</v>
      </c>
      <c r="J6483" s="5">
        <v>6720</v>
      </c>
      <c r="K6483" s="6">
        <f t="shared" si="265"/>
        <v>3.1155358049864992</v>
      </c>
    </row>
    <row r="6484" spans="1:11" hidden="1">
      <c r="A6484" s="4">
        <v>2026</v>
      </c>
      <c r="B6484">
        <v>8</v>
      </c>
      <c r="C6484" t="s">
        <v>10</v>
      </c>
      <c r="D6484" t="s">
        <v>11</v>
      </c>
      <c r="E6484" t="s">
        <v>48</v>
      </c>
      <c r="F6484" t="s">
        <v>13</v>
      </c>
      <c r="G6484" t="str">
        <f t="shared" si="264"/>
        <v>031SOMERSET</v>
      </c>
      <c r="H6484" s="5">
        <v>2760</v>
      </c>
      <c r="I6484" s="6">
        <v>1122.485208333339</v>
      </c>
      <c r="J6484" s="5">
        <v>8160</v>
      </c>
      <c r="K6484" s="6">
        <f t="shared" si="265"/>
        <v>2.4588297284540932</v>
      </c>
    </row>
    <row r="6485" spans="1:11" hidden="1">
      <c r="A6485" s="4">
        <v>2026</v>
      </c>
      <c r="B6485">
        <v>8</v>
      </c>
      <c r="C6485" t="s">
        <v>10</v>
      </c>
      <c r="D6485" t="s">
        <v>11</v>
      </c>
      <c r="E6485" t="s">
        <v>48</v>
      </c>
      <c r="F6485" t="s">
        <v>50</v>
      </c>
      <c r="G6485" t="str">
        <f t="shared" si="264"/>
        <v>031VELVET BLOSSOMS</v>
      </c>
      <c r="H6485" s="5">
        <v>520</v>
      </c>
      <c r="I6485" s="6">
        <v>396.17125000000198</v>
      </c>
      <c r="J6485" s="5">
        <v>2880</v>
      </c>
      <c r="K6485" s="6">
        <f t="shared" si="265"/>
        <v>1.312563695624045</v>
      </c>
    </row>
    <row r="6486" spans="1:11" hidden="1">
      <c r="A6486" s="4">
        <v>2026</v>
      </c>
      <c r="B6486">
        <v>8</v>
      </c>
      <c r="C6486" t="s">
        <v>10</v>
      </c>
      <c r="D6486" t="s">
        <v>11</v>
      </c>
      <c r="E6486" t="s">
        <v>51</v>
      </c>
      <c r="F6486" t="s">
        <v>17</v>
      </c>
      <c r="G6486" t="str">
        <f t="shared" si="264"/>
        <v>032ELBA</v>
      </c>
      <c r="H6486" s="5">
        <v>3090</v>
      </c>
      <c r="I6486" s="6">
        <v>1535.9749999999999</v>
      </c>
      <c r="J6486" s="5">
        <v>11200</v>
      </c>
      <c r="K6486" s="6">
        <f t="shared" si="265"/>
        <v>2.0117514933511287</v>
      </c>
    </row>
    <row r="6487" spans="1:11" hidden="1">
      <c r="A6487" s="4">
        <v>2026</v>
      </c>
      <c r="B6487">
        <v>8</v>
      </c>
      <c r="C6487" t="s">
        <v>10</v>
      </c>
      <c r="D6487" t="s">
        <v>11</v>
      </c>
      <c r="E6487" t="s">
        <v>51</v>
      </c>
      <c r="F6487" t="s">
        <v>44</v>
      </c>
      <c r="G6487" t="str">
        <f t="shared" si="264"/>
        <v>032MIRABEL</v>
      </c>
      <c r="H6487" s="5">
        <v>1880</v>
      </c>
      <c r="I6487" s="6">
        <v>1535.9749999999999</v>
      </c>
      <c r="J6487" s="5">
        <v>11200</v>
      </c>
      <c r="K6487" s="6">
        <f t="shared" si="265"/>
        <v>1.2239782548544085</v>
      </c>
    </row>
    <row r="6488" spans="1:11" hidden="1">
      <c r="A6488" s="4">
        <v>2026</v>
      </c>
      <c r="B6488">
        <v>8</v>
      </c>
      <c r="C6488" t="s">
        <v>10</v>
      </c>
      <c r="D6488" t="s">
        <v>11</v>
      </c>
      <c r="E6488" t="s">
        <v>52</v>
      </c>
      <c r="F6488" t="s">
        <v>53</v>
      </c>
      <c r="G6488" t="str">
        <f t="shared" si="264"/>
        <v>033CREAMY FOLIES</v>
      </c>
      <c r="H6488" s="5">
        <v>1140</v>
      </c>
      <c r="I6488" s="6">
        <v>594.25687500000299</v>
      </c>
      <c r="J6488" s="5">
        <v>4320</v>
      </c>
      <c r="K6488" s="6">
        <f t="shared" si="265"/>
        <v>1.9183623243736041</v>
      </c>
    </row>
    <row r="6489" spans="1:11" hidden="1">
      <c r="A6489" s="4">
        <v>2026</v>
      </c>
      <c r="B6489">
        <v>8</v>
      </c>
      <c r="C6489" t="s">
        <v>10</v>
      </c>
      <c r="D6489" t="s">
        <v>11</v>
      </c>
      <c r="E6489" t="s">
        <v>52</v>
      </c>
      <c r="F6489" t="s">
        <v>18</v>
      </c>
      <c r="G6489" t="str">
        <f t="shared" si="264"/>
        <v>033HOT BUBBLES</v>
      </c>
      <c r="H6489" s="5">
        <v>3480</v>
      </c>
      <c r="I6489" s="6">
        <v>2575.1131250013459</v>
      </c>
      <c r="J6489" s="5">
        <v>18720</v>
      </c>
      <c r="K6489" s="6">
        <f t="shared" si="265"/>
        <v>1.3513969410560094</v>
      </c>
    </row>
    <row r="6490" spans="1:11" hidden="1">
      <c r="A6490" s="4">
        <v>2026</v>
      </c>
      <c r="B6490">
        <v>8</v>
      </c>
      <c r="C6490" t="s">
        <v>54</v>
      </c>
      <c r="D6490" t="s">
        <v>11</v>
      </c>
      <c r="E6490" t="s">
        <v>55</v>
      </c>
      <c r="F6490" t="s">
        <v>56</v>
      </c>
      <c r="G6490" t="str">
        <f t="shared" si="264"/>
        <v>001BELIEVE IN PINK</v>
      </c>
      <c r="H6490" s="5">
        <v>1410</v>
      </c>
      <c r="I6490" s="6">
        <v>528.37931032368999</v>
      </c>
      <c r="J6490" s="5">
        <v>4000</v>
      </c>
      <c r="K6490" s="6">
        <f t="shared" ref="K6490:K6495" si="266">IFERROR(H6490/I6490,"")</f>
        <v>2.6685374927648495</v>
      </c>
    </row>
    <row r="6491" spans="1:11" hidden="1">
      <c r="A6491" s="4">
        <v>2026</v>
      </c>
      <c r="B6491">
        <v>8</v>
      </c>
      <c r="C6491" t="s">
        <v>54</v>
      </c>
      <c r="D6491" t="s">
        <v>11</v>
      </c>
      <c r="E6491" t="s">
        <v>55</v>
      </c>
      <c r="F6491" t="s">
        <v>57</v>
      </c>
      <c r="G6491" t="str">
        <f t="shared" si="264"/>
        <v>001EXPLORER</v>
      </c>
      <c r="H6491" s="5">
        <v>3625</v>
      </c>
      <c r="I6491" s="6">
        <v>2272.0310343918732</v>
      </c>
      <c r="J6491" s="5">
        <v>17200</v>
      </c>
      <c r="K6491" s="6">
        <f t="shared" si="266"/>
        <v>1.5954887697959017</v>
      </c>
    </row>
    <row r="6492" spans="1:11" hidden="1">
      <c r="A6492" s="4">
        <v>2026</v>
      </c>
      <c r="B6492">
        <v>8</v>
      </c>
      <c r="C6492" t="s">
        <v>54</v>
      </c>
      <c r="D6492" t="s">
        <v>11</v>
      </c>
      <c r="E6492" t="s">
        <v>55</v>
      </c>
      <c r="F6492" t="s">
        <v>58</v>
      </c>
      <c r="G6492" t="str">
        <f t="shared" si="264"/>
        <v>001GRACE KELLY</v>
      </c>
      <c r="H6492" s="5">
        <v>2760</v>
      </c>
      <c r="I6492" s="6">
        <v>1162.4344827121224</v>
      </c>
      <c r="J6492" s="5">
        <v>8800</v>
      </c>
      <c r="K6492" s="6">
        <f t="shared" si="266"/>
        <v>2.3743273630015977</v>
      </c>
    </row>
    <row r="6493" spans="1:11" hidden="1">
      <c r="A6493" s="4">
        <v>2026</v>
      </c>
      <c r="B6493">
        <v>8</v>
      </c>
      <c r="C6493" t="s">
        <v>54</v>
      </c>
      <c r="D6493" t="s">
        <v>11</v>
      </c>
      <c r="E6493" t="s">
        <v>55</v>
      </c>
      <c r="F6493" t="s">
        <v>60</v>
      </c>
      <c r="G6493" t="str">
        <f t="shared" si="264"/>
        <v>001LIGHT HOUSE</v>
      </c>
      <c r="H6493" s="5">
        <v>2190</v>
      </c>
      <c r="I6493" s="6">
        <v>1056.7586206473827</v>
      </c>
      <c r="J6493" s="5">
        <v>8000</v>
      </c>
      <c r="K6493" s="6">
        <f t="shared" si="266"/>
        <v>2.0723748614024839</v>
      </c>
    </row>
    <row r="6494" spans="1:11" hidden="1">
      <c r="A6494" s="4">
        <v>2026</v>
      </c>
      <c r="B6494">
        <v>8</v>
      </c>
      <c r="C6494" t="s">
        <v>54</v>
      </c>
      <c r="D6494" t="s">
        <v>11</v>
      </c>
      <c r="E6494" t="s">
        <v>55</v>
      </c>
      <c r="F6494" t="s">
        <v>61</v>
      </c>
      <c r="G6494" t="str">
        <f t="shared" si="264"/>
        <v>001LUMIA</v>
      </c>
      <c r="H6494" s="5">
        <v>1680</v>
      </c>
      <c r="I6494" s="6">
        <v>1109.596551679753</v>
      </c>
      <c r="J6494" s="5">
        <v>8400</v>
      </c>
      <c r="K6494" s="6">
        <f t="shared" si="266"/>
        <v>1.5140638256821786</v>
      </c>
    </row>
    <row r="6495" spans="1:11" hidden="1">
      <c r="A6495" s="4">
        <v>2026</v>
      </c>
      <c r="B6495">
        <v>8</v>
      </c>
      <c r="C6495" t="s">
        <v>54</v>
      </c>
      <c r="D6495" t="s">
        <v>11</v>
      </c>
      <c r="E6495" t="s">
        <v>55</v>
      </c>
      <c r="F6495" t="s">
        <v>62</v>
      </c>
      <c r="G6495" t="str">
        <f t="shared" si="264"/>
        <v>001MOMENTUM</v>
      </c>
      <c r="H6495" s="5">
        <v>4675</v>
      </c>
      <c r="I6495" s="6">
        <v>1902.1655171652881</v>
      </c>
      <c r="J6495" s="5">
        <v>14400</v>
      </c>
      <c r="K6495" s="6">
        <f t="shared" si="266"/>
        <v>2.4577251337028456</v>
      </c>
    </row>
    <row r="6496" spans="1:11" hidden="1">
      <c r="A6496" s="4">
        <v>2026</v>
      </c>
      <c r="B6496">
        <v>8</v>
      </c>
      <c r="C6496" t="s">
        <v>54</v>
      </c>
      <c r="D6496" t="s">
        <v>11</v>
      </c>
      <c r="E6496" t="s">
        <v>12</v>
      </c>
      <c r="F6496" t="s">
        <v>63</v>
      </c>
      <c r="G6496" t="str">
        <f t="shared" si="264"/>
        <v>002SUMMER ROMANCE</v>
      </c>
      <c r="H6496" s="5">
        <v>1925</v>
      </c>
      <c r="I6496" s="6">
        <v>951.10714281909407</v>
      </c>
      <c r="J6496" s="5">
        <v>7200</v>
      </c>
      <c r="K6496" s="6">
        <f t="shared" si="265"/>
        <v>2.023957042625371</v>
      </c>
    </row>
    <row r="6497" spans="1:11" hidden="1">
      <c r="A6497" s="4">
        <v>2026</v>
      </c>
      <c r="B6497">
        <v>8</v>
      </c>
      <c r="C6497" t="s">
        <v>54</v>
      </c>
      <c r="D6497" t="s">
        <v>11</v>
      </c>
      <c r="E6497" t="s">
        <v>12</v>
      </c>
      <c r="F6497" t="s">
        <v>64</v>
      </c>
      <c r="G6497" t="str">
        <f t="shared" si="264"/>
        <v>002SWEETNESS</v>
      </c>
      <c r="H6497" s="5">
        <v>8220</v>
      </c>
      <c r="I6497" s="6">
        <v>3804.4285712763772</v>
      </c>
      <c r="J6497" s="5">
        <v>28800</v>
      </c>
      <c r="K6497" s="6">
        <f t="shared" si="265"/>
        <v>2.1606398558935775</v>
      </c>
    </row>
    <row r="6498" spans="1:11" hidden="1">
      <c r="A6498" s="4">
        <v>2026</v>
      </c>
      <c r="B6498">
        <v>8</v>
      </c>
      <c r="C6498" t="s">
        <v>54</v>
      </c>
      <c r="D6498" t="s">
        <v>11</v>
      </c>
      <c r="E6498" t="s">
        <v>65</v>
      </c>
      <c r="F6498" t="s">
        <v>66</v>
      </c>
      <c r="G6498" t="str">
        <f t="shared" si="264"/>
        <v>003CABARET</v>
      </c>
      <c r="H6498" s="5">
        <v>7170</v>
      </c>
      <c r="I6498" s="6">
        <v>2641.8965516184649</v>
      </c>
      <c r="J6498" s="5">
        <v>20000</v>
      </c>
      <c r="K6498" s="6">
        <f t="shared" si="265"/>
        <v>2.7139594075352997</v>
      </c>
    </row>
    <row r="6499" spans="1:11" hidden="1">
      <c r="A6499" s="4">
        <v>2026</v>
      </c>
      <c r="B6499">
        <v>8</v>
      </c>
      <c r="C6499" t="s">
        <v>54</v>
      </c>
      <c r="D6499" t="s">
        <v>11</v>
      </c>
      <c r="E6499" t="s">
        <v>65</v>
      </c>
      <c r="F6499" t="s">
        <v>67</v>
      </c>
      <c r="G6499" t="str">
        <f t="shared" si="264"/>
        <v>003DEEP PURPLE</v>
      </c>
      <c r="H6499" s="5">
        <v>10050</v>
      </c>
      <c r="I6499" s="6">
        <v>3592.9793102010913</v>
      </c>
      <c r="J6499" s="5">
        <v>26044</v>
      </c>
      <c r="K6499" s="6">
        <f t="shared" si="265"/>
        <v>2.797121589725359</v>
      </c>
    </row>
    <row r="6500" spans="1:11" hidden="1">
      <c r="A6500" s="4">
        <v>2026</v>
      </c>
      <c r="B6500">
        <v>8</v>
      </c>
      <c r="C6500" t="s">
        <v>54</v>
      </c>
      <c r="D6500" t="s">
        <v>11</v>
      </c>
      <c r="E6500" t="s">
        <v>65</v>
      </c>
      <c r="F6500" t="s">
        <v>57</v>
      </c>
      <c r="G6500" t="str">
        <f t="shared" si="264"/>
        <v>003EXPLORER</v>
      </c>
      <c r="H6500" s="5">
        <v>1750</v>
      </c>
      <c r="I6500" s="6">
        <v>1268.1103447768633</v>
      </c>
      <c r="J6500" s="5">
        <v>9600</v>
      </c>
      <c r="K6500" s="6">
        <f t="shared" si="265"/>
        <v>1.3800060911165661</v>
      </c>
    </row>
    <row r="6501" spans="1:11" hidden="1">
      <c r="A6501" s="4">
        <v>2026</v>
      </c>
      <c r="B6501">
        <v>8</v>
      </c>
      <c r="C6501" t="s">
        <v>54</v>
      </c>
      <c r="D6501" t="s">
        <v>11</v>
      </c>
      <c r="E6501" t="s">
        <v>65</v>
      </c>
      <c r="F6501" t="s">
        <v>68</v>
      </c>
      <c r="G6501" t="str">
        <f t="shared" si="264"/>
        <v>003JOCKER</v>
      </c>
      <c r="H6501" s="5">
        <v>1075</v>
      </c>
      <c r="I6501" s="6">
        <v>528.37931032368999</v>
      </c>
      <c r="J6501" s="5">
        <v>4000</v>
      </c>
      <c r="K6501" s="6">
        <f t="shared" si="265"/>
        <v>2.0345232657604346</v>
      </c>
    </row>
    <row r="6502" spans="1:11" hidden="1">
      <c r="A6502" s="4">
        <v>2026</v>
      </c>
      <c r="B6502">
        <v>8</v>
      </c>
      <c r="C6502" t="s">
        <v>54</v>
      </c>
      <c r="D6502" t="s">
        <v>11</v>
      </c>
      <c r="E6502" t="s">
        <v>65</v>
      </c>
      <c r="F6502" t="s">
        <v>69</v>
      </c>
      <c r="G6502" t="str">
        <f t="shared" si="264"/>
        <v>003QUICKSAND</v>
      </c>
      <c r="H6502" s="5">
        <v>2130</v>
      </c>
      <c r="I6502" s="6">
        <v>1162.4344827121247</v>
      </c>
      <c r="J6502" s="5">
        <v>8800</v>
      </c>
      <c r="K6502" s="6">
        <f t="shared" si="265"/>
        <v>1.83236133449036</v>
      </c>
    </row>
    <row r="6503" spans="1:11" hidden="1">
      <c r="A6503" s="4">
        <v>2026</v>
      </c>
      <c r="B6503">
        <v>8</v>
      </c>
      <c r="C6503" t="s">
        <v>54</v>
      </c>
      <c r="D6503" t="s">
        <v>11</v>
      </c>
      <c r="E6503" t="s">
        <v>14</v>
      </c>
      <c r="F6503" t="s">
        <v>70</v>
      </c>
      <c r="G6503" t="str">
        <f t="shared" si="264"/>
        <v>004COTOPAXI</v>
      </c>
      <c r="H6503" s="5">
        <v>540</v>
      </c>
      <c r="I6503" s="6">
        <v>528.3915024419166</v>
      </c>
      <c r="J6503" s="5">
        <v>4000</v>
      </c>
      <c r="K6503" s="6">
        <f t="shared" si="265"/>
        <v>1.02196950084253</v>
      </c>
    </row>
    <row r="6504" spans="1:11" hidden="1">
      <c r="A6504" s="4">
        <v>2026</v>
      </c>
      <c r="B6504">
        <v>8</v>
      </c>
      <c r="C6504" t="s">
        <v>54</v>
      </c>
      <c r="D6504" t="s">
        <v>11</v>
      </c>
      <c r="E6504" t="s">
        <v>14</v>
      </c>
      <c r="F6504" t="s">
        <v>67</v>
      </c>
      <c r="G6504" t="str">
        <f t="shared" si="264"/>
        <v>004DEEP PURPLE</v>
      </c>
      <c r="H6504" s="5">
        <v>9780</v>
      </c>
      <c r="I6504" s="6">
        <v>3910.1071427007282</v>
      </c>
      <c r="J6504" s="5">
        <v>29260</v>
      </c>
      <c r="K6504" s="6">
        <f t="shared" si="265"/>
        <v>2.5012102336522961</v>
      </c>
    </row>
    <row r="6505" spans="1:11" hidden="1">
      <c r="A6505" s="4">
        <v>2026</v>
      </c>
      <c r="B6505">
        <v>8</v>
      </c>
      <c r="C6505" t="s">
        <v>54</v>
      </c>
      <c r="D6505" t="s">
        <v>11</v>
      </c>
      <c r="E6505" t="s">
        <v>14</v>
      </c>
      <c r="F6505" t="s">
        <v>71</v>
      </c>
      <c r="G6505" t="str">
        <f t="shared" si="264"/>
        <v>004HOT EXPLORER</v>
      </c>
      <c r="H6505" s="5">
        <v>3525</v>
      </c>
      <c r="I6505" s="6">
        <v>1902.2142856381945</v>
      </c>
      <c r="J6505" s="5">
        <v>14400</v>
      </c>
      <c r="K6505" s="6">
        <f t="shared" si="265"/>
        <v>1.8531035260401063</v>
      </c>
    </row>
    <row r="6506" spans="1:11" hidden="1">
      <c r="A6506" s="4">
        <v>2026</v>
      </c>
      <c r="B6506">
        <v>8</v>
      </c>
      <c r="C6506" t="s">
        <v>54</v>
      </c>
      <c r="D6506" t="s">
        <v>11</v>
      </c>
      <c r="E6506" t="s">
        <v>14</v>
      </c>
      <c r="F6506" t="s">
        <v>72</v>
      </c>
      <c r="G6506" t="str">
        <f t="shared" si="264"/>
        <v>004HOT MERENGUE</v>
      </c>
      <c r="H6506" s="5">
        <v>3660</v>
      </c>
      <c r="I6506" s="6">
        <v>1162.4642856677858</v>
      </c>
      <c r="J6506" s="5">
        <v>8800</v>
      </c>
      <c r="K6506" s="6">
        <f t="shared" si="265"/>
        <v>3.1484838245137889</v>
      </c>
    </row>
    <row r="6507" spans="1:11" hidden="1">
      <c r="A6507" s="4">
        <v>2026</v>
      </c>
      <c r="B6507">
        <v>8</v>
      </c>
      <c r="C6507" t="s">
        <v>54</v>
      </c>
      <c r="D6507" t="s">
        <v>11</v>
      </c>
      <c r="E6507" t="s">
        <v>14</v>
      </c>
      <c r="F6507" t="s">
        <v>64</v>
      </c>
      <c r="G6507" t="str">
        <f t="shared" si="264"/>
        <v>004SWEETNESS</v>
      </c>
      <c r="H6507" s="5">
        <v>840</v>
      </c>
      <c r="I6507" s="6">
        <v>317.03571427303262</v>
      </c>
      <c r="J6507" s="5">
        <v>2400</v>
      </c>
      <c r="K6507" s="6">
        <f t="shared" si="265"/>
        <v>2.649543764891384</v>
      </c>
    </row>
    <row r="6508" spans="1:11" hidden="1">
      <c r="A6508" s="4">
        <v>2026</v>
      </c>
      <c r="B6508">
        <v>8</v>
      </c>
      <c r="C6508" t="s">
        <v>54</v>
      </c>
      <c r="D6508" t="s">
        <v>11</v>
      </c>
      <c r="E6508" t="s">
        <v>16</v>
      </c>
      <c r="F6508" t="s">
        <v>57</v>
      </c>
      <c r="G6508" t="str">
        <f t="shared" si="264"/>
        <v>005EXPLORER</v>
      </c>
      <c r="H6508" s="5">
        <v>1625</v>
      </c>
      <c r="I6508" s="6">
        <v>951.10714281875391</v>
      </c>
      <c r="J6508" s="5">
        <v>7200</v>
      </c>
      <c r="K6508" s="6">
        <f t="shared" si="265"/>
        <v>1.7085351658531969</v>
      </c>
    </row>
    <row r="6509" spans="1:11" hidden="1">
      <c r="A6509" s="4">
        <v>2026</v>
      </c>
      <c r="B6509">
        <v>8</v>
      </c>
      <c r="C6509" t="s">
        <v>54</v>
      </c>
      <c r="D6509" t="s">
        <v>11</v>
      </c>
      <c r="E6509" t="s">
        <v>16</v>
      </c>
      <c r="F6509" t="s">
        <v>73</v>
      </c>
      <c r="G6509" t="str">
        <f t="shared" si="264"/>
        <v>005GOLDFINCH</v>
      </c>
      <c r="H6509" s="5">
        <v>1050</v>
      </c>
      <c r="I6509" s="6">
        <v>898.26785710660101</v>
      </c>
      <c r="J6509" s="5">
        <v>6800</v>
      </c>
      <c r="K6509" s="6">
        <f t="shared" si="265"/>
        <v>1.1689163668642686</v>
      </c>
    </row>
    <row r="6510" spans="1:11" hidden="1">
      <c r="A6510" s="4">
        <v>2026</v>
      </c>
      <c r="B6510">
        <v>8</v>
      </c>
      <c r="C6510" t="s">
        <v>54</v>
      </c>
      <c r="D6510" t="s">
        <v>11</v>
      </c>
      <c r="E6510" t="s">
        <v>16</v>
      </c>
      <c r="F6510" t="s">
        <v>68</v>
      </c>
      <c r="G6510" t="str">
        <f t="shared" si="264"/>
        <v>005JOCKER</v>
      </c>
      <c r="H6510" s="5">
        <v>1800</v>
      </c>
      <c r="I6510" s="6">
        <v>1162.4642856673661</v>
      </c>
      <c r="J6510" s="5">
        <v>8800</v>
      </c>
      <c r="K6510" s="6">
        <f t="shared" si="265"/>
        <v>1.5484346677942258</v>
      </c>
    </row>
    <row r="6511" spans="1:11" hidden="1">
      <c r="A6511" s="4">
        <v>2026</v>
      </c>
      <c r="B6511">
        <v>8</v>
      </c>
      <c r="C6511" t="s">
        <v>54</v>
      </c>
      <c r="D6511" t="s">
        <v>11</v>
      </c>
      <c r="E6511" t="s">
        <v>16</v>
      </c>
      <c r="F6511" t="s">
        <v>74</v>
      </c>
      <c r="G6511" t="str">
        <f t="shared" ref="G6511:G6573" si="267">+E6511&amp;F6511</f>
        <v>005VENDELA</v>
      </c>
      <c r="H6511" s="5">
        <v>1680</v>
      </c>
      <c r="I6511" s="6">
        <v>686.91071425798896</v>
      </c>
      <c r="J6511" s="5">
        <v>5200</v>
      </c>
      <c r="K6511" s="6">
        <f t="shared" si="265"/>
        <v>2.4457327060544696</v>
      </c>
    </row>
    <row r="6512" spans="1:11" hidden="1">
      <c r="A6512" s="4">
        <v>2026</v>
      </c>
      <c r="B6512">
        <v>8</v>
      </c>
      <c r="C6512" t="s">
        <v>54</v>
      </c>
      <c r="D6512" t="s">
        <v>11</v>
      </c>
      <c r="E6512" t="s">
        <v>75</v>
      </c>
      <c r="F6512" t="s">
        <v>76</v>
      </c>
      <c r="G6512" t="str">
        <f t="shared" si="267"/>
        <v>006ATOMIC</v>
      </c>
      <c r="H6512" s="5">
        <v>1250</v>
      </c>
      <c r="I6512" s="6">
        <v>845.428571394752</v>
      </c>
      <c r="J6512" s="5">
        <v>6400</v>
      </c>
      <c r="K6512" s="6">
        <f t="shared" si="265"/>
        <v>1.4785400473724271</v>
      </c>
    </row>
    <row r="6513" spans="1:11" hidden="1">
      <c r="A6513" s="4">
        <v>2026</v>
      </c>
      <c r="B6513">
        <v>8</v>
      </c>
      <c r="C6513" t="s">
        <v>54</v>
      </c>
      <c r="D6513" t="s">
        <v>11</v>
      </c>
      <c r="E6513" t="s">
        <v>75</v>
      </c>
      <c r="F6513" t="s">
        <v>57</v>
      </c>
      <c r="G6513" t="str">
        <f t="shared" si="267"/>
        <v>006EXPLORER</v>
      </c>
      <c r="H6513" s="5">
        <v>6225</v>
      </c>
      <c r="I6513" s="6">
        <v>3910.1071427007355</v>
      </c>
      <c r="J6513" s="5">
        <v>29600</v>
      </c>
      <c r="K6513" s="6">
        <f t="shared" si="265"/>
        <v>1.592027986143713</v>
      </c>
    </row>
    <row r="6514" spans="1:11" hidden="1">
      <c r="A6514" s="4">
        <v>2026</v>
      </c>
      <c r="B6514">
        <v>8</v>
      </c>
      <c r="C6514" t="s">
        <v>54</v>
      </c>
      <c r="D6514" t="s">
        <v>11</v>
      </c>
      <c r="E6514" t="s">
        <v>75</v>
      </c>
      <c r="F6514" t="s">
        <v>77</v>
      </c>
      <c r="G6514" t="str">
        <f t="shared" si="267"/>
        <v>006MONDIAL</v>
      </c>
      <c r="H6514" s="5">
        <v>7025</v>
      </c>
      <c r="I6514" s="6">
        <v>4015.7857141250793</v>
      </c>
      <c r="J6514" s="5">
        <v>30400</v>
      </c>
      <c r="K6514" s="6">
        <f t="shared" si="265"/>
        <v>1.7493463297332685</v>
      </c>
    </row>
    <row r="6515" spans="1:11" hidden="1">
      <c r="A6515" s="4">
        <v>2026</v>
      </c>
      <c r="B6515">
        <v>8</v>
      </c>
      <c r="C6515" t="s">
        <v>54</v>
      </c>
      <c r="D6515" t="s">
        <v>11</v>
      </c>
      <c r="E6515" t="s">
        <v>20</v>
      </c>
      <c r="F6515" t="s">
        <v>70</v>
      </c>
      <c r="G6515" t="str">
        <f t="shared" si="267"/>
        <v>007COTOPAXI</v>
      </c>
      <c r="H6515" s="5">
        <v>5100</v>
      </c>
      <c r="I6515" s="6">
        <v>2747.5751230427709</v>
      </c>
      <c r="J6515" s="5">
        <v>20800</v>
      </c>
      <c r="K6515" s="6">
        <f t="shared" si="265"/>
        <v>1.8561821866956136</v>
      </c>
    </row>
    <row r="6516" spans="1:11" hidden="1">
      <c r="A6516" s="4">
        <v>2026</v>
      </c>
      <c r="B6516">
        <v>8</v>
      </c>
      <c r="C6516" t="s">
        <v>54</v>
      </c>
      <c r="D6516" t="s">
        <v>11</v>
      </c>
      <c r="E6516" t="s">
        <v>20</v>
      </c>
      <c r="F6516" t="s">
        <v>78</v>
      </c>
      <c r="G6516" t="str">
        <f t="shared" si="267"/>
        <v>007REDIANT</v>
      </c>
      <c r="H6516" s="5">
        <v>1560</v>
      </c>
      <c r="I6516" s="6">
        <v>1056.75862064738</v>
      </c>
      <c r="J6516" s="5">
        <v>9600</v>
      </c>
      <c r="K6516" s="6">
        <f t="shared" si="265"/>
        <v>1.4762122300401295</v>
      </c>
    </row>
    <row r="6517" spans="1:11" hidden="1">
      <c r="A6517" s="4">
        <v>2026</v>
      </c>
      <c r="B6517">
        <v>8</v>
      </c>
      <c r="C6517" t="s">
        <v>54</v>
      </c>
      <c r="D6517" t="s">
        <v>11</v>
      </c>
      <c r="E6517" t="s">
        <v>20</v>
      </c>
      <c r="F6517" t="s">
        <v>63</v>
      </c>
      <c r="G6517" t="str">
        <f t="shared" si="267"/>
        <v>007SUMMER ROMANCE</v>
      </c>
      <c r="H6517" s="5">
        <v>1000</v>
      </c>
      <c r="I6517" s="6">
        <v>369.86551722658481</v>
      </c>
      <c r="J6517" s="5">
        <v>3080</v>
      </c>
      <c r="K6517" s="6">
        <f t="shared" si="265"/>
        <v>2.7036854030038868</v>
      </c>
    </row>
    <row r="6518" spans="1:11" hidden="1">
      <c r="A6518" s="4">
        <v>2026</v>
      </c>
      <c r="B6518">
        <v>8</v>
      </c>
      <c r="C6518" t="s">
        <v>54</v>
      </c>
      <c r="D6518" t="s">
        <v>11</v>
      </c>
      <c r="E6518" t="s">
        <v>20</v>
      </c>
      <c r="F6518" t="s">
        <v>74</v>
      </c>
      <c r="G6518" t="str">
        <f t="shared" si="267"/>
        <v>007VENDELA</v>
      </c>
      <c r="H6518" s="5">
        <v>7830</v>
      </c>
      <c r="I6518" s="6">
        <v>3592.9793102011122</v>
      </c>
      <c r="J6518" s="5">
        <v>27820</v>
      </c>
      <c r="K6518" s="6">
        <f t="shared" si="265"/>
        <v>2.179249954980043</v>
      </c>
    </row>
    <row r="6519" spans="1:11" hidden="1">
      <c r="A6519" s="4">
        <v>2026</v>
      </c>
      <c r="B6519">
        <v>8</v>
      </c>
      <c r="C6519" t="s">
        <v>54</v>
      </c>
      <c r="D6519" t="s">
        <v>11</v>
      </c>
      <c r="E6519" t="s">
        <v>79</v>
      </c>
      <c r="F6519" t="s">
        <v>67</v>
      </c>
      <c r="G6519" t="str">
        <f t="shared" si="267"/>
        <v>008DEEP PURPLE</v>
      </c>
      <c r="H6519" s="5">
        <v>3210</v>
      </c>
      <c r="I6519" s="6">
        <v>1585.2222221588099</v>
      </c>
      <c r="J6519" s="5">
        <v>11490</v>
      </c>
      <c r="K6519" s="6">
        <f t="shared" si="265"/>
        <v>2.0249526881023105</v>
      </c>
    </row>
    <row r="6520" spans="1:11" hidden="1">
      <c r="A6520" s="4">
        <v>2026</v>
      </c>
      <c r="B6520">
        <v>8</v>
      </c>
      <c r="C6520" t="s">
        <v>54</v>
      </c>
      <c r="D6520" t="s">
        <v>11</v>
      </c>
      <c r="E6520" t="s">
        <v>79</v>
      </c>
      <c r="F6520" t="s">
        <v>81</v>
      </c>
      <c r="G6520" t="str">
        <f t="shared" si="267"/>
        <v>008FREEDOM</v>
      </c>
      <c r="H6520" s="5">
        <v>4500</v>
      </c>
      <c r="I6520" s="6">
        <v>2219.311111022334</v>
      </c>
      <c r="J6520" s="5">
        <v>16800</v>
      </c>
      <c r="K6520" s="6">
        <f t="shared" ref="K6520:K6582" si="268">+H6520/I6520</f>
        <v>2.0276562297419662</v>
      </c>
    </row>
    <row r="6521" spans="1:11" hidden="1">
      <c r="A6521" s="4">
        <v>2026</v>
      </c>
      <c r="B6521">
        <v>8</v>
      </c>
      <c r="C6521" t="s">
        <v>54</v>
      </c>
      <c r="D6521" t="s">
        <v>11</v>
      </c>
      <c r="E6521" t="s">
        <v>79</v>
      </c>
      <c r="F6521" t="s">
        <v>68</v>
      </c>
      <c r="G6521" t="str">
        <f t="shared" si="267"/>
        <v>008JOCKER</v>
      </c>
      <c r="H6521" s="5">
        <v>5700</v>
      </c>
      <c r="I6521" s="6">
        <v>2959.0814813631118</v>
      </c>
      <c r="J6521" s="5">
        <v>22400</v>
      </c>
      <c r="K6521" s="6">
        <f t="shared" si="268"/>
        <v>1.926273418254868</v>
      </c>
    </row>
    <row r="6522" spans="1:11" hidden="1">
      <c r="A6522" s="4">
        <v>2026</v>
      </c>
      <c r="B6522">
        <v>8</v>
      </c>
      <c r="C6522" t="s">
        <v>54</v>
      </c>
      <c r="D6522" t="s">
        <v>11</v>
      </c>
      <c r="E6522" t="s">
        <v>79</v>
      </c>
      <c r="F6522" t="s">
        <v>61</v>
      </c>
      <c r="G6522" t="str">
        <f t="shared" si="267"/>
        <v>008LUMIA</v>
      </c>
      <c r="H6522" s="5">
        <v>360</v>
      </c>
      <c r="I6522" s="6">
        <v>1796.5851851133182</v>
      </c>
      <c r="J6522" s="5">
        <v>13600</v>
      </c>
      <c r="K6522" s="6">
        <f t="shared" si="268"/>
        <v>0.20038014505685312</v>
      </c>
    </row>
    <row r="6523" spans="1:11" hidden="1">
      <c r="A6523" s="4">
        <v>2026</v>
      </c>
      <c r="B6523">
        <v>8</v>
      </c>
      <c r="C6523" t="s">
        <v>54</v>
      </c>
      <c r="D6523" t="s">
        <v>11</v>
      </c>
      <c r="E6523" t="s">
        <v>82</v>
      </c>
      <c r="F6523" t="s">
        <v>83</v>
      </c>
      <c r="G6523" t="str">
        <f t="shared" si="267"/>
        <v>010COOLDOWN</v>
      </c>
      <c r="H6523" s="5">
        <v>2975</v>
      </c>
      <c r="I6523" s="6">
        <v>1912.3542857142861</v>
      </c>
      <c r="J6523" s="5">
        <v>16320</v>
      </c>
      <c r="K6523" s="6">
        <f t="shared" si="268"/>
        <v>1.5556740831047442</v>
      </c>
    </row>
    <row r="6524" spans="1:11" hidden="1">
      <c r="A6524" s="4">
        <v>2026</v>
      </c>
      <c r="B6524">
        <v>8</v>
      </c>
      <c r="C6524" t="s">
        <v>54</v>
      </c>
      <c r="D6524" t="s">
        <v>11</v>
      </c>
      <c r="E6524" t="s">
        <v>82</v>
      </c>
      <c r="F6524" t="s">
        <v>84</v>
      </c>
      <c r="G6524" t="str">
        <f t="shared" si="267"/>
        <v>010VIOLET HILL</v>
      </c>
      <c r="H6524" s="5">
        <v>5730</v>
      </c>
      <c r="I6524" s="6">
        <v>2812.2857142428579</v>
      </c>
      <c r="J6524" s="5">
        <v>20000</v>
      </c>
      <c r="K6524" s="6">
        <f t="shared" si="268"/>
        <v>2.0374885705888062</v>
      </c>
    </row>
    <row r="6525" spans="1:11" hidden="1">
      <c r="A6525" s="4">
        <v>2026</v>
      </c>
      <c r="B6525">
        <v>8</v>
      </c>
      <c r="C6525" t="s">
        <v>54</v>
      </c>
      <c r="D6525" t="s">
        <v>11</v>
      </c>
      <c r="E6525" t="s">
        <v>85</v>
      </c>
      <c r="F6525" t="s">
        <v>86</v>
      </c>
      <c r="G6525" t="str">
        <f t="shared" si="267"/>
        <v>011BRIGHTON</v>
      </c>
      <c r="H6525" s="5">
        <v>3125</v>
      </c>
      <c r="I6525" s="6">
        <v>1768.8376470588223</v>
      </c>
      <c r="J6525" s="5">
        <v>12800</v>
      </c>
      <c r="K6525" s="6">
        <f t="shared" si="268"/>
        <v>1.7666969069751368</v>
      </c>
    </row>
    <row r="6526" spans="1:11" hidden="1">
      <c r="A6526" s="4">
        <v>2026</v>
      </c>
      <c r="B6526">
        <v>8</v>
      </c>
      <c r="C6526" t="s">
        <v>54</v>
      </c>
      <c r="D6526" t="s">
        <v>11</v>
      </c>
      <c r="E6526" t="s">
        <v>85</v>
      </c>
      <c r="F6526" t="s">
        <v>87</v>
      </c>
      <c r="G6526" t="str">
        <f t="shared" si="267"/>
        <v>011CANDLELIGHT</v>
      </c>
      <c r="H6526" s="5">
        <v>3940</v>
      </c>
      <c r="I6526" s="6">
        <v>2263.7999998868127</v>
      </c>
      <c r="J6526" s="5">
        <v>17920</v>
      </c>
      <c r="K6526" s="6">
        <f t="shared" si="268"/>
        <v>1.740436434401005</v>
      </c>
    </row>
    <row r="6527" spans="1:11" hidden="1">
      <c r="A6527" s="4">
        <v>2026</v>
      </c>
      <c r="B6527">
        <v>8</v>
      </c>
      <c r="C6527" t="s">
        <v>54</v>
      </c>
      <c r="D6527" t="s">
        <v>11</v>
      </c>
      <c r="E6527" t="s">
        <v>85</v>
      </c>
      <c r="F6527" t="s">
        <v>88</v>
      </c>
      <c r="G6527" t="str">
        <f t="shared" si="267"/>
        <v>011CAYENNE</v>
      </c>
      <c r="H6527" s="5">
        <v>1410</v>
      </c>
      <c r="I6527" s="6">
        <v>994.97117647058747</v>
      </c>
      <c r="J6527" s="5">
        <v>7200</v>
      </c>
      <c r="K6527" s="6">
        <f t="shared" si="268"/>
        <v>1.4171264789816564</v>
      </c>
    </row>
    <row r="6528" spans="1:11" hidden="1">
      <c r="A6528" s="4">
        <v>2026</v>
      </c>
      <c r="B6528">
        <v>8</v>
      </c>
      <c r="C6528" t="s">
        <v>54</v>
      </c>
      <c r="D6528" t="s">
        <v>11</v>
      </c>
      <c r="E6528" t="s">
        <v>85</v>
      </c>
      <c r="F6528" t="s">
        <v>61</v>
      </c>
      <c r="G6528" t="str">
        <f t="shared" si="267"/>
        <v>011LUMIA</v>
      </c>
      <c r="H6528" s="5">
        <v>1380</v>
      </c>
      <c r="I6528" s="6">
        <v>994.97117647058747</v>
      </c>
      <c r="J6528" s="5">
        <v>7920</v>
      </c>
      <c r="K6528" s="6">
        <f t="shared" si="268"/>
        <v>1.3869748517692808</v>
      </c>
    </row>
    <row r="6529" spans="1:11" hidden="1">
      <c r="A6529" s="4">
        <v>2026</v>
      </c>
      <c r="B6529">
        <v>8</v>
      </c>
      <c r="C6529" t="s">
        <v>54</v>
      </c>
      <c r="D6529" t="s">
        <v>11</v>
      </c>
      <c r="E6529" t="s">
        <v>85</v>
      </c>
      <c r="F6529" t="s">
        <v>89</v>
      </c>
      <c r="G6529" t="str">
        <f t="shared" si="267"/>
        <v>011STARDUST</v>
      </c>
      <c r="H6529" s="5">
        <v>4675</v>
      </c>
      <c r="I6529" s="6">
        <v>2263.7999998868127</v>
      </c>
      <c r="J6529" s="5">
        <v>17920</v>
      </c>
      <c r="K6529" s="6">
        <f t="shared" si="268"/>
        <v>2.0651117590925634</v>
      </c>
    </row>
    <row r="6530" spans="1:11" hidden="1">
      <c r="A6530" s="4">
        <v>2026</v>
      </c>
      <c r="B6530">
        <v>8</v>
      </c>
      <c r="C6530" t="s">
        <v>54</v>
      </c>
      <c r="D6530" t="s">
        <v>11</v>
      </c>
      <c r="E6530" t="s">
        <v>90</v>
      </c>
      <c r="F6530" t="s">
        <v>67</v>
      </c>
      <c r="G6530" t="str">
        <f t="shared" si="267"/>
        <v>012DEEP PURPLE</v>
      </c>
      <c r="H6530" s="5">
        <v>15570</v>
      </c>
      <c r="I6530" s="6">
        <v>6727.0499997982479</v>
      </c>
      <c r="J6530" s="5">
        <v>49210</v>
      </c>
      <c r="K6530" s="6">
        <f t="shared" si="268"/>
        <v>2.314536089439942</v>
      </c>
    </row>
    <row r="6531" spans="1:11" hidden="1">
      <c r="A6531" s="4">
        <v>2026</v>
      </c>
      <c r="B6531">
        <v>8</v>
      </c>
      <c r="C6531" t="s">
        <v>54</v>
      </c>
      <c r="D6531" t="s">
        <v>11</v>
      </c>
      <c r="E6531" t="s">
        <v>90</v>
      </c>
      <c r="F6531" t="s">
        <v>60</v>
      </c>
      <c r="G6531" t="str">
        <f t="shared" si="267"/>
        <v>012LIGHT HOUSE</v>
      </c>
      <c r="H6531" s="5">
        <v>1290</v>
      </c>
      <c r="I6531" s="6">
        <v>994.95</v>
      </c>
      <c r="J6531" s="5">
        <v>7200</v>
      </c>
      <c r="K6531" s="6">
        <f t="shared" si="268"/>
        <v>1.2965475652042815</v>
      </c>
    </row>
    <row r="6532" spans="1:11" hidden="1">
      <c r="A6532" s="4">
        <v>2026</v>
      </c>
      <c r="B6532">
        <v>8</v>
      </c>
      <c r="C6532" t="s">
        <v>54</v>
      </c>
      <c r="D6532" t="s">
        <v>11</v>
      </c>
      <c r="E6532" t="s">
        <v>91</v>
      </c>
      <c r="F6532" t="s">
        <v>92</v>
      </c>
      <c r="G6532" t="str">
        <f t="shared" si="267"/>
        <v>013COUNTRY BLUES</v>
      </c>
      <c r="H6532" s="5">
        <v>1175</v>
      </c>
      <c r="I6532" s="6">
        <v>831.6</v>
      </c>
      <c r="J6532" s="5">
        <v>6300</v>
      </c>
      <c r="K6532" s="6">
        <f t="shared" si="268"/>
        <v>1.4129389129389129</v>
      </c>
    </row>
    <row r="6533" spans="1:11" hidden="1">
      <c r="A6533" s="4">
        <v>2026</v>
      </c>
      <c r="B6533">
        <v>8</v>
      </c>
      <c r="C6533" t="s">
        <v>54</v>
      </c>
      <c r="D6533" t="s">
        <v>11</v>
      </c>
      <c r="E6533" t="s">
        <v>91</v>
      </c>
      <c r="F6533" t="s">
        <v>93</v>
      </c>
      <c r="G6533" t="str">
        <f t="shared" si="267"/>
        <v>013LORRAINE</v>
      </c>
      <c r="H6533" s="5">
        <v>2100</v>
      </c>
      <c r="I6533" s="6">
        <v>1267.2</v>
      </c>
      <c r="J6533" s="5">
        <v>9600</v>
      </c>
      <c r="K6533" s="6">
        <f t="shared" si="268"/>
        <v>1.6571969696969697</v>
      </c>
    </row>
    <row r="6534" spans="1:11" hidden="1">
      <c r="A6534" s="4">
        <v>2026</v>
      </c>
      <c r="B6534">
        <v>8</v>
      </c>
      <c r="C6534" t="s">
        <v>54</v>
      </c>
      <c r="D6534" t="s">
        <v>11</v>
      </c>
      <c r="E6534" t="s">
        <v>91</v>
      </c>
      <c r="F6534" t="s">
        <v>61</v>
      </c>
      <c r="G6534" t="str">
        <f t="shared" si="267"/>
        <v>013LUMIA</v>
      </c>
      <c r="H6534" s="5">
        <v>360</v>
      </c>
      <c r="I6534" s="6">
        <v>316.8</v>
      </c>
      <c r="J6534" s="5">
        <v>2400</v>
      </c>
      <c r="K6534" s="6">
        <f t="shared" si="268"/>
        <v>1.1363636363636362</v>
      </c>
    </row>
    <row r="6535" spans="1:11" hidden="1">
      <c r="A6535" s="4">
        <v>2026</v>
      </c>
      <c r="B6535">
        <v>8</v>
      </c>
      <c r="C6535" t="s">
        <v>54</v>
      </c>
      <c r="D6535" t="s">
        <v>11</v>
      </c>
      <c r="E6535" t="s">
        <v>91</v>
      </c>
      <c r="F6535" t="s">
        <v>74</v>
      </c>
      <c r="G6535" t="str">
        <f t="shared" si="267"/>
        <v>013VENDELA</v>
      </c>
      <c r="H6535" s="5">
        <v>8280</v>
      </c>
      <c r="I6535" s="6">
        <v>3603.6</v>
      </c>
      <c r="J6535" s="5">
        <v>27296</v>
      </c>
      <c r="K6535" s="6">
        <f t="shared" si="268"/>
        <v>2.2977022977022976</v>
      </c>
    </row>
    <row r="6536" spans="1:11" hidden="1">
      <c r="A6536" s="4">
        <v>2026</v>
      </c>
      <c r="B6536">
        <v>8</v>
      </c>
      <c r="C6536" t="s">
        <v>54</v>
      </c>
      <c r="D6536" t="s">
        <v>11</v>
      </c>
      <c r="E6536" t="s">
        <v>23</v>
      </c>
      <c r="F6536" t="s">
        <v>89</v>
      </c>
      <c r="G6536" t="str">
        <f t="shared" si="267"/>
        <v>014STARDUST</v>
      </c>
      <c r="H6536" s="5">
        <v>5875</v>
      </c>
      <c r="I6536" s="6">
        <v>3682.8</v>
      </c>
      <c r="J6536" s="5">
        <v>27900</v>
      </c>
      <c r="K6536" s="6">
        <f t="shared" si="268"/>
        <v>1.5952536113826437</v>
      </c>
    </row>
    <row r="6537" spans="1:11" hidden="1">
      <c r="A6537" s="4">
        <v>2026</v>
      </c>
      <c r="B6537">
        <v>8</v>
      </c>
      <c r="C6537" t="s">
        <v>54</v>
      </c>
      <c r="D6537" t="s">
        <v>11</v>
      </c>
      <c r="E6537" t="s">
        <v>25</v>
      </c>
      <c r="F6537" t="s">
        <v>68</v>
      </c>
      <c r="G6537" t="str">
        <f t="shared" si="267"/>
        <v>015JOCKER</v>
      </c>
      <c r="H6537" s="5">
        <v>3925</v>
      </c>
      <c r="I6537" s="6">
        <v>2376</v>
      </c>
      <c r="J6537" s="5">
        <v>18000</v>
      </c>
      <c r="K6537" s="6">
        <f t="shared" si="268"/>
        <v>1.651936026936027</v>
      </c>
    </row>
    <row r="6538" spans="1:11" hidden="1">
      <c r="A6538" s="4">
        <v>2026</v>
      </c>
      <c r="B6538">
        <v>8</v>
      </c>
      <c r="C6538" t="s">
        <v>54</v>
      </c>
      <c r="D6538" t="s">
        <v>11</v>
      </c>
      <c r="E6538" t="s">
        <v>27</v>
      </c>
      <c r="F6538" t="s">
        <v>94</v>
      </c>
      <c r="G6538" t="str">
        <f t="shared" si="267"/>
        <v>016DREAM IN PEACH</v>
      </c>
      <c r="H6538" s="5">
        <v>1680</v>
      </c>
      <c r="I6538" s="6">
        <v>950.4</v>
      </c>
      <c r="J6538" s="5">
        <v>7200</v>
      </c>
      <c r="K6538" s="6">
        <f t="shared" si="268"/>
        <v>1.7676767676767677</v>
      </c>
    </row>
    <row r="6539" spans="1:11" hidden="1">
      <c r="A6539" s="4">
        <v>2026</v>
      </c>
      <c r="B6539">
        <v>8</v>
      </c>
      <c r="C6539" t="s">
        <v>54</v>
      </c>
      <c r="D6539" t="s">
        <v>11</v>
      </c>
      <c r="E6539" t="s">
        <v>27</v>
      </c>
      <c r="F6539" t="s">
        <v>95</v>
      </c>
      <c r="G6539" t="str">
        <f t="shared" si="267"/>
        <v>016NINA</v>
      </c>
      <c r="H6539" s="5">
        <v>3025</v>
      </c>
      <c r="I6539" s="6">
        <v>1346.4</v>
      </c>
      <c r="J6539" s="5">
        <v>10200</v>
      </c>
      <c r="K6539" s="6">
        <f t="shared" si="268"/>
        <v>2.2467320261437909</v>
      </c>
    </row>
    <row r="6540" spans="1:11" hidden="1">
      <c r="A6540" s="4">
        <v>2026</v>
      </c>
      <c r="B6540">
        <v>8</v>
      </c>
      <c r="C6540" t="s">
        <v>54</v>
      </c>
      <c r="D6540" t="s">
        <v>11</v>
      </c>
      <c r="E6540" t="s">
        <v>30</v>
      </c>
      <c r="F6540" t="s">
        <v>81</v>
      </c>
      <c r="G6540" t="str">
        <f t="shared" si="267"/>
        <v>017FREEDOM</v>
      </c>
      <c r="H6540" s="5">
        <v>6030</v>
      </c>
      <c r="I6540" s="6">
        <v>2851.2</v>
      </c>
      <c r="J6540" s="5">
        <v>21600</v>
      </c>
      <c r="K6540" s="6">
        <f t="shared" si="268"/>
        <v>2.1148989898989901</v>
      </c>
    </row>
    <row r="6541" spans="1:11" hidden="1">
      <c r="A6541" s="4">
        <v>2026</v>
      </c>
      <c r="B6541">
        <v>8</v>
      </c>
      <c r="C6541" t="s">
        <v>54</v>
      </c>
      <c r="D6541" t="s">
        <v>11</v>
      </c>
      <c r="E6541" t="s">
        <v>30</v>
      </c>
      <c r="F6541" t="s">
        <v>73</v>
      </c>
      <c r="G6541" t="str">
        <f t="shared" si="267"/>
        <v>017GOLDFINCH</v>
      </c>
      <c r="H6541" s="5">
        <v>3950</v>
      </c>
      <c r="I6541" s="6">
        <v>2138.4</v>
      </c>
      <c r="J6541" s="5">
        <v>16200</v>
      </c>
      <c r="K6541" s="6">
        <f t="shared" si="268"/>
        <v>1.8471754582865694</v>
      </c>
    </row>
    <row r="6542" spans="1:11" hidden="1">
      <c r="A6542" s="4">
        <v>2026</v>
      </c>
      <c r="B6542">
        <v>8</v>
      </c>
      <c r="C6542" t="s">
        <v>54</v>
      </c>
      <c r="D6542" t="s">
        <v>11</v>
      </c>
      <c r="E6542" t="s">
        <v>32</v>
      </c>
      <c r="F6542" t="s">
        <v>86</v>
      </c>
      <c r="G6542" t="str">
        <f t="shared" si="267"/>
        <v>018BRIGHTON</v>
      </c>
      <c r="H6542" s="5">
        <v>2675</v>
      </c>
      <c r="I6542" s="6">
        <v>963.6</v>
      </c>
      <c r="J6542" s="5">
        <v>7570</v>
      </c>
      <c r="K6542" s="6">
        <f t="shared" si="268"/>
        <v>2.7760481527604814</v>
      </c>
    </row>
    <row r="6543" spans="1:11" hidden="1">
      <c r="A6543" s="4">
        <v>2026</v>
      </c>
      <c r="B6543">
        <v>8</v>
      </c>
      <c r="C6543" t="s">
        <v>54</v>
      </c>
      <c r="D6543" t="s">
        <v>11</v>
      </c>
      <c r="E6543" t="s">
        <v>35</v>
      </c>
      <c r="F6543" t="s">
        <v>86</v>
      </c>
      <c r="G6543" t="str">
        <f t="shared" si="267"/>
        <v>019BRIGHTON</v>
      </c>
      <c r="H6543" s="5">
        <v>6925</v>
      </c>
      <c r="I6543" s="6">
        <v>3168</v>
      </c>
      <c r="J6543" s="5">
        <v>24000</v>
      </c>
      <c r="K6543" s="6">
        <f t="shared" si="268"/>
        <v>2.1859217171717171</v>
      </c>
    </row>
    <row r="6544" spans="1:11" hidden="1">
      <c r="A6544" s="4">
        <v>2026</v>
      </c>
      <c r="B6544">
        <v>8</v>
      </c>
      <c r="C6544" t="s">
        <v>54</v>
      </c>
      <c r="D6544" t="s">
        <v>11</v>
      </c>
      <c r="E6544" t="s">
        <v>35</v>
      </c>
      <c r="F6544" t="s">
        <v>96</v>
      </c>
      <c r="G6544" t="str">
        <f t="shared" si="267"/>
        <v>019TABATHA</v>
      </c>
      <c r="H6544" s="5">
        <v>2790</v>
      </c>
      <c r="I6544" s="6">
        <v>1188</v>
      </c>
      <c r="J6544" s="5">
        <v>9000</v>
      </c>
      <c r="K6544" s="6">
        <f t="shared" si="268"/>
        <v>2.3484848484848486</v>
      </c>
    </row>
    <row r="6545" spans="1:11" hidden="1">
      <c r="A6545" s="4">
        <v>2026</v>
      </c>
      <c r="B6545">
        <v>8</v>
      </c>
      <c r="C6545" t="s">
        <v>54</v>
      </c>
      <c r="D6545" t="s">
        <v>11</v>
      </c>
      <c r="E6545" t="s">
        <v>36</v>
      </c>
      <c r="F6545" t="s">
        <v>86</v>
      </c>
      <c r="G6545" t="str">
        <f t="shared" si="267"/>
        <v>020BRIGHTON</v>
      </c>
      <c r="H6545" s="5">
        <v>5125</v>
      </c>
      <c r="I6545" s="6">
        <v>2732.4</v>
      </c>
      <c r="J6545" s="5">
        <v>20700</v>
      </c>
      <c r="K6545" s="6">
        <f t="shared" si="268"/>
        <v>1.8756404625969842</v>
      </c>
    </row>
    <row r="6546" spans="1:11" hidden="1">
      <c r="A6546" s="4">
        <v>2026</v>
      </c>
      <c r="B6546">
        <v>8</v>
      </c>
      <c r="C6546" t="s">
        <v>54</v>
      </c>
      <c r="D6546" t="s">
        <v>11</v>
      </c>
      <c r="E6546" t="s">
        <v>36</v>
      </c>
      <c r="F6546" t="s">
        <v>97</v>
      </c>
      <c r="G6546" t="str">
        <f t="shared" si="267"/>
        <v>020TYCOON</v>
      </c>
      <c r="H6546" s="5">
        <v>1620</v>
      </c>
      <c r="I6546" s="6">
        <v>673.2</v>
      </c>
      <c r="J6546" s="5">
        <v>5100</v>
      </c>
      <c r="K6546" s="6">
        <f t="shared" si="268"/>
        <v>2.4064171122994651</v>
      </c>
    </row>
    <row r="6547" spans="1:11" hidden="1">
      <c r="A6547" s="4">
        <v>2026</v>
      </c>
      <c r="B6547">
        <v>8</v>
      </c>
      <c r="C6547" t="s">
        <v>54</v>
      </c>
      <c r="D6547" t="s">
        <v>11</v>
      </c>
      <c r="E6547" t="s">
        <v>38</v>
      </c>
      <c r="F6547" t="s">
        <v>98</v>
      </c>
      <c r="G6547" t="str">
        <f t="shared" si="267"/>
        <v>021SHOW GIRL</v>
      </c>
      <c r="H6547" s="5">
        <v>3075</v>
      </c>
      <c r="I6547" s="6">
        <v>1100.4749999999999</v>
      </c>
      <c r="J6547" s="5">
        <v>8000</v>
      </c>
      <c r="K6547" s="6">
        <f t="shared" si="268"/>
        <v>2.794247938390241</v>
      </c>
    </row>
    <row r="6548" spans="1:11" hidden="1">
      <c r="A6548" s="4">
        <v>2026</v>
      </c>
      <c r="B6548">
        <v>8</v>
      </c>
      <c r="C6548" t="s">
        <v>54</v>
      </c>
      <c r="D6548" t="s">
        <v>11</v>
      </c>
      <c r="E6548" t="s">
        <v>43</v>
      </c>
      <c r="F6548" t="s">
        <v>99</v>
      </c>
      <c r="G6548" t="str">
        <f t="shared" si="267"/>
        <v>022CORAL REEF</v>
      </c>
      <c r="H6548" s="5">
        <v>2925</v>
      </c>
      <c r="I6548" s="6">
        <v>1287</v>
      </c>
      <c r="J6548" s="5">
        <v>9400</v>
      </c>
      <c r="K6548" s="6">
        <f t="shared" si="268"/>
        <v>2.2727272727272729</v>
      </c>
    </row>
    <row r="6549" spans="1:11" hidden="1">
      <c r="A6549" s="4">
        <v>2026</v>
      </c>
      <c r="B6549">
        <v>8</v>
      </c>
      <c r="C6549" t="s">
        <v>54</v>
      </c>
      <c r="D6549" t="s">
        <v>11</v>
      </c>
      <c r="E6549" t="s">
        <v>100</v>
      </c>
      <c r="F6549" t="s">
        <v>70</v>
      </c>
      <c r="G6549" t="str">
        <f t="shared" si="267"/>
        <v>023COTOPAXI</v>
      </c>
      <c r="H6549" s="5">
        <v>9660</v>
      </c>
      <c r="I6549" s="6">
        <v>2641.14</v>
      </c>
      <c r="J6549" s="5">
        <v>19200</v>
      </c>
      <c r="K6549" s="6">
        <f t="shared" si="268"/>
        <v>3.6575115291124289</v>
      </c>
    </row>
    <row r="6550" spans="1:11" hidden="1">
      <c r="A6550" s="4">
        <v>2026</v>
      </c>
      <c r="B6550">
        <v>8</v>
      </c>
      <c r="C6550" t="s">
        <v>54</v>
      </c>
      <c r="D6550" t="s">
        <v>11</v>
      </c>
      <c r="E6550" t="s">
        <v>100</v>
      </c>
      <c r="F6550" t="s">
        <v>101</v>
      </c>
      <c r="G6550" t="str">
        <f t="shared" si="267"/>
        <v>023FRUTTETO</v>
      </c>
      <c r="H6550" s="5">
        <v>5760</v>
      </c>
      <c r="I6550" s="6">
        <v>2641.14</v>
      </c>
      <c r="J6550" s="5">
        <v>19200</v>
      </c>
      <c r="K6550" s="6">
        <f t="shared" si="268"/>
        <v>2.1808764397192122</v>
      </c>
    </row>
    <row r="6551" spans="1:11" hidden="1">
      <c r="A6551" s="4">
        <v>2026</v>
      </c>
      <c r="B6551">
        <v>8</v>
      </c>
      <c r="C6551" t="s">
        <v>54</v>
      </c>
      <c r="D6551" t="s">
        <v>11</v>
      </c>
      <c r="E6551" t="s">
        <v>102</v>
      </c>
      <c r="F6551" t="s">
        <v>70</v>
      </c>
      <c r="G6551" t="str">
        <f t="shared" si="267"/>
        <v>024COTOPAXI</v>
      </c>
      <c r="H6551" s="5">
        <v>4350</v>
      </c>
      <c r="I6551" s="6">
        <v>1430.6174906250001</v>
      </c>
      <c r="J6551" s="5">
        <v>10400</v>
      </c>
      <c r="K6551" s="6">
        <f t="shared" si="268"/>
        <v>3.0406450560726728</v>
      </c>
    </row>
    <row r="6552" spans="1:11" hidden="1">
      <c r="A6552" s="4">
        <v>2026</v>
      </c>
      <c r="B6552">
        <v>8</v>
      </c>
      <c r="C6552" t="s">
        <v>54</v>
      </c>
      <c r="D6552" t="s">
        <v>11</v>
      </c>
      <c r="E6552" t="s">
        <v>102</v>
      </c>
      <c r="F6552" t="s">
        <v>64</v>
      </c>
      <c r="G6552" t="str">
        <f t="shared" si="267"/>
        <v>024SWEETNESS</v>
      </c>
      <c r="H6552" s="5">
        <v>1950</v>
      </c>
      <c r="I6552" s="6">
        <v>1430.6175000000001</v>
      </c>
      <c r="J6552" s="5">
        <v>10400</v>
      </c>
      <c r="K6552" s="6">
        <f t="shared" si="268"/>
        <v>1.3630477748245076</v>
      </c>
    </row>
    <row r="6553" spans="1:11" hidden="1">
      <c r="A6553" s="4">
        <v>2026</v>
      </c>
      <c r="B6553">
        <v>8</v>
      </c>
      <c r="C6553" t="s">
        <v>54</v>
      </c>
      <c r="D6553" t="s">
        <v>11</v>
      </c>
      <c r="E6553" t="s">
        <v>102</v>
      </c>
      <c r="F6553" t="s">
        <v>97</v>
      </c>
      <c r="G6553" t="str">
        <f t="shared" si="267"/>
        <v>024TYCOON</v>
      </c>
      <c r="H6553" s="5">
        <v>5520</v>
      </c>
      <c r="I6553" s="6">
        <v>2861.2350000000001</v>
      </c>
      <c r="J6553" s="5">
        <v>20800</v>
      </c>
      <c r="K6553" s="6">
        <f t="shared" si="268"/>
        <v>1.9292368505208415</v>
      </c>
    </row>
    <row r="6554" spans="1:11" hidden="1">
      <c r="A6554" s="4">
        <v>2026</v>
      </c>
      <c r="B6554">
        <v>8</v>
      </c>
      <c r="C6554" t="s">
        <v>54</v>
      </c>
      <c r="D6554" t="s">
        <v>11</v>
      </c>
      <c r="E6554" t="s">
        <v>103</v>
      </c>
      <c r="F6554" t="s">
        <v>104</v>
      </c>
      <c r="G6554" t="str">
        <f t="shared" si="267"/>
        <v>025PINK MONDIAL</v>
      </c>
      <c r="H6554" s="5">
        <v>4550</v>
      </c>
      <c r="I6554" s="6">
        <v>3071.9505625000002</v>
      </c>
      <c r="J6554" s="5">
        <v>22400</v>
      </c>
      <c r="K6554" s="6">
        <f t="shared" si="268"/>
        <v>1.4811436276165657</v>
      </c>
    </row>
    <row r="6555" spans="1:11" hidden="1">
      <c r="A6555" s="4">
        <v>2026</v>
      </c>
      <c r="B6555">
        <v>8</v>
      </c>
      <c r="C6555" t="s">
        <v>54</v>
      </c>
      <c r="D6555" t="s">
        <v>11</v>
      </c>
      <c r="E6555" t="s">
        <v>45</v>
      </c>
      <c r="F6555" t="s">
        <v>105</v>
      </c>
      <c r="G6555" t="str">
        <f t="shared" si="267"/>
        <v>026LOLA</v>
      </c>
      <c r="H6555" s="5">
        <v>3325</v>
      </c>
      <c r="I6555" s="6">
        <v>1097.125</v>
      </c>
      <c r="J6555" s="5">
        <v>8000</v>
      </c>
      <c r="K6555" s="6">
        <f t="shared" si="268"/>
        <v>3.0306482852911016</v>
      </c>
    </row>
    <row r="6556" spans="1:11" hidden="1">
      <c r="A6556" s="4">
        <v>2026</v>
      </c>
      <c r="B6556">
        <v>8</v>
      </c>
      <c r="C6556" t="s">
        <v>54</v>
      </c>
      <c r="D6556" t="s">
        <v>11</v>
      </c>
      <c r="E6556" t="s">
        <v>45</v>
      </c>
      <c r="F6556" t="s">
        <v>106</v>
      </c>
      <c r="G6556" t="str">
        <f t="shared" si="267"/>
        <v>026PALOMA</v>
      </c>
      <c r="H6556" s="5">
        <v>4200</v>
      </c>
      <c r="I6556" s="6">
        <v>2852.5250000000001</v>
      </c>
      <c r="J6556" s="5">
        <v>20800</v>
      </c>
      <c r="K6556" s="6">
        <f t="shared" si="268"/>
        <v>1.4723797337446647</v>
      </c>
    </row>
    <row r="6557" spans="1:11" hidden="1">
      <c r="A6557" s="4">
        <v>2026</v>
      </c>
      <c r="B6557">
        <v>8</v>
      </c>
      <c r="C6557" t="s">
        <v>54</v>
      </c>
      <c r="D6557" t="s">
        <v>11</v>
      </c>
      <c r="E6557" t="s">
        <v>107</v>
      </c>
      <c r="F6557" t="s">
        <v>108</v>
      </c>
      <c r="G6557" t="str">
        <f t="shared" si="267"/>
        <v>027SATISFACTION</v>
      </c>
      <c r="H6557" s="5">
        <v>5640</v>
      </c>
      <c r="I6557" s="6">
        <v>2633.1</v>
      </c>
      <c r="J6557" s="5">
        <v>19200</v>
      </c>
      <c r="K6557" s="6">
        <f t="shared" si="268"/>
        <v>2.1419619459952148</v>
      </c>
    </row>
    <row r="6558" spans="1:11" hidden="1">
      <c r="A6558" s="4">
        <v>2026</v>
      </c>
      <c r="B6558">
        <v>8</v>
      </c>
      <c r="C6558" t="s">
        <v>54</v>
      </c>
      <c r="D6558" t="s">
        <v>11</v>
      </c>
      <c r="E6558" t="s">
        <v>107</v>
      </c>
      <c r="F6558" t="s">
        <v>109</v>
      </c>
      <c r="G6558" t="str">
        <f t="shared" si="267"/>
        <v>027TIFFANY</v>
      </c>
      <c r="H6558" s="5">
        <v>5760</v>
      </c>
      <c r="I6558" s="6">
        <v>2633.1</v>
      </c>
      <c r="J6558" s="5">
        <v>19200</v>
      </c>
      <c r="K6558" s="6">
        <f t="shared" si="268"/>
        <v>2.1875356044206451</v>
      </c>
    </row>
    <row r="6559" spans="1:11" hidden="1">
      <c r="A6559" s="4">
        <v>2026</v>
      </c>
      <c r="B6559">
        <v>8</v>
      </c>
      <c r="C6559" t="s">
        <v>54</v>
      </c>
      <c r="D6559" t="s">
        <v>11</v>
      </c>
      <c r="E6559" t="s">
        <v>110</v>
      </c>
      <c r="F6559" t="s">
        <v>70</v>
      </c>
      <c r="G6559" t="str">
        <f t="shared" si="267"/>
        <v>028COTOPAXI</v>
      </c>
      <c r="H6559" s="5">
        <v>4560</v>
      </c>
      <c r="I6559" s="6">
        <v>2852.5250000000001</v>
      </c>
      <c r="J6559" s="5">
        <v>20800</v>
      </c>
      <c r="K6559" s="6">
        <f t="shared" si="268"/>
        <v>1.598583710922779</v>
      </c>
    </row>
    <row r="6560" spans="1:11" hidden="1">
      <c r="A6560" s="4">
        <v>2026</v>
      </c>
      <c r="B6560">
        <v>8</v>
      </c>
      <c r="C6560" t="s">
        <v>54</v>
      </c>
      <c r="D6560" t="s">
        <v>11</v>
      </c>
      <c r="E6560" t="s">
        <v>110</v>
      </c>
      <c r="F6560" t="s">
        <v>67</v>
      </c>
      <c r="G6560" t="str">
        <f t="shared" si="267"/>
        <v>028DEEP PURPLE</v>
      </c>
      <c r="H6560" s="5">
        <v>10110</v>
      </c>
      <c r="I6560" s="6">
        <v>2852.5250000000001</v>
      </c>
      <c r="J6560" s="5">
        <v>20800</v>
      </c>
      <c r="K6560" s="6">
        <f t="shared" si="268"/>
        <v>3.5442283590853716</v>
      </c>
    </row>
    <row r="6561" spans="1:11" hidden="1">
      <c r="A6561" s="4">
        <v>2026</v>
      </c>
      <c r="B6561">
        <v>8</v>
      </c>
      <c r="C6561" t="s">
        <v>54</v>
      </c>
      <c r="D6561" t="s">
        <v>11</v>
      </c>
      <c r="E6561" t="s">
        <v>111</v>
      </c>
      <c r="F6561" t="s">
        <v>112</v>
      </c>
      <c r="G6561" t="str">
        <f t="shared" si="267"/>
        <v>029PINK FLOYD</v>
      </c>
      <c r="H6561" s="5">
        <v>3150</v>
      </c>
      <c r="I6561" s="6">
        <v>3071.95</v>
      </c>
      <c r="J6561" s="5">
        <v>22400</v>
      </c>
      <c r="K6561" s="6">
        <f t="shared" si="268"/>
        <v>1.0254073145721774</v>
      </c>
    </row>
    <row r="6562" spans="1:11" hidden="1">
      <c r="A6562" s="4">
        <v>2026</v>
      </c>
      <c r="B6562">
        <v>8</v>
      </c>
      <c r="C6562" t="s">
        <v>54</v>
      </c>
      <c r="D6562" t="s">
        <v>11</v>
      </c>
      <c r="E6562" t="s">
        <v>47</v>
      </c>
      <c r="F6562" t="s">
        <v>57</v>
      </c>
      <c r="G6562" t="str">
        <f t="shared" si="267"/>
        <v>030EXPLORER</v>
      </c>
      <c r="H6562" s="5">
        <v>2175</v>
      </c>
      <c r="I6562" s="6">
        <v>1645.6875</v>
      </c>
      <c r="J6562" s="5">
        <v>12000</v>
      </c>
      <c r="K6562" s="6">
        <f t="shared" si="268"/>
        <v>1.321636094337473</v>
      </c>
    </row>
    <row r="6563" spans="1:11" hidden="1">
      <c r="A6563" s="4">
        <v>2026</v>
      </c>
      <c r="B6563">
        <v>9</v>
      </c>
      <c r="C6563" t="s">
        <v>10</v>
      </c>
      <c r="D6563" t="s">
        <v>11</v>
      </c>
      <c r="E6563" t="s">
        <v>12</v>
      </c>
      <c r="F6563" t="s">
        <v>13</v>
      </c>
      <c r="G6563" t="str">
        <f t="shared" si="267"/>
        <v>002SOMERSET</v>
      </c>
      <c r="H6563" s="5">
        <v>7420</v>
      </c>
      <c r="I6563" s="6">
        <v>4121.4642855494085</v>
      </c>
      <c r="J6563" s="5">
        <v>31200</v>
      </c>
      <c r="K6563" s="6">
        <f t="shared" si="268"/>
        <v>1.800331019733896</v>
      </c>
    </row>
    <row r="6564" spans="1:11" hidden="1">
      <c r="A6564" s="4">
        <v>2026</v>
      </c>
      <c r="B6564">
        <v>9</v>
      </c>
      <c r="C6564" t="s">
        <v>10</v>
      </c>
      <c r="D6564" t="s">
        <v>11</v>
      </c>
      <c r="E6564" t="s">
        <v>14</v>
      </c>
      <c r="F6564" t="s">
        <v>15</v>
      </c>
      <c r="G6564" t="str">
        <f t="shared" si="267"/>
        <v>004BELLINA</v>
      </c>
      <c r="H6564" s="5">
        <v>885</v>
      </c>
      <c r="I6564" s="6">
        <v>1056.7857142434418</v>
      </c>
      <c r="J6564" s="5">
        <v>8000</v>
      </c>
      <c r="K6564" s="6">
        <f t="shared" si="268"/>
        <v>0.83744508283174124</v>
      </c>
    </row>
    <row r="6565" spans="1:11" hidden="1">
      <c r="A6565" s="4">
        <v>2026</v>
      </c>
      <c r="B6565">
        <v>9</v>
      </c>
      <c r="C6565" t="s">
        <v>10</v>
      </c>
      <c r="D6565" t="s">
        <v>11</v>
      </c>
      <c r="E6565" t="s">
        <v>16</v>
      </c>
      <c r="F6565" t="s">
        <v>17</v>
      </c>
      <c r="G6565" t="str">
        <f t="shared" si="267"/>
        <v>005ELBA</v>
      </c>
      <c r="H6565" s="5">
        <v>8280</v>
      </c>
      <c r="I6565" s="6">
        <v>2641.9642856076484</v>
      </c>
      <c r="J6565" s="5">
        <v>19996</v>
      </c>
      <c r="K6565" s="6">
        <f t="shared" si="268"/>
        <v>3.1340317676155149</v>
      </c>
    </row>
    <row r="6566" spans="1:11" hidden="1">
      <c r="A6566" s="4">
        <v>2026</v>
      </c>
      <c r="B6566">
        <v>9</v>
      </c>
      <c r="C6566" t="s">
        <v>10</v>
      </c>
      <c r="D6566" t="s">
        <v>11</v>
      </c>
      <c r="E6566" t="s">
        <v>16</v>
      </c>
      <c r="F6566" t="s">
        <v>18</v>
      </c>
      <c r="G6566" t="str">
        <f t="shared" si="267"/>
        <v>005HOT BUBBLES</v>
      </c>
      <c r="H6566" s="5">
        <v>1000</v>
      </c>
      <c r="I6566" s="6">
        <v>528.39285712153003</v>
      </c>
      <c r="J6566" s="5">
        <v>4000</v>
      </c>
      <c r="K6566" s="6">
        <f t="shared" si="268"/>
        <v>1.8925312606373872</v>
      </c>
    </row>
    <row r="6567" spans="1:11" hidden="1">
      <c r="A6567" s="4">
        <v>2026</v>
      </c>
      <c r="B6567">
        <v>9</v>
      </c>
      <c r="C6567" t="s">
        <v>10</v>
      </c>
      <c r="D6567" t="s">
        <v>11</v>
      </c>
      <c r="E6567" t="s">
        <v>16</v>
      </c>
      <c r="F6567" t="s">
        <v>19</v>
      </c>
      <c r="G6567" t="str">
        <f t="shared" si="267"/>
        <v>005SUSPIRO</v>
      </c>
      <c r="H6567" s="5">
        <v>2880</v>
      </c>
      <c r="I6567" s="6">
        <v>1902.2142856375078</v>
      </c>
      <c r="J6567" s="5">
        <v>14400</v>
      </c>
      <c r="K6567" s="6">
        <f t="shared" si="268"/>
        <v>1.5140250085099098</v>
      </c>
    </row>
    <row r="6568" spans="1:11" hidden="1">
      <c r="A6568" s="4">
        <v>2026</v>
      </c>
      <c r="B6568">
        <v>9</v>
      </c>
      <c r="C6568" t="s">
        <v>10</v>
      </c>
      <c r="D6568" t="s">
        <v>11</v>
      </c>
      <c r="E6568" t="s">
        <v>20</v>
      </c>
      <c r="F6568" t="s">
        <v>21</v>
      </c>
      <c r="G6568" t="str">
        <f t="shared" si="267"/>
        <v>007SNOW BUBBLES</v>
      </c>
      <c r="H6568" s="5">
        <v>720</v>
      </c>
      <c r="I6568" s="6">
        <v>634.05652706821195</v>
      </c>
      <c r="J6568" s="5">
        <v>4800</v>
      </c>
      <c r="K6568" s="6">
        <f t="shared" si="268"/>
        <v>1.1355454431313539</v>
      </c>
    </row>
    <row r="6569" spans="1:11" hidden="1">
      <c r="A6569" s="4">
        <v>2026</v>
      </c>
      <c r="B6569">
        <v>9</v>
      </c>
      <c r="C6569" t="s">
        <v>10</v>
      </c>
      <c r="D6569" t="s">
        <v>11</v>
      </c>
      <c r="E6569" t="s">
        <v>22</v>
      </c>
      <c r="F6569" t="s">
        <v>18</v>
      </c>
      <c r="G6569" t="str">
        <f t="shared" si="267"/>
        <v>009HOT BUBBLES</v>
      </c>
      <c r="H6569" s="5">
        <v>7300</v>
      </c>
      <c r="I6569" s="6">
        <v>4487.9999999102474</v>
      </c>
      <c r="J6569" s="5">
        <v>31740</v>
      </c>
      <c r="K6569" s="6">
        <f t="shared" si="268"/>
        <v>1.6265597148275375</v>
      </c>
    </row>
    <row r="6570" spans="1:11" hidden="1">
      <c r="A6570" s="4">
        <v>2026</v>
      </c>
      <c r="B6570">
        <v>9</v>
      </c>
      <c r="C6570" t="s">
        <v>10</v>
      </c>
      <c r="D6570" t="s">
        <v>11</v>
      </c>
      <c r="E6570" t="s">
        <v>23</v>
      </c>
      <c r="F6570" t="s">
        <v>24</v>
      </c>
      <c r="G6570" t="str">
        <f t="shared" si="267"/>
        <v>014FRUITY BUBBLES</v>
      </c>
      <c r="H6570" s="5">
        <v>2425</v>
      </c>
      <c r="I6570" s="6">
        <v>1702.8</v>
      </c>
      <c r="J6570" s="5">
        <v>12900</v>
      </c>
      <c r="K6570" s="6">
        <f t="shared" si="268"/>
        <v>1.4241249706365986</v>
      </c>
    </row>
    <row r="6571" spans="1:11" hidden="1">
      <c r="A6571" s="4">
        <v>2026</v>
      </c>
      <c r="B6571">
        <v>9</v>
      </c>
      <c r="C6571" t="s">
        <v>10</v>
      </c>
      <c r="D6571" t="s">
        <v>11</v>
      </c>
      <c r="E6571" t="s">
        <v>25</v>
      </c>
      <c r="F6571" t="s">
        <v>26</v>
      </c>
      <c r="G6571" t="str">
        <f t="shared" si="267"/>
        <v>015FELLINI</v>
      </c>
      <c r="H6571" s="5">
        <v>4820</v>
      </c>
      <c r="I6571" s="6">
        <v>3009.6</v>
      </c>
      <c r="J6571" s="5">
        <v>22800</v>
      </c>
      <c r="K6571" s="6">
        <f t="shared" si="268"/>
        <v>1.6015417331206805</v>
      </c>
    </row>
    <row r="6572" spans="1:11" hidden="1">
      <c r="A6572" s="4">
        <v>2026</v>
      </c>
      <c r="B6572">
        <v>9</v>
      </c>
      <c r="C6572" t="s">
        <v>10</v>
      </c>
      <c r="D6572" t="s">
        <v>11</v>
      </c>
      <c r="E6572" t="s">
        <v>27</v>
      </c>
      <c r="F6572" t="s">
        <v>28</v>
      </c>
      <c r="G6572" t="str">
        <f t="shared" si="267"/>
        <v>016GOOD PEACH</v>
      </c>
      <c r="H6572" s="5">
        <v>2460</v>
      </c>
      <c r="I6572" s="6">
        <v>1386</v>
      </c>
      <c r="J6572" s="5">
        <v>10500</v>
      </c>
      <c r="K6572" s="6">
        <f t="shared" si="268"/>
        <v>1.774891774891775</v>
      </c>
    </row>
    <row r="6573" spans="1:11" hidden="1">
      <c r="A6573" s="4">
        <v>2026</v>
      </c>
      <c r="B6573">
        <v>9</v>
      </c>
      <c r="C6573" t="s">
        <v>10</v>
      </c>
      <c r="D6573" t="s">
        <v>11</v>
      </c>
      <c r="E6573" t="s">
        <v>27</v>
      </c>
      <c r="F6573" t="s">
        <v>29</v>
      </c>
      <c r="G6573" t="str">
        <f t="shared" si="267"/>
        <v>016GOOD YELLOW</v>
      </c>
      <c r="H6573" s="5">
        <v>2160</v>
      </c>
      <c r="I6573" s="6">
        <v>1386</v>
      </c>
      <c r="J6573" s="5">
        <v>10500</v>
      </c>
      <c r="K6573" s="6">
        <f t="shared" si="268"/>
        <v>1.5584415584415585</v>
      </c>
    </row>
    <row r="6574" spans="1:11" hidden="1">
      <c r="A6574" s="4">
        <v>2026</v>
      </c>
      <c r="B6574">
        <v>9</v>
      </c>
      <c r="C6574" t="s">
        <v>10</v>
      </c>
      <c r="D6574" t="s">
        <v>11</v>
      </c>
      <c r="E6574" t="s">
        <v>30</v>
      </c>
      <c r="F6574" t="s">
        <v>31</v>
      </c>
      <c r="G6574" t="str">
        <f t="shared" ref="G6574:G6633" si="269">+E6574&amp;F6574</f>
        <v>017ORANGE STAR</v>
      </c>
      <c r="H6574" s="5">
        <v>925</v>
      </c>
      <c r="I6574" s="6">
        <v>1029.5999999999999</v>
      </c>
      <c r="J6574" s="5">
        <v>7800</v>
      </c>
      <c r="K6574" s="6">
        <f t="shared" si="268"/>
        <v>0.89840714840714853</v>
      </c>
    </row>
    <row r="6575" spans="1:11" hidden="1">
      <c r="A6575" s="4">
        <v>2026</v>
      </c>
      <c r="B6575">
        <v>9</v>
      </c>
      <c r="C6575" t="s">
        <v>10</v>
      </c>
      <c r="D6575" t="s">
        <v>11</v>
      </c>
      <c r="E6575" t="s">
        <v>32</v>
      </c>
      <c r="F6575" t="s">
        <v>33</v>
      </c>
      <c r="G6575" t="str">
        <f t="shared" si="269"/>
        <v>018COSMO</v>
      </c>
      <c r="H6575" s="5">
        <v>4375</v>
      </c>
      <c r="I6575" s="6">
        <v>2653.2</v>
      </c>
      <c r="J6575" s="5">
        <v>20100</v>
      </c>
      <c r="K6575" s="6">
        <f t="shared" si="268"/>
        <v>1.6489522086537014</v>
      </c>
    </row>
    <row r="6576" spans="1:11" hidden="1">
      <c r="A6576" s="4">
        <v>2026</v>
      </c>
      <c r="B6576">
        <v>9</v>
      </c>
      <c r="C6576" t="s">
        <v>10</v>
      </c>
      <c r="D6576" t="s">
        <v>11</v>
      </c>
      <c r="E6576" t="s">
        <v>32</v>
      </c>
      <c r="F6576" t="s">
        <v>34</v>
      </c>
      <c r="G6576" t="str">
        <f t="shared" si="269"/>
        <v>018RUBICON</v>
      </c>
      <c r="H6576" s="5">
        <v>3330</v>
      </c>
      <c r="I6576" s="6">
        <v>1768.8</v>
      </c>
      <c r="J6576" s="5">
        <v>13400</v>
      </c>
      <c r="K6576" s="6">
        <f t="shared" si="268"/>
        <v>1.8826322930800543</v>
      </c>
    </row>
    <row r="6577" spans="1:11" hidden="1">
      <c r="A6577" s="4">
        <v>2026</v>
      </c>
      <c r="B6577">
        <v>9</v>
      </c>
      <c r="C6577" t="s">
        <v>10</v>
      </c>
      <c r="D6577" t="s">
        <v>11</v>
      </c>
      <c r="E6577" t="s">
        <v>35</v>
      </c>
      <c r="F6577" t="s">
        <v>15</v>
      </c>
      <c r="G6577" t="str">
        <f t="shared" si="269"/>
        <v>019BELLINA</v>
      </c>
      <c r="H6577" s="5">
        <v>1335</v>
      </c>
      <c r="I6577" s="6">
        <v>1029.5999999999999</v>
      </c>
      <c r="J6577" s="5">
        <v>7800</v>
      </c>
      <c r="K6577" s="6">
        <f t="shared" si="268"/>
        <v>1.2966200466200468</v>
      </c>
    </row>
    <row r="6578" spans="1:11" hidden="1">
      <c r="A6578" s="4">
        <v>2026</v>
      </c>
      <c r="B6578">
        <v>9</v>
      </c>
      <c r="C6578" t="s">
        <v>10</v>
      </c>
      <c r="D6578" t="s">
        <v>11</v>
      </c>
      <c r="E6578" t="s">
        <v>36</v>
      </c>
      <c r="F6578" t="s">
        <v>37</v>
      </c>
      <c r="G6578" t="str">
        <f t="shared" si="269"/>
        <v>020SUMMER DANCE</v>
      </c>
      <c r="H6578" s="5">
        <v>2250</v>
      </c>
      <c r="I6578" s="6">
        <v>1346.4</v>
      </c>
      <c r="J6578" s="5">
        <v>10200</v>
      </c>
      <c r="K6578" s="6">
        <f t="shared" si="268"/>
        <v>1.6711229946524062</v>
      </c>
    </row>
    <row r="6579" spans="1:11" hidden="1">
      <c r="A6579" s="4">
        <v>2026</v>
      </c>
      <c r="B6579">
        <v>9</v>
      </c>
      <c r="C6579" t="s">
        <v>10</v>
      </c>
      <c r="D6579" t="s">
        <v>11</v>
      </c>
      <c r="E6579" t="s">
        <v>38</v>
      </c>
      <c r="F6579" t="s">
        <v>39</v>
      </c>
      <c r="G6579" t="str">
        <f t="shared" si="269"/>
        <v>021ELEGANT ROSEVER</v>
      </c>
      <c r="H6579" s="5">
        <v>750</v>
      </c>
      <c r="I6579" s="6">
        <v>440.18999062500001</v>
      </c>
      <c r="J6579" s="5">
        <v>3200</v>
      </c>
      <c r="K6579" s="6">
        <f t="shared" si="268"/>
        <v>1.7038097548177298</v>
      </c>
    </row>
    <row r="6580" spans="1:11" hidden="1">
      <c r="A6580" s="4">
        <v>2026</v>
      </c>
      <c r="B6580">
        <v>9</v>
      </c>
      <c r="C6580" t="s">
        <v>10</v>
      </c>
      <c r="D6580" t="s">
        <v>11</v>
      </c>
      <c r="E6580" t="s">
        <v>38</v>
      </c>
      <c r="F6580" t="s">
        <v>40</v>
      </c>
      <c r="G6580" t="str">
        <f t="shared" si="269"/>
        <v>021FLAME CLUB</v>
      </c>
      <c r="H6580" s="5">
        <v>1325</v>
      </c>
      <c r="I6580" s="6">
        <v>880.38</v>
      </c>
      <c r="J6580" s="5">
        <v>6400</v>
      </c>
      <c r="K6580" s="6">
        <f t="shared" si="268"/>
        <v>1.5050319180353937</v>
      </c>
    </row>
    <row r="6581" spans="1:11" hidden="1">
      <c r="A6581" s="4">
        <v>2026</v>
      </c>
      <c r="B6581">
        <v>9</v>
      </c>
      <c r="C6581" t="s">
        <v>10</v>
      </c>
      <c r="D6581" t="s">
        <v>11</v>
      </c>
      <c r="E6581" t="s">
        <v>38</v>
      </c>
      <c r="F6581" t="s">
        <v>41</v>
      </c>
      <c r="G6581" t="str">
        <f t="shared" si="269"/>
        <v>021KELLY</v>
      </c>
      <c r="H6581" s="5">
        <v>575</v>
      </c>
      <c r="I6581" s="6">
        <v>330.14249999999998</v>
      </c>
      <c r="J6581" s="5">
        <v>2400</v>
      </c>
      <c r="K6581" s="6">
        <f t="shared" si="268"/>
        <v>1.7416721567202043</v>
      </c>
    </row>
    <row r="6582" spans="1:11" hidden="1">
      <c r="A6582" s="4">
        <v>2026</v>
      </c>
      <c r="B6582">
        <v>9</v>
      </c>
      <c r="C6582" t="s">
        <v>10</v>
      </c>
      <c r="D6582" t="s">
        <v>11</v>
      </c>
      <c r="E6582" t="s">
        <v>38</v>
      </c>
      <c r="F6582" t="s">
        <v>42</v>
      </c>
      <c r="G6582" t="str">
        <f t="shared" si="269"/>
        <v>021LEILA</v>
      </c>
      <c r="H6582" s="5">
        <v>4950</v>
      </c>
      <c r="I6582" s="6">
        <v>1430.6175000000001</v>
      </c>
      <c r="J6582" s="5">
        <v>10400</v>
      </c>
      <c r="K6582" s="6">
        <f t="shared" si="268"/>
        <v>3.4600443514775963</v>
      </c>
    </row>
    <row r="6583" spans="1:11" hidden="1">
      <c r="A6583" s="4">
        <v>2026</v>
      </c>
      <c r="B6583">
        <v>9</v>
      </c>
      <c r="C6583" t="s">
        <v>10</v>
      </c>
      <c r="D6583" t="s">
        <v>11</v>
      </c>
      <c r="E6583" t="s">
        <v>38</v>
      </c>
      <c r="F6583" t="s">
        <v>21</v>
      </c>
      <c r="G6583" t="str">
        <f t="shared" si="269"/>
        <v>021SNOW BUBBLES</v>
      </c>
      <c r="H6583" s="5">
        <v>2020</v>
      </c>
      <c r="I6583" s="6">
        <v>1287.0000000000018</v>
      </c>
      <c r="J6583" s="5">
        <v>9400</v>
      </c>
      <c r="K6583" s="6">
        <f t="shared" ref="K6583:K6643" si="270">+H6583/I6583</f>
        <v>1.5695415695415673</v>
      </c>
    </row>
    <row r="6584" spans="1:11" hidden="1">
      <c r="A6584" s="4">
        <v>2026</v>
      </c>
      <c r="B6584">
        <v>9</v>
      </c>
      <c r="C6584" t="s">
        <v>10</v>
      </c>
      <c r="D6584" t="s">
        <v>11</v>
      </c>
      <c r="E6584" t="s">
        <v>43</v>
      </c>
      <c r="F6584" t="s">
        <v>24</v>
      </c>
      <c r="G6584" t="str">
        <f t="shared" si="269"/>
        <v>022FRUITY BUBBLES</v>
      </c>
      <c r="H6584" s="5">
        <v>3650</v>
      </c>
      <c r="I6584" s="6">
        <v>2641.14</v>
      </c>
      <c r="J6584" s="5">
        <v>19200</v>
      </c>
      <c r="K6584" s="6">
        <f t="shared" si="270"/>
        <v>1.3819789939192926</v>
      </c>
    </row>
    <row r="6585" spans="1:11" hidden="1">
      <c r="A6585" s="4">
        <v>2026</v>
      </c>
      <c r="B6585">
        <v>9</v>
      </c>
      <c r="C6585" t="s">
        <v>10</v>
      </c>
      <c r="D6585" t="s">
        <v>11</v>
      </c>
      <c r="E6585" t="s">
        <v>43</v>
      </c>
      <c r="F6585" t="s">
        <v>28</v>
      </c>
      <c r="G6585" t="str">
        <f t="shared" si="269"/>
        <v>022GOOD PEACH</v>
      </c>
      <c r="H6585" s="5">
        <v>1800</v>
      </c>
      <c r="I6585" s="6">
        <v>880.38</v>
      </c>
      <c r="J6585" s="5">
        <v>6400</v>
      </c>
      <c r="K6585" s="6">
        <f t="shared" si="270"/>
        <v>2.0445716622367613</v>
      </c>
    </row>
    <row r="6586" spans="1:11" hidden="1">
      <c r="A6586" s="4">
        <v>2026</v>
      </c>
      <c r="B6586">
        <v>9</v>
      </c>
      <c r="C6586" t="s">
        <v>10</v>
      </c>
      <c r="D6586" t="s">
        <v>11</v>
      </c>
      <c r="E6586" t="s">
        <v>43</v>
      </c>
      <c r="F6586" t="s">
        <v>44</v>
      </c>
      <c r="G6586" t="str">
        <f t="shared" si="269"/>
        <v>022MIRABEL</v>
      </c>
      <c r="H6586" s="5">
        <v>1180</v>
      </c>
      <c r="I6586" s="6">
        <v>880.38</v>
      </c>
      <c r="J6586" s="5">
        <v>6400</v>
      </c>
      <c r="K6586" s="6">
        <f t="shared" si="270"/>
        <v>1.3403303119107659</v>
      </c>
    </row>
    <row r="6587" spans="1:11" hidden="1">
      <c r="A6587" s="4">
        <v>2026</v>
      </c>
      <c r="B6587">
        <v>9</v>
      </c>
      <c r="C6587" t="s">
        <v>10</v>
      </c>
      <c r="D6587" t="s">
        <v>11</v>
      </c>
      <c r="E6587" t="s">
        <v>47</v>
      </c>
      <c r="F6587" t="s">
        <v>44</v>
      </c>
      <c r="G6587" t="str">
        <f t="shared" si="269"/>
        <v>030MIRABEL</v>
      </c>
      <c r="H6587" s="5">
        <v>4420</v>
      </c>
      <c r="I6587" s="6">
        <v>2413.6749943750001</v>
      </c>
      <c r="J6587" s="5">
        <v>17600</v>
      </c>
      <c r="K6587" s="6">
        <f t="shared" si="270"/>
        <v>1.8312324609985531</v>
      </c>
    </row>
    <row r="6588" spans="1:11" hidden="1">
      <c r="A6588" s="4">
        <v>2026</v>
      </c>
      <c r="B6588">
        <v>9</v>
      </c>
      <c r="C6588" t="s">
        <v>10</v>
      </c>
      <c r="D6588" t="s">
        <v>11</v>
      </c>
      <c r="E6588" t="s">
        <v>47</v>
      </c>
      <c r="F6588" t="s">
        <v>13</v>
      </c>
      <c r="G6588" t="str">
        <f t="shared" si="269"/>
        <v>030SOMERSET</v>
      </c>
      <c r="H6588" s="5">
        <v>2700</v>
      </c>
      <c r="I6588" s="6">
        <v>1645.6875</v>
      </c>
      <c r="J6588" s="5">
        <v>12000</v>
      </c>
      <c r="K6588" s="6">
        <f t="shared" si="270"/>
        <v>1.6406517033154837</v>
      </c>
    </row>
    <row r="6589" spans="1:11" hidden="1">
      <c r="A6589" s="4">
        <v>2026</v>
      </c>
      <c r="B6589">
        <v>9</v>
      </c>
      <c r="C6589" t="s">
        <v>10</v>
      </c>
      <c r="D6589" t="s">
        <v>11</v>
      </c>
      <c r="E6589" t="s">
        <v>48</v>
      </c>
      <c r="F6589" t="s">
        <v>49</v>
      </c>
      <c r="G6589" t="str">
        <f t="shared" si="269"/>
        <v>03182989</v>
      </c>
      <c r="H6589" s="5">
        <v>1700</v>
      </c>
      <c r="I6589" s="6">
        <v>726.32013058333712</v>
      </c>
      <c r="J6589" s="5">
        <v>5712</v>
      </c>
      <c r="K6589" s="6">
        <f t="shared" si="270"/>
        <v>2.3405657208408379</v>
      </c>
    </row>
    <row r="6590" spans="1:11" hidden="1">
      <c r="A6590" s="4">
        <v>2026</v>
      </c>
      <c r="B6590">
        <v>9</v>
      </c>
      <c r="C6590" t="s">
        <v>10</v>
      </c>
      <c r="D6590" t="s">
        <v>11</v>
      </c>
      <c r="E6590" t="s">
        <v>48</v>
      </c>
      <c r="F6590" t="s">
        <v>34</v>
      </c>
      <c r="G6590" t="str">
        <f t="shared" si="269"/>
        <v>031RUBICON</v>
      </c>
      <c r="H6590" s="5">
        <v>2040</v>
      </c>
      <c r="I6590" s="6">
        <v>924.39958333667107</v>
      </c>
      <c r="J6590" s="5">
        <v>6720</v>
      </c>
      <c r="K6590" s="6">
        <f t="shared" si="270"/>
        <v>2.206837861865437</v>
      </c>
    </row>
    <row r="6591" spans="1:11" hidden="1">
      <c r="A6591" s="4">
        <v>2026</v>
      </c>
      <c r="B6591">
        <v>9</v>
      </c>
      <c r="C6591" t="s">
        <v>10</v>
      </c>
      <c r="D6591" t="s">
        <v>11</v>
      </c>
      <c r="E6591" t="s">
        <v>48</v>
      </c>
      <c r="F6591" t="s">
        <v>13</v>
      </c>
      <c r="G6591" t="str">
        <f t="shared" si="269"/>
        <v>031SOMERSET</v>
      </c>
      <c r="H6591" s="5">
        <v>3380</v>
      </c>
      <c r="I6591" s="6">
        <v>1122.485208333339</v>
      </c>
      <c r="J6591" s="5">
        <v>8160</v>
      </c>
      <c r="K6591" s="6">
        <f t="shared" si="270"/>
        <v>3.0111755370198678</v>
      </c>
    </row>
    <row r="6592" spans="1:11" hidden="1">
      <c r="A6592" s="4">
        <v>2026</v>
      </c>
      <c r="B6592">
        <v>9</v>
      </c>
      <c r="C6592" t="s">
        <v>10</v>
      </c>
      <c r="D6592" t="s">
        <v>11</v>
      </c>
      <c r="E6592" t="s">
        <v>48</v>
      </c>
      <c r="F6592" t="s">
        <v>50</v>
      </c>
      <c r="G6592" t="str">
        <f t="shared" si="269"/>
        <v>031VELVET BLOSSOMS</v>
      </c>
      <c r="H6592" s="5">
        <v>580</v>
      </c>
      <c r="I6592" s="6">
        <v>396.17125000000198</v>
      </c>
      <c r="J6592" s="5">
        <v>2880</v>
      </c>
      <c r="K6592" s="6">
        <f t="shared" si="270"/>
        <v>1.4640133528114347</v>
      </c>
    </row>
    <row r="6593" spans="1:11" hidden="1">
      <c r="A6593" s="4">
        <v>2026</v>
      </c>
      <c r="B6593">
        <v>9</v>
      </c>
      <c r="C6593" t="s">
        <v>10</v>
      </c>
      <c r="D6593" t="s">
        <v>11</v>
      </c>
      <c r="E6593" t="s">
        <v>51</v>
      </c>
      <c r="F6593" t="s">
        <v>17</v>
      </c>
      <c r="G6593" t="str">
        <f t="shared" si="269"/>
        <v>032ELBA</v>
      </c>
      <c r="H6593" s="5">
        <v>2610</v>
      </c>
      <c r="I6593" s="6">
        <v>1535.9749999999999</v>
      </c>
      <c r="J6593" s="5">
        <v>11200</v>
      </c>
      <c r="K6593" s="6">
        <f t="shared" si="270"/>
        <v>1.6992464070053224</v>
      </c>
    </row>
    <row r="6594" spans="1:11" hidden="1">
      <c r="A6594" s="4">
        <v>2026</v>
      </c>
      <c r="B6594">
        <v>9</v>
      </c>
      <c r="C6594" t="s">
        <v>10</v>
      </c>
      <c r="D6594" t="s">
        <v>11</v>
      </c>
      <c r="E6594" t="s">
        <v>51</v>
      </c>
      <c r="F6594" t="s">
        <v>44</v>
      </c>
      <c r="G6594" t="str">
        <f t="shared" si="269"/>
        <v>032MIRABEL</v>
      </c>
      <c r="H6594" s="5">
        <v>1640</v>
      </c>
      <c r="I6594" s="6">
        <v>1535.9749999999999</v>
      </c>
      <c r="J6594" s="5">
        <v>11200</v>
      </c>
      <c r="K6594" s="6">
        <f t="shared" si="270"/>
        <v>1.0677257116815053</v>
      </c>
    </row>
    <row r="6595" spans="1:11" hidden="1">
      <c r="A6595" s="4">
        <v>2026</v>
      </c>
      <c r="B6595">
        <v>9</v>
      </c>
      <c r="C6595" t="s">
        <v>10</v>
      </c>
      <c r="D6595" t="s">
        <v>11</v>
      </c>
      <c r="E6595" t="s">
        <v>52</v>
      </c>
      <c r="F6595" t="s">
        <v>53</v>
      </c>
      <c r="G6595" t="str">
        <f t="shared" si="269"/>
        <v>033CREAMY FOLIES</v>
      </c>
      <c r="H6595" s="5">
        <v>900</v>
      </c>
      <c r="I6595" s="6">
        <v>594.25687500000299</v>
      </c>
      <c r="J6595" s="5">
        <v>4320</v>
      </c>
      <c r="K6595" s="6">
        <f t="shared" si="270"/>
        <v>1.5144965718738979</v>
      </c>
    </row>
    <row r="6596" spans="1:11" hidden="1">
      <c r="A6596" s="4">
        <v>2026</v>
      </c>
      <c r="B6596">
        <v>9</v>
      </c>
      <c r="C6596" t="s">
        <v>10</v>
      </c>
      <c r="D6596" t="s">
        <v>11</v>
      </c>
      <c r="E6596" t="s">
        <v>52</v>
      </c>
      <c r="F6596" t="s">
        <v>18</v>
      </c>
      <c r="G6596" t="str">
        <f t="shared" si="269"/>
        <v>033HOT BUBBLES</v>
      </c>
      <c r="H6596" s="5">
        <v>2340</v>
      </c>
      <c r="I6596" s="6">
        <v>2575.1131250013459</v>
      </c>
      <c r="J6596" s="5">
        <v>18720</v>
      </c>
      <c r="K6596" s="6">
        <f t="shared" si="270"/>
        <v>0.90869794312386842</v>
      </c>
    </row>
    <row r="6597" spans="1:11" hidden="1">
      <c r="A6597" s="4">
        <v>2026</v>
      </c>
      <c r="B6597">
        <v>9</v>
      </c>
      <c r="C6597" t="s">
        <v>54</v>
      </c>
      <c r="D6597" t="s">
        <v>11</v>
      </c>
      <c r="E6597" t="s">
        <v>55</v>
      </c>
      <c r="F6597" t="s">
        <v>56</v>
      </c>
      <c r="G6597" t="str">
        <f t="shared" si="269"/>
        <v>001BELIEVE IN PINK</v>
      </c>
      <c r="H6597" s="5">
        <v>1740</v>
      </c>
      <c r="I6597" s="6">
        <v>528.37931032368999</v>
      </c>
      <c r="J6597" s="5">
        <v>4000</v>
      </c>
      <c r="K6597" s="6">
        <f t="shared" ref="K6597:K6602" si="271">IFERROR(H6597/I6597,"")</f>
        <v>3.2930888208587503</v>
      </c>
    </row>
    <row r="6598" spans="1:11" hidden="1">
      <c r="A6598" s="4">
        <v>2026</v>
      </c>
      <c r="B6598">
        <v>9</v>
      </c>
      <c r="C6598" t="s">
        <v>54</v>
      </c>
      <c r="D6598" t="s">
        <v>11</v>
      </c>
      <c r="E6598" t="s">
        <v>55</v>
      </c>
      <c r="F6598" t="s">
        <v>57</v>
      </c>
      <c r="G6598" t="str">
        <f t="shared" si="269"/>
        <v>001EXPLORER</v>
      </c>
      <c r="H6598" s="5">
        <v>4175</v>
      </c>
      <c r="I6598" s="6">
        <v>2272.0310343918732</v>
      </c>
      <c r="J6598" s="5">
        <v>17200</v>
      </c>
      <c r="K6598" s="6">
        <f t="shared" si="271"/>
        <v>1.8375629279718317</v>
      </c>
    </row>
    <row r="6599" spans="1:11" hidden="1">
      <c r="A6599" s="4">
        <v>2026</v>
      </c>
      <c r="B6599">
        <v>9</v>
      </c>
      <c r="C6599" t="s">
        <v>54</v>
      </c>
      <c r="D6599" t="s">
        <v>11</v>
      </c>
      <c r="E6599" t="s">
        <v>55</v>
      </c>
      <c r="F6599" t="s">
        <v>58</v>
      </c>
      <c r="G6599" t="str">
        <f t="shared" si="269"/>
        <v>001GRACE KELLY</v>
      </c>
      <c r="H6599" s="5">
        <v>2460</v>
      </c>
      <c r="I6599" s="6">
        <v>1162.4344827121224</v>
      </c>
      <c r="J6599" s="5">
        <v>8800</v>
      </c>
      <c r="K6599" s="6">
        <f t="shared" si="271"/>
        <v>2.1162483018057721</v>
      </c>
    </row>
    <row r="6600" spans="1:11" hidden="1">
      <c r="A6600" s="4">
        <v>2026</v>
      </c>
      <c r="B6600">
        <v>9</v>
      </c>
      <c r="C6600" t="s">
        <v>54</v>
      </c>
      <c r="D6600" t="s">
        <v>11</v>
      </c>
      <c r="E6600" t="s">
        <v>55</v>
      </c>
      <c r="F6600" t="s">
        <v>60</v>
      </c>
      <c r="G6600" t="str">
        <f t="shared" si="269"/>
        <v>001LIGHT HOUSE</v>
      </c>
      <c r="H6600" s="5">
        <v>2160</v>
      </c>
      <c r="I6600" s="6">
        <v>1056.7586206473827</v>
      </c>
      <c r="J6600" s="5">
        <v>8000</v>
      </c>
      <c r="K6600" s="6">
        <f t="shared" si="271"/>
        <v>2.0439861646709434</v>
      </c>
    </row>
    <row r="6601" spans="1:11" hidden="1">
      <c r="A6601" s="4">
        <v>2026</v>
      </c>
      <c r="B6601">
        <v>9</v>
      </c>
      <c r="C6601" t="s">
        <v>54</v>
      </c>
      <c r="D6601" t="s">
        <v>11</v>
      </c>
      <c r="E6601" t="s">
        <v>55</v>
      </c>
      <c r="F6601" t="s">
        <v>61</v>
      </c>
      <c r="G6601" t="str">
        <f t="shared" si="269"/>
        <v>001LUMIA</v>
      </c>
      <c r="H6601" s="5">
        <v>1500</v>
      </c>
      <c r="I6601" s="6">
        <v>1109.596551679753</v>
      </c>
      <c r="J6601" s="5">
        <v>8400</v>
      </c>
      <c r="K6601" s="6">
        <f t="shared" si="271"/>
        <v>1.3518427015019452</v>
      </c>
    </row>
    <row r="6602" spans="1:11" hidden="1">
      <c r="A6602" s="4">
        <v>2026</v>
      </c>
      <c r="B6602">
        <v>9</v>
      </c>
      <c r="C6602" t="s">
        <v>54</v>
      </c>
      <c r="D6602" t="s">
        <v>11</v>
      </c>
      <c r="E6602" t="s">
        <v>55</v>
      </c>
      <c r="F6602" t="s">
        <v>62</v>
      </c>
      <c r="G6602" t="str">
        <f t="shared" si="269"/>
        <v>001MOMENTUM</v>
      </c>
      <c r="H6602" s="5">
        <v>4925</v>
      </c>
      <c r="I6602" s="6">
        <v>1902.1655171652881</v>
      </c>
      <c r="J6602" s="5">
        <v>14400</v>
      </c>
      <c r="K6602" s="6">
        <f t="shared" si="271"/>
        <v>2.5891542852377571</v>
      </c>
    </row>
    <row r="6603" spans="1:11" hidden="1">
      <c r="A6603" s="4">
        <v>2026</v>
      </c>
      <c r="B6603">
        <v>9</v>
      </c>
      <c r="C6603" t="s">
        <v>54</v>
      </c>
      <c r="D6603" t="s">
        <v>11</v>
      </c>
      <c r="E6603" t="s">
        <v>12</v>
      </c>
      <c r="F6603" t="s">
        <v>63</v>
      </c>
      <c r="G6603" t="str">
        <f t="shared" si="269"/>
        <v>002SUMMER ROMANCE</v>
      </c>
      <c r="H6603" s="5">
        <v>1550</v>
      </c>
      <c r="I6603" s="6">
        <v>951.10714281909407</v>
      </c>
      <c r="J6603" s="5">
        <v>7200</v>
      </c>
      <c r="K6603" s="6">
        <f t="shared" si="270"/>
        <v>1.6296796966593896</v>
      </c>
    </row>
    <row r="6604" spans="1:11" hidden="1">
      <c r="A6604" s="4">
        <v>2026</v>
      </c>
      <c r="B6604">
        <v>9</v>
      </c>
      <c r="C6604" t="s">
        <v>54</v>
      </c>
      <c r="D6604" t="s">
        <v>11</v>
      </c>
      <c r="E6604" t="s">
        <v>12</v>
      </c>
      <c r="F6604" t="s">
        <v>64</v>
      </c>
      <c r="G6604" t="str">
        <f t="shared" si="269"/>
        <v>002SWEETNESS</v>
      </c>
      <c r="H6604" s="5">
        <v>6180</v>
      </c>
      <c r="I6604" s="6">
        <v>3804.4285712763772</v>
      </c>
      <c r="J6604" s="5">
        <v>28800</v>
      </c>
      <c r="K6604" s="6">
        <f t="shared" si="270"/>
        <v>1.6244226653798428</v>
      </c>
    </row>
    <row r="6605" spans="1:11" hidden="1">
      <c r="A6605" s="4">
        <v>2026</v>
      </c>
      <c r="B6605">
        <v>9</v>
      </c>
      <c r="C6605" t="s">
        <v>54</v>
      </c>
      <c r="D6605" t="s">
        <v>11</v>
      </c>
      <c r="E6605" t="s">
        <v>65</v>
      </c>
      <c r="F6605" t="s">
        <v>66</v>
      </c>
      <c r="G6605" t="str">
        <f t="shared" si="269"/>
        <v>003CABARET</v>
      </c>
      <c r="H6605" s="5">
        <v>4650</v>
      </c>
      <c r="I6605" s="6">
        <v>2641.8965516184649</v>
      </c>
      <c r="J6605" s="5">
        <v>20000</v>
      </c>
      <c r="K6605" s="6">
        <f t="shared" si="270"/>
        <v>1.7600991973555291</v>
      </c>
    </row>
    <row r="6606" spans="1:11" hidden="1">
      <c r="A6606" s="4">
        <v>2026</v>
      </c>
      <c r="B6606">
        <v>9</v>
      </c>
      <c r="C6606" t="s">
        <v>54</v>
      </c>
      <c r="D6606" t="s">
        <v>11</v>
      </c>
      <c r="E6606" t="s">
        <v>65</v>
      </c>
      <c r="F6606" t="s">
        <v>67</v>
      </c>
      <c r="G6606" t="str">
        <f t="shared" si="269"/>
        <v>003DEEP PURPLE</v>
      </c>
      <c r="H6606" s="5">
        <v>11190</v>
      </c>
      <c r="I6606" s="6">
        <v>3592.9793102010913</v>
      </c>
      <c r="J6606" s="5">
        <v>26044</v>
      </c>
      <c r="K6606" s="6">
        <f t="shared" si="270"/>
        <v>3.114407023783758</v>
      </c>
    </row>
    <row r="6607" spans="1:11" hidden="1">
      <c r="A6607" s="4">
        <v>2026</v>
      </c>
      <c r="B6607">
        <v>9</v>
      </c>
      <c r="C6607" t="s">
        <v>54</v>
      </c>
      <c r="D6607" t="s">
        <v>11</v>
      </c>
      <c r="E6607" t="s">
        <v>65</v>
      </c>
      <c r="F6607" t="s">
        <v>57</v>
      </c>
      <c r="G6607" t="str">
        <f t="shared" si="269"/>
        <v>003EXPLORER</v>
      </c>
      <c r="H6607" s="5">
        <v>2175</v>
      </c>
      <c r="I6607" s="6">
        <v>1268.1103447768633</v>
      </c>
      <c r="J6607" s="5">
        <v>9600</v>
      </c>
      <c r="K6607" s="6">
        <f t="shared" si="270"/>
        <v>1.7151504275305893</v>
      </c>
    </row>
    <row r="6608" spans="1:11" hidden="1">
      <c r="A6608" s="4">
        <v>2026</v>
      </c>
      <c r="B6608">
        <v>9</v>
      </c>
      <c r="C6608" t="s">
        <v>54</v>
      </c>
      <c r="D6608" t="s">
        <v>11</v>
      </c>
      <c r="E6608" t="s">
        <v>65</v>
      </c>
      <c r="F6608" t="s">
        <v>68</v>
      </c>
      <c r="G6608" t="str">
        <f t="shared" si="269"/>
        <v>003JOCKER</v>
      </c>
      <c r="H6608" s="5">
        <v>1000</v>
      </c>
      <c r="I6608" s="6">
        <v>528.37931032368999</v>
      </c>
      <c r="J6608" s="5">
        <v>4000</v>
      </c>
      <c r="K6608" s="6">
        <f t="shared" si="270"/>
        <v>1.8925797821027301</v>
      </c>
    </row>
    <row r="6609" spans="1:11" hidden="1">
      <c r="A6609" s="4">
        <v>2026</v>
      </c>
      <c r="B6609">
        <v>9</v>
      </c>
      <c r="C6609" t="s">
        <v>54</v>
      </c>
      <c r="D6609" t="s">
        <v>11</v>
      </c>
      <c r="E6609" t="s">
        <v>65</v>
      </c>
      <c r="F6609" t="s">
        <v>69</v>
      </c>
      <c r="G6609" t="str">
        <f t="shared" si="269"/>
        <v>003QUICKSAND</v>
      </c>
      <c r="H6609" s="5">
        <v>3240</v>
      </c>
      <c r="I6609" s="6">
        <v>1162.4344827121247</v>
      </c>
      <c r="J6609" s="5">
        <v>8800</v>
      </c>
      <c r="K6609" s="6">
        <f t="shared" si="270"/>
        <v>2.7872538609149138</v>
      </c>
    </row>
    <row r="6610" spans="1:11" hidden="1">
      <c r="A6610" s="4">
        <v>2026</v>
      </c>
      <c r="B6610">
        <v>9</v>
      </c>
      <c r="C6610" t="s">
        <v>54</v>
      </c>
      <c r="D6610" t="s">
        <v>11</v>
      </c>
      <c r="E6610" t="s">
        <v>14</v>
      </c>
      <c r="F6610" t="s">
        <v>70</v>
      </c>
      <c r="G6610" t="str">
        <f t="shared" si="269"/>
        <v>004COTOPAXI</v>
      </c>
      <c r="H6610" s="5">
        <v>480</v>
      </c>
      <c r="I6610" s="6">
        <v>528.3915024419166</v>
      </c>
      <c r="J6610" s="5">
        <v>4000</v>
      </c>
      <c r="K6610" s="6">
        <f t="shared" si="270"/>
        <v>0.9084173340822489</v>
      </c>
    </row>
    <row r="6611" spans="1:11" hidden="1">
      <c r="A6611" s="4">
        <v>2026</v>
      </c>
      <c r="B6611">
        <v>9</v>
      </c>
      <c r="C6611" t="s">
        <v>54</v>
      </c>
      <c r="D6611" t="s">
        <v>11</v>
      </c>
      <c r="E6611" t="s">
        <v>14</v>
      </c>
      <c r="F6611" t="s">
        <v>67</v>
      </c>
      <c r="G6611" t="str">
        <f t="shared" si="269"/>
        <v>004DEEP PURPLE</v>
      </c>
      <c r="H6611" s="5">
        <v>9180</v>
      </c>
      <c r="I6611" s="6">
        <v>3910.1071427007282</v>
      </c>
      <c r="J6611" s="5">
        <v>29260</v>
      </c>
      <c r="K6611" s="6">
        <f t="shared" si="270"/>
        <v>2.3477617530601305</v>
      </c>
    </row>
    <row r="6612" spans="1:11" hidden="1">
      <c r="A6612" s="4">
        <v>2026</v>
      </c>
      <c r="B6612">
        <v>9</v>
      </c>
      <c r="C6612" t="s">
        <v>54</v>
      </c>
      <c r="D6612" t="s">
        <v>11</v>
      </c>
      <c r="E6612" t="s">
        <v>14</v>
      </c>
      <c r="F6612" t="s">
        <v>71</v>
      </c>
      <c r="G6612" t="str">
        <f t="shared" si="269"/>
        <v>004HOT EXPLORER</v>
      </c>
      <c r="H6612" s="5">
        <v>3050</v>
      </c>
      <c r="I6612" s="6">
        <v>1902.2142856381945</v>
      </c>
      <c r="J6612" s="5">
        <v>14400</v>
      </c>
      <c r="K6612" s="6">
        <f t="shared" si="270"/>
        <v>1.6033945402616523</v>
      </c>
    </row>
    <row r="6613" spans="1:11" hidden="1">
      <c r="A6613" s="4">
        <v>2026</v>
      </c>
      <c r="B6613">
        <v>9</v>
      </c>
      <c r="C6613" t="s">
        <v>54</v>
      </c>
      <c r="D6613" t="s">
        <v>11</v>
      </c>
      <c r="E6613" t="s">
        <v>14</v>
      </c>
      <c r="F6613" t="s">
        <v>72</v>
      </c>
      <c r="G6613" t="str">
        <f t="shared" si="269"/>
        <v>004HOT MERENGUE</v>
      </c>
      <c r="H6613" s="5">
        <v>2580</v>
      </c>
      <c r="I6613" s="6">
        <v>1162.4642856677858</v>
      </c>
      <c r="J6613" s="5">
        <v>8800</v>
      </c>
      <c r="K6613" s="6">
        <f t="shared" si="270"/>
        <v>2.2194230238375892</v>
      </c>
    </row>
    <row r="6614" spans="1:11" hidden="1">
      <c r="A6614" s="4">
        <v>2026</v>
      </c>
      <c r="B6614">
        <v>9</v>
      </c>
      <c r="C6614" t="s">
        <v>54</v>
      </c>
      <c r="D6614" t="s">
        <v>11</v>
      </c>
      <c r="E6614" t="s">
        <v>14</v>
      </c>
      <c r="F6614" t="s">
        <v>64</v>
      </c>
      <c r="G6614" t="str">
        <f t="shared" si="269"/>
        <v>004SWEETNESS</v>
      </c>
      <c r="H6614" s="5">
        <v>480</v>
      </c>
      <c r="I6614" s="6">
        <v>317.03571427303262</v>
      </c>
      <c r="J6614" s="5">
        <v>2400</v>
      </c>
      <c r="K6614" s="6">
        <f t="shared" si="270"/>
        <v>1.5140250085093623</v>
      </c>
    </row>
    <row r="6615" spans="1:11" hidden="1">
      <c r="A6615" s="4">
        <v>2026</v>
      </c>
      <c r="B6615">
        <v>9</v>
      </c>
      <c r="C6615" t="s">
        <v>54</v>
      </c>
      <c r="D6615" t="s">
        <v>11</v>
      </c>
      <c r="E6615" t="s">
        <v>16</v>
      </c>
      <c r="F6615" t="s">
        <v>57</v>
      </c>
      <c r="G6615" t="str">
        <f t="shared" si="269"/>
        <v>005EXPLORER</v>
      </c>
      <c r="H6615" s="5">
        <v>1400</v>
      </c>
      <c r="I6615" s="6">
        <v>951.10714281875391</v>
      </c>
      <c r="J6615" s="5">
        <v>7200</v>
      </c>
      <c r="K6615" s="6">
        <f t="shared" si="270"/>
        <v>1.4719687582735235</v>
      </c>
    </row>
    <row r="6616" spans="1:11" hidden="1">
      <c r="A6616" s="4">
        <v>2026</v>
      </c>
      <c r="B6616">
        <v>9</v>
      </c>
      <c r="C6616" t="s">
        <v>54</v>
      </c>
      <c r="D6616" t="s">
        <v>11</v>
      </c>
      <c r="E6616" t="s">
        <v>16</v>
      </c>
      <c r="F6616" t="s">
        <v>73</v>
      </c>
      <c r="G6616" t="str">
        <f t="shared" si="269"/>
        <v>005GOLDFINCH</v>
      </c>
      <c r="H6616" s="5">
        <v>975</v>
      </c>
      <c r="I6616" s="6">
        <v>898.26785710660101</v>
      </c>
      <c r="J6616" s="5">
        <v>6800</v>
      </c>
      <c r="K6616" s="6">
        <f t="shared" si="270"/>
        <v>1.0854223406596779</v>
      </c>
    </row>
    <row r="6617" spans="1:11" hidden="1">
      <c r="A6617" s="4">
        <v>2026</v>
      </c>
      <c r="B6617">
        <v>9</v>
      </c>
      <c r="C6617" t="s">
        <v>54</v>
      </c>
      <c r="D6617" t="s">
        <v>11</v>
      </c>
      <c r="E6617" t="s">
        <v>16</v>
      </c>
      <c r="F6617" t="s">
        <v>68</v>
      </c>
      <c r="G6617" t="str">
        <f t="shared" si="269"/>
        <v>005JOCKER</v>
      </c>
      <c r="H6617" s="5">
        <v>1650</v>
      </c>
      <c r="I6617" s="6">
        <v>1162.4642856673661</v>
      </c>
      <c r="J6617" s="5">
        <v>8800</v>
      </c>
      <c r="K6617" s="6">
        <f t="shared" si="270"/>
        <v>1.4193984454780404</v>
      </c>
    </row>
    <row r="6618" spans="1:11" hidden="1">
      <c r="A6618" s="4">
        <v>2026</v>
      </c>
      <c r="B6618">
        <v>9</v>
      </c>
      <c r="C6618" t="s">
        <v>54</v>
      </c>
      <c r="D6618" t="s">
        <v>11</v>
      </c>
      <c r="E6618" t="s">
        <v>16</v>
      </c>
      <c r="F6618" t="s">
        <v>74</v>
      </c>
      <c r="G6618" t="str">
        <f t="shared" si="269"/>
        <v>005VENDELA</v>
      </c>
      <c r="H6618" s="5">
        <v>1920</v>
      </c>
      <c r="I6618" s="6">
        <v>686.91071425798896</v>
      </c>
      <c r="J6618" s="5">
        <v>5200</v>
      </c>
      <c r="K6618" s="6">
        <f t="shared" si="270"/>
        <v>2.7951230926336796</v>
      </c>
    </row>
    <row r="6619" spans="1:11" hidden="1">
      <c r="A6619" s="4">
        <v>2026</v>
      </c>
      <c r="B6619">
        <v>9</v>
      </c>
      <c r="C6619" t="s">
        <v>54</v>
      </c>
      <c r="D6619" t="s">
        <v>11</v>
      </c>
      <c r="E6619" t="s">
        <v>75</v>
      </c>
      <c r="F6619" t="s">
        <v>76</v>
      </c>
      <c r="G6619" t="str">
        <f t="shared" si="269"/>
        <v>006ATOMIC</v>
      </c>
      <c r="H6619" s="5">
        <v>1500</v>
      </c>
      <c r="I6619" s="6">
        <v>845.428571394752</v>
      </c>
      <c r="J6619" s="5">
        <v>6400</v>
      </c>
      <c r="K6619" s="6">
        <f t="shared" si="270"/>
        <v>1.7742480568469126</v>
      </c>
    </row>
    <row r="6620" spans="1:11" hidden="1">
      <c r="A6620" s="4">
        <v>2026</v>
      </c>
      <c r="B6620">
        <v>9</v>
      </c>
      <c r="C6620" t="s">
        <v>54</v>
      </c>
      <c r="D6620" t="s">
        <v>11</v>
      </c>
      <c r="E6620" t="s">
        <v>75</v>
      </c>
      <c r="F6620" t="s">
        <v>57</v>
      </c>
      <c r="G6620" t="str">
        <f t="shared" si="269"/>
        <v>006EXPLORER</v>
      </c>
      <c r="H6620" s="5">
        <v>5800</v>
      </c>
      <c r="I6620" s="6">
        <v>3910.1071427007355</v>
      </c>
      <c r="J6620" s="5">
        <v>29600</v>
      </c>
      <c r="K6620" s="6">
        <f t="shared" si="270"/>
        <v>1.4833353123909294</v>
      </c>
    </row>
    <row r="6621" spans="1:11" hidden="1">
      <c r="A6621" s="4">
        <v>2026</v>
      </c>
      <c r="B6621">
        <v>9</v>
      </c>
      <c r="C6621" t="s">
        <v>54</v>
      </c>
      <c r="D6621" t="s">
        <v>11</v>
      </c>
      <c r="E6621" t="s">
        <v>75</v>
      </c>
      <c r="F6621" t="s">
        <v>77</v>
      </c>
      <c r="G6621" t="str">
        <f t="shared" si="269"/>
        <v>006MONDIAL</v>
      </c>
      <c r="H6621" s="5">
        <v>6300</v>
      </c>
      <c r="I6621" s="6">
        <v>4015.7857141250793</v>
      </c>
      <c r="J6621" s="5">
        <v>30400</v>
      </c>
      <c r="K6621" s="6">
        <f t="shared" si="270"/>
        <v>1.5688088081593725</v>
      </c>
    </row>
    <row r="6622" spans="1:11" hidden="1">
      <c r="A6622" s="4">
        <v>2026</v>
      </c>
      <c r="B6622">
        <v>9</v>
      </c>
      <c r="C6622" t="s">
        <v>54</v>
      </c>
      <c r="D6622" t="s">
        <v>11</v>
      </c>
      <c r="E6622" t="s">
        <v>20</v>
      </c>
      <c r="F6622" t="s">
        <v>70</v>
      </c>
      <c r="G6622" t="str">
        <f t="shared" si="269"/>
        <v>007COTOPAXI</v>
      </c>
      <c r="H6622" s="5">
        <v>4440</v>
      </c>
      <c r="I6622" s="6">
        <v>2747.5751230427709</v>
      </c>
      <c r="J6622" s="5">
        <v>20800</v>
      </c>
      <c r="K6622" s="6">
        <f t="shared" si="270"/>
        <v>1.6159703742997107</v>
      </c>
    </row>
    <row r="6623" spans="1:11" hidden="1">
      <c r="A6623" s="4">
        <v>2026</v>
      </c>
      <c r="B6623">
        <v>9</v>
      </c>
      <c r="C6623" t="s">
        <v>54</v>
      </c>
      <c r="D6623" t="s">
        <v>11</v>
      </c>
      <c r="E6623" t="s">
        <v>20</v>
      </c>
      <c r="F6623" t="s">
        <v>78</v>
      </c>
      <c r="G6623" t="str">
        <f t="shared" si="269"/>
        <v>007REDIANT</v>
      </c>
      <c r="H6623" s="5">
        <v>1650</v>
      </c>
      <c r="I6623" s="6">
        <v>1056.75862064738</v>
      </c>
      <c r="J6623" s="5">
        <v>9600</v>
      </c>
      <c r="K6623" s="6">
        <f t="shared" si="270"/>
        <v>1.5613783202347522</v>
      </c>
    </row>
    <row r="6624" spans="1:11" hidden="1">
      <c r="A6624" s="4">
        <v>2026</v>
      </c>
      <c r="B6624">
        <v>9</v>
      </c>
      <c r="C6624" t="s">
        <v>54</v>
      </c>
      <c r="D6624" t="s">
        <v>11</v>
      </c>
      <c r="E6624" t="s">
        <v>20</v>
      </c>
      <c r="F6624" t="s">
        <v>63</v>
      </c>
      <c r="G6624" t="str">
        <f t="shared" si="269"/>
        <v>007SUMMER ROMANCE</v>
      </c>
      <c r="H6624" s="5">
        <v>1100</v>
      </c>
      <c r="I6624" s="6">
        <v>369.86551722658481</v>
      </c>
      <c r="J6624" s="5">
        <v>3080</v>
      </c>
      <c r="K6624" s="6">
        <f t="shared" si="270"/>
        <v>2.9740539433042756</v>
      </c>
    </row>
    <row r="6625" spans="1:11" hidden="1">
      <c r="A6625" s="4">
        <v>2026</v>
      </c>
      <c r="B6625">
        <v>9</v>
      </c>
      <c r="C6625" t="s">
        <v>54</v>
      </c>
      <c r="D6625" t="s">
        <v>11</v>
      </c>
      <c r="E6625" t="s">
        <v>20</v>
      </c>
      <c r="F6625" t="s">
        <v>74</v>
      </c>
      <c r="G6625" t="str">
        <f t="shared" si="269"/>
        <v>007VENDELA</v>
      </c>
      <c r="H6625" s="5">
        <v>11430</v>
      </c>
      <c r="I6625" s="6">
        <v>3592.9793102011122</v>
      </c>
      <c r="J6625" s="5">
        <v>27820</v>
      </c>
      <c r="K6625" s="6">
        <f t="shared" si="270"/>
        <v>3.1812039572697182</v>
      </c>
    </row>
    <row r="6626" spans="1:11" hidden="1">
      <c r="A6626" s="4">
        <v>2026</v>
      </c>
      <c r="B6626">
        <v>9</v>
      </c>
      <c r="C6626" t="s">
        <v>54</v>
      </c>
      <c r="D6626" t="s">
        <v>11</v>
      </c>
      <c r="E6626" t="s">
        <v>79</v>
      </c>
      <c r="F6626" t="s">
        <v>67</v>
      </c>
      <c r="G6626" t="str">
        <f t="shared" si="269"/>
        <v>008DEEP PURPLE</v>
      </c>
      <c r="H6626" s="5">
        <v>3660</v>
      </c>
      <c r="I6626" s="6">
        <v>1585.2222221588099</v>
      </c>
      <c r="J6626" s="5">
        <v>11490</v>
      </c>
      <c r="K6626" s="6">
        <f t="shared" si="270"/>
        <v>2.3088245602661859</v>
      </c>
    </row>
    <row r="6627" spans="1:11" hidden="1">
      <c r="A6627" s="4">
        <v>2026</v>
      </c>
      <c r="B6627">
        <v>9</v>
      </c>
      <c r="C6627" t="s">
        <v>54</v>
      </c>
      <c r="D6627" t="s">
        <v>11</v>
      </c>
      <c r="E6627" t="s">
        <v>79</v>
      </c>
      <c r="F6627" t="s">
        <v>81</v>
      </c>
      <c r="G6627" t="str">
        <f t="shared" si="269"/>
        <v>008FREEDOM</v>
      </c>
      <c r="H6627" s="5">
        <v>4770</v>
      </c>
      <c r="I6627" s="6">
        <v>2219.311111022334</v>
      </c>
      <c r="J6627" s="5">
        <v>16800</v>
      </c>
      <c r="K6627" s="6">
        <f t="shared" si="270"/>
        <v>2.1493156035264844</v>
      </c>
    </row>
    <row r="6628" spans="1:11" hidden="1">
      <c r="A6628" s="4">
        <v>2026</v>
      </c>
      <c r="B6628">
        <v>9</v>
      </c>
      <c r="C6628" t="s">
        <v>54</v>
      </c>
      <c r="D6628" t="s">
        <v>11</v>
      </c>
      <c r="E6628" t="s">
        <v>79</v>
      </c>
      <c r="F6628" t="s">
        <v>68</v>
      </c>
      <c r="G6628" t="str">
        <f t="shared" si="269"/>
        <v>008JOCKER</v>
      </c>
      <c r="H6628" s="5">
        <v>4275</v>
      </c>
      <c r="I6628" s="6">
        <v>2959.0814813631118</v>
      </c>
      <c r="J6628" s="5">
        <v>22400</v>
      </c>
      <c r="K6628" s="6">
        <f t="shared" si="270"/>
        <v>1.4447050636911509</v>
      </c>
    </row>
    <row r="6629" spans="1:11" hidden="1">
      <c r="A6629" s="4">
        <v>2026</v>
      </c>
      <c r="B6629">
        <v>9</v>
      </c>
      <c r="C6629" t="s">
        <v>54</v>
      </c>
      <c r="D6629" t="s">
        <v>11</v>
      </c>
      <c r="E6629" t="s">
        <v>79</v>
      </c>
      <c r="F6629" t="s">
        <v>61</v>
      </c>
      <c r="G6629" t="str">
        <f t="shared" si="269"/>
        <v>008LUMIA</v>
      </c>
      <c r="H6629" s="5">
        <v>420</v>
      </c>
      <c r="I6629" s="6">
        <v>1796.5851851133182</v>
      </c>
      <c r="J6629" s="5">
        <v>13600</v>
      </c>
      <c r="K6629" s="6">
        <f t="shared" si="270"/>
        <v>0.23377683589966197</v>
      </c>
    </row>
    <row r="6630" spans="1:11" hidden="1">
      <c r="A6630" s="4">
        <v>2026</v>
      </c>
      <c r="B6630">
        <v>9</v>
      </c>
      <c r="C6630" t="s">
        <v>54</v>
      </c>
      <c r="D6630" t="s">
        <v>11</v>
      </c>
      <c r="E6630" t="s">
        <v>82</v>
      </c>
      <c r="F6630" t="s">
        <v>83</v>
      </c>
      <c r="G6630" t="str">
        <f t="shared" si="269"/>
        <v>010COOLDOWN</v>
      </c>
      <c r="H6630" s="5">
        <v>4800</v>
      </c>
      <c r="I6630" s="6">
        <v>1912.3542857142861</v>
      </c>
      <c r="J6630" s="5">
        <v>16320</v>
      </c>
      <c r="K6630" s="6">
        <f t="shared" si="270"/>
        <v>2.5099951592950496</v>
      </c>
    </row>
    <row r="6631" spans="1:11" hidden="1">
      <c r="A6631" s="4">
        <v>2026</v>
      </c>
      <c r="B6631">
        <v>9</v>
      </c>
      <c r="C6631" t="s">
        <v>54</v>
      </c>
      <c r="D6631" t="s">
        <v>11</v>
      </c>
      <c r="E6631" t="s">
        <v>82</v>
      </c>
      <c r="F6631" t="s">
        <v>84</v>
      </c>
      <c r="G6631" t="str">
        <f t="shared" si="269"/>
        <v>010VIOLET HILL</v>
      </c>
      <c r="H6631" s="5">
        <v>2220</v>
      </c>
      <c r="I6631" s="6">
        <v>2812.2857142428579</v>
      </c>
      <c r="J6631" s="5">
        <v>20000</v>
      </c>
      <c r="K6631" s="6">
        <f t="shared" si="270"/>
        <v>0.78939347761032275</v>
      </c>
    </row>
    <row r="6632" spans="1:11" hidden="1">
      <c r="A6632" s="4">
        <v>2026</v>
      </c>
      <c r="B6632">
        <v>9</v>
      </c>
      <c r="C6632" t="s">
        <v>54</v>
      </c>
      <c r="D6632" t="s">
        <v>11</v>
      </c>
      <c r="E6632" t="s">
        <v>85</v>
      </c>
      <c r="F6632" t="s">
        <v>86</v>
      </c>
      <c r="G6632" t="str">
        <f t="shared" si="269"/>
        <v>011BRIGHTON</v>
      </c>
      <c r="H6632" s="5">
        <v>2525</v>
      </c>
      <c r="I6632" s="6">
        <v>1768.8376470588223</v>
      </c>
      <c r="J6632" s="5">
        <v>12800</v>
      </c>
      <c r="K6632" s="6">
        <f t="shared" si="270"/>
        <v>1.4274911008359106</v>
      </c>
    </row>
    <row r="6633" spans="1:11" hidden="1">
      <c r="A6633" s="4">
        <v>2026</v>
      </c>
      <c r="B6633">
        <v>9</v>
      </c>
      <c r="C6633" t="s">
        <v>54</v>
      </c>
      <c r="D6633" t="s">
        <v>11</v>
      </c>
      <c r="E6633" t="s">
        <v>85</v>
      </c>
      <c r="F6633" t="s">
        <v>87</v>
      </c>
      <c r="G6633" t="str">
        <f t="shared" si="269"/>
        <v>011CANDLELIGHT</v>
      </c>
      <c r="H6633" s="5">
        <v>3800</v>
      </c>
      <c r="I6633" s="6">
        <v>2263.7999998868127</v>
      </c>
      <c r="J6633" s="5">
        <v>17920</v>
      </c>
      <c r="K6633" s="6">
        <f t="shared" si="270"/>
        <v>1.678593515412137</v>
      </c>
    </row>
    <row r="6634" spans="1:11" hidden="1">
      <c r="A6634" s="4">
        <v>2026</v>
      </c>
      <c r="B6634">
        <v>9</v>
      </c>
      <c r="C6634" t="s">
        <v>54</v>
      </c>
      <c r="D6634" t="s">
        <v>11</v>
      </c>
      <c r="E6634" t="s">
        <v>85</v>
      </c>
      <c r="F6634" t="s">
        <v>88</v>
      </c>
      <c r="G6634" t="str">
        <f t="shared" ref="G6634:G6695" si="272">+E6634&amp;F6634</f>
        <v>011CAYENNE</v>
      </c>
      <c r="H6634" s="5">
        <v>720</v>
      </c>
      <c r="I6634" s="6">
        <v>994.97117647058747</v>
      </c>
      <c r="J6634" s="5">
        <v>7200</v>
      </c>
      <c r="K6634" s="6">
        <f t="shared" si="270"/>
        <v>0.72363905309701604</v>
      </c>
    </row>
    <row r="6635" spans="1:11" hidden="1">
      <c r="A6635" s="4">
        <v>2026</v>
      </c>
      <c r="B6635">
        <v>9</v>
      </c>
      <c r="C6635" t="s">
        <v>54</v>
      </c>
      <c r="D6635" t="s">
        <v>11</v>
      </c>
      <c r="E6635" t="s">
        <v>85</v>
      </c>
      <c r="F6635" t="s">
        <v>61</v>
      </c>
      <c r="G6635" t="str">
        <f t="shared" si="272"/>
        <v>011LUMIA</v>
      </c>
      <c r="H6635" s="5">
        <v>1020</v>
      </c>
      <c r="I6635" s="6">
        <v>994.97117647058747</v>
      </c>
      <c r="J6635" s="5">
        <v>7920</v>
      </c>
      <c r="K6635" s="6">
        <f t="shared" si="270"/>
        <v>1.0251553252207728</v>
      </c>
    </row>
    <row r="6636" spans="1:11" hidden="1">
      <c r="A6636" s="4">
        <v>2026</v>
      </c>
      <c r="B6636">
        <v>9</v>
      </c>
      <c r="C6636" t="s">
        <v>54</v>
      </c>
      <c r="D6636" t="s">
        <v>11</v>
      </c>
      <c r="E6636" t="s">
        <v>85</v>
      </c>
      <c r="F6636" t="s">
        <v>89</v>
      </c>
      <c r="G6636" t="str">
        <f t="shared" si="272"/>
        <v>011STARDUST</v>
      </c>
      <c r="H6636" s="5">
        <v>2875</v>
      </c>
      <c r="I6636" s="6">
        <v>2263.7999998868127</v>
      </c>
      <c r="J6636" s="5">
        <v>17920</v>
      </c>
      <c r="K6636" s="6">
        <f t="shared" si="270"/>
        <v>1.2699885149499721</v>
      </c>
    </row>
    <row r="6637" spans="1:11" hidden="1">
      <c r="A6637" s="4">
        <v>2026</v>
      </c>
      <c r="B6637">
        <v>9</v>
      </c>
      <c r="C6637" t="s">
        <v>54</v>
      </c>
      <c r="D6637" t="s">
        <v>11</v>
      </c>
      <c r="E6637" t="s">
        <v>90</v>
      </c>
      <c r="F6637" t="s">
        <v>67</v>
      </c>
      <c r="G6637" t="str">
        <f t="shared" si="272"/>
        <v>012DEEP PURPLE</v>
      </c>
      <c r="H6637" s="5">
        <v>15360</v>
      </c>
      <c r="I6637" s="6">
        <v>6727.0499997982479</v>
      </c>
      <c r="J6637" s="5">
        <v>49210</v>
      </c>
      <c r="K6637" s="6">
        <f t="shared" si="270"/>
        <v>2.2833188396787096</v>
      </c>
    </row>
    <row r="6638" spans="1:11" hidden="1">
      <c r="A6638" s="4">
        <v>2026</v>
      </c>
      <c r="B6638">
        <v>9</v>
      </c>
      <c r="C6638" t="s">
        <v>54</v>
      </c>
      <c r="D6638" t="s">
        <v>11</v>
      </c>
      <c r="E6638" t="s">
        <v>90</v>
      </c>
      <c r="F6638" t="s">
        <v>60</v>
      </c>
      <c r="G6638" t="str">
        <f t="shared" si="272"/>
        <v>012LIGHT HOUSE</v>
      </c>
      <c r="H6638" s="5">
        <v>1350</v>
      </c>
      <c r="I6638" s="6">
        <v>994.95</v>
      </c>
      <c r="J6638" s="5">
        <v>7200</v>
      </c>
      <c r="K6638" s="6">
        <f t="shared" si="270"/>
        <v>1.3568521031207599</v>
      </c>
    </row>
    <row r="6639" spans="1:11" hidden="1">
      <c r="A6639" s="4">
        <v>2026</v>
      </c>
      <c r="B6639">
        <v>9</v>
      </c>
      <c r="C6639" t="s">
        <v>54</v>
      </c>
      <c r="D6639" t="s">
        <v>11</v>
      </c>
      <c r="E6639" t="s">
        <v>91</v>
      </c>
      <c r="F6639" t="s">
        <v>92</v>
      </c>
      <c r="G6639" t="str">
        <f t="shared" si="272"/>
        <v>013COUNTRY BLUES</v>
      </c>
      <c r="H6639" s="5">
        <v>1350</v>
      </c>
      <c r="I6639" s="6">
        <v>831.6</v>
      </c>
      <c r="J6639" s="5">
        <v>6300</v>
      </c>
      <c r="K6639" s="6">
        <f t="shared" si="270"/>
        <v>1.6233766233766234</v>
      </c>
    </row>
    <row r="6640" spans="1:11" hidden="1">
      <c r="A6640" s="4">
        <v>2026</v>
      </c>
      <c r="B6640">
        <v>9</v>
      </c>
      <c r="C6640" t="s">
        <v>54</v>
      </c>
      <c r="D6640" t="s">
        <v>11</v>
      </c>
      <c r="E6640" t="s">
        <v>91</v>
      </c>
      <c r="F6640" t="s">
        <v>93</v>
      </c>
      <c r="G6640" t="str">
        <f t="shared" si="272"/>
        <v>013LORRAINE</v>
      </c>
      <c r="H6640" s="5">
        <v>2550</v>
      </c>
      <c r="I6640" s="6">
        <v>1267.2</v>
      </c>
      <c r="J6640" s="5">
        <v>9600</v>
      </c>
      <c r="K6640" s="6">
        <f t="shared" si="270"/>
        <v>2.012310606060606</v>
      </c>
    </row>
    <row r="6641" spans="1:11" hidden="1">
      <c r="A6641" s="4">
        <v>2026</v>
      </c>
      <c r="B6641">
        <v>9</v>
      </c>
      <c r="C6641" t="s">
        <v>54</v>
      </c>
      <c r="D6641" t="s">
        <v>11</v>
      </c>
      <c r="E6641" t="s">
        <v>91</v>
      </c>
      <c r="F6641" t="s">
        <v>61</v>
      </c>
      <c r="G6641" t="str">
        <f t="shared" si="272"/>
        <v>013LUMIA</v>
      </c>
      <c r="H6641" s="5">
        <v>390</v>
      </c>
      <c r="I6641" s="6">
        <v>316.8</v>
      </c>
      <c r="J6641" s="5">
        <v>2400</v>
      </c>
      <c r="K6641" s="6">
        <f t="shared" si="270"/>
        <v>1.231060606060606</v>
      </c>
    </row>
    <row r="6642" spans="1:11" hidden="1">
      <c r="A6642" s="4">
        <v>2026</v>
      </c>
      <c r="B6642">
        <v>9</v>
      </c>
      <c r="C6642" t="s">
        <v>54</v>
      </c>
      <c r="D6642" t="s">
        <v>11</v>
      </c>
      <c r="E6642" t="s">
        <v>91</v>
      </c>
      <c r="F6642" t="s">
        <v>74</v>
      </c>
      <c r="G6642" t="str">
        <f t="shared" si="272"/>
        <v>013VENDELA</v>
      </c>
      <c r="H6642" s="5">
        <v>10890</v>
      </c>
      <c r="I6642" s="6">
        <v>3603.6</v>
      </c>
      <c r="J6642" s="5">
        <v>27296</v>
      </c>
      <c r="K6642" s="6">
        <f t="shared" si="270"/>
        <v>3.0219780219780219</v>
      </c>
    </row>
    <row r="6643" spans="1:11" hidden="1">
      <c r="A6643" s="4">
        <v>2026</v>
      </c>
      <c r="B6643">
        <v>9</v>
      </c>
      <c r="C6643" t="s">
        <v>54</v>
      </c>
      <c r="D6643" t="s">
        <v>11</v>
      </c>
      <c r="E6643" t="s">
        <v>23</v>
      </c>
      <c r="F6643" t="s">
        <v>89</v>
      </c>
      <c r="G6643" t="str">
        <f t="shared" si="272"/>
        <v>014STARDUST</v>
      </c>
      <c r="H6643" s="5">
        <v>5275</v>
      </c>
      <c r="I6643" s="6">
        <v>3682.8</v>
      </c>
      <c r="J6643" s="5">
        <v>27900</v>
      </c>
      <c r="K6643" s="6">
        <f t="shared" si="270"/>
        <v>1.4323340936244162</v>
      </c>
    </row>
    <row r="6644" spans="1:11" hidden="1">
      <c r="A6644" s="4">
        <v>2026</v>
      </c>
      <c r="B6644">
        <v>9</v>
      </c>
      <c r="C6644" t="s">
        <v>54</v>
      </c>
      <c r="D6644" t="s">
        <v>11</v>
      </c>
      <c r="E6644" t="s">
        <v>25</v>
      </c>
      <c r="F6644" t="s">
        <v>68</v>
      </c>
      <c r="G6644" t="str">
        <f t="shared" si="272"/>
        <v>015JOCKER</v>
      </c>
      <c r="H6644" s="5">
        <v>2450</v>
      </c>
      <c r="I6644" s="6">
        <v>2376</v>
      </c>
      <c r="J6644" s="5">
        <v>18000</v>
      </c>
      <c r="K6644" s="6">
        <f t="shared" ref="K6644:K6703" si="273">+H6644/I6644</f>
        <v>1.0311447811447811</v>
      </c>
    </row>
    <row r="6645" spans="1:11" hidden="1">
      <c r="A6645" s="4">
        <v>2026</v>
      </c>
      <c r="B6645">
        <v>9</v>
      </c>
      <c r="C6645" t="s">
        <v>54</v>
      </c>
      <c r="D6645" t="s">
        <v>11</v>
      </c>
      <c r="E6645" t="s">
        <v>27</v>
      </c>
      <c r="F6645" t="s">
        <v>94</v>
      </c>
      <c r="G6645" t="str">
        <f t="shared" si="272"/>
        <v>016DREAM IN PEACH</v>
      </c>
      <c r="H6645" s="5">
        <v>1440</v>
      </c>
      <c r="I6645" s="6">
        <v>950.4</v>
      </c>
      <c r="J6645" s="5">
        <v>7200</v>
      </c>
      <c r="K6645" s="6">
        <f t="shared" si="273"/>
        <v>1.5151515151515151</v>
      </c>
    </row>
    <row r="6646" spans="1:11" hidden="1">
      <c r="A6646" s="4">
        <v>2026</v>
      </c>
      <c r="B6646">
        <v>9</v>
      </c>
      <c r="C6646" t="s">
        <v>54</v>
      </c>
      <c r="D6646" t="s">
        <v>11</v>
      </c>
      <c r="E6646" t="s">
        <v>27</v>
      </c>
      <c r="F6646" t="s">
        <v>95</v>
      </c>
      <c r="G6646" t="str">
        <f t="shared" si="272"/>
        <v>016NINA</v>
      </c>
      <c r="H6646" s="5">
        <v>2450</v>
      </c>
      <c r="I6646" s="6">
        <v>1346.4</v>
      </c>
      <c r="J6646" s="5">
        <v>10200</v>
      </c>
      <c r="K6646" s="6">
        <f t="shared" si="273"/>
        <v>1.8196672608437312</v>
      </c>
    </row>
    <row r="6647" spans="1:11" hidden="1">
      <c r="A6647" s="4">
        <v>2026</v>
      </c>
      <c r="B6647">
        <v>9</v>
      </c>
      <c r="C6647" t="s">
        <v>54</v>
      </c>
      <c r="D6647" t="s">
        <v>11</v>
      </c>
      <c r="E6647" t="s">
        <v>30</v>
      </c>
      <c r="F6647" t="s">
        <v>81</v>
      </c>
      <c r="G6647" t="str">
        <f t="shared" si="272"/>
        <v>017FREEDOM</v>
      </c>
      <c r="H6647" s="5">
        <v>6180</v>
      </c>
      <c r="I6647" s="6">
        <v>2851.2</v>
      </c>
      <c r="J6647" s="5">
        <v>21600</v>
      </c>
      <c r="K6647" s="6">
        <f t="shared" si="273"/>
        <v>2.1675084175084178</v>
      </c>
    </row>
    <row r="6648" spans="1:11" hidden="1">
      <c r="A6648" s="4">
        <v>2026</v>
      </c>
      <c r="B6648">
        <v>9</v>
      </c>
      <c r="C6648" t="s">
        <v>54</v>
      </c>
      <c r="D6648" t="s">
        <v>11</v>
      </c>
      <c r="E6648" t="s">
        <v>30</v>
      </c>
      <c r="F6648" t="s">
        <v>73</v>
      </c>
      <c r="G6648" t="str">
        <f t="shared" si="272"/>
        <v>017GOLDFINCH</v>
      </c>
      <c r="H6648" s="5">
        <v>3000</v>
      </c>
      <c r="I6648" s="6">
        <v>2138.4</v>
      </c>
      <c r="J6648" s="5">
        <v>16200</v>
      </c>
      <c r="K6648" s="6">
        <f t="shared" si="273"/>
        <v>1.4029180695847361</v>
      </c>
    </row>
    <row r="6649" spans="1:11" hidden="1">
      <c r="A6649" s="4">
        <v>2026</v>
      </c>
      <c r="B6649">
        <v>9</v>
      </c>
      <c r="C6649" t="s">
        <v>54</v>
      </c>
      <c r="D6649" t="s">
        <v>11</v>
      </c>
      <c r="E6649" t="s">
        <v>32</v>
      </c>
      <c r="F6649" t="s">
        <v>86</v>
      </c>
      <c r="G6649" t="str">
        <f t="shared" si="272"/>
        <v>018BRIGHTON</v>
      </c>
      <c r="H6649" s="5">
        <v>1425</v>
      </c>
      <c r="I6649" s="6">
        <v>963.6</v>
      </c>
      <c r="J6649" s="5">
        <v>7570</v>
      </c>
      <c r="K6649" s="6">
        <f t="shared" si="273"/>
        <v>1.4788293897882938</v>
      </c>
    </row>
    <row r="6650" spans="1:11" hidden="1">
      <c r="A6650" s="4">
        <v>2026</v>
      </c>
      <c r="B6650">
        <v>9</v>
      </c>
      <c r="C6650" t="s">
        <v>54</v>
      </c>
      <c r="D6650" t="s">
        <v>11</v>
      </c>
      <c r="E6650" t="s">
        <v>35</v>
      </c>
      <c r="F6650" t="s">
        <v>86</v>
      </c>
      <c r="G6650" t="str">
        <f t="shared" si="272"/>
        <v>019BRIGHTON</v>
      </c>
      <c r="H6650" s="5">
        <v>4700</v>
      </c>
      <c r="I6650" s="6">
        <v>3168</v>
      </c>
      <c r="J6650" s="5">
        <v>24000</v>
      </c>
      <c r="K6650" s="6">
        <f t="shared" si="273"/>
        <v>1.4835858585858586</v>
      </c>
    </row>
    <row r="6651" spans="1:11" hidden="1">
      <c r="A6651" s="4">
        <v>2026</v>
      </c>
      <c r="B6651">
        <v>9</v>
      </c>
      <c r="C6651" t="s">
        <v>54</v>
      </c>
      <c r="D6651" t="s">
        <v>11</v>
      </c>
      <c r="E6651" t="s">
        <v>35</v>
      </c>
      <c r="F6651" t="s">
        <v>96</v>
      </c>
      <c r="G6651" t="str">
        <f t="shared" si="272"/>
        <v>019TABATHA</v>
      </c>
      <c r="H6651" s="5">
        <v>2640</v>
      </c>
      <c r="I6651" s="6">
        <v>1188</v>
      </c>
      <c r="J6651" s="5">
        <v>9000</v>
      </c>
      <c r="K6651" s="6">
        <f t="shared" si="273"/>
        <v>2.2222222222222223</v>
      </c>
    </row>
    <row r="6652" spans="1:11" hidden="1">
      <c r="A6652" s="4">
        <v>2026</v>
      </c>
      <c r="B6652">
        <v>9</v>
      </c>
      <c r="C6652" t="s">
        <v>54</v>
      </c>
      <c r="D6652" t="s">
        <v>11</v>
      </c>
      <c r="E6652" t="s">
        <v>36</v>
      </c>
      <c r="F6652" t="s">
        <v>86</v>
      </c>
      <c r="G6652" t="str">
        <f t="shared" si="272"/>
        <v>020BRIGHTON</v>
      </c>
      <c r="H6652" s="5">
        <v>3500</v>
      </c>
      <c r="I6652" s="6">
        <v>2732.4</v>
      </c>
      <c r="J6652" s="5">
        <v>20700</v>
      </c>
      <c r="K6652" s="6">
        <f t="shared" si="273"/>
        <v>1.2809251939686721</v>
      </c>
    </row>
    <row r="6653" spans="1:11" hidden="1">
      <c r="A6653" s="4">
        <v>2026</v>
      </c>
      <c r="B6653">
        <v>9</v>
      </c>
      <c r="C6653" t="s">
        <v>54</v>
      </c>
      <c r="D6653" t="s">
        <v>11</v>
      </c>
      <c r="E6653" t="s">
        <v>36</v>
      </c>
      <c r="F6653" t="s">
        <v>97</v>
      </c>
      <c r="G6653" t="str">
        <f t="shared" si="272"/>
        <v>020TYCOON</v>
      </c>
      <c r="H6653" s="5">
        <v>810</v>
      </c>
      <c r="I6653" s="6">
        <v>673.2</v>
      </c>
      <c r="J6653" s="5">
        <v>5100</v>
      </c>
      <c r="K6653" s="6">
        <f t="shared" si="273"/>
        <v>1.2032085561497325</v>
      </c>
    </row>
    <row r="6654" spans="1:11" hidden="1">
      <c r="A6654" s="4">
        <v>2026</v>
      </c>
      <c r="B6654">
        <v>9</v>
      </c>
      <c r="C6654" t="s">
        <v>54</v>
      </c>
      <c r="D6654" t="s">
        <v>11</v>
      </c>
      <c r="E6654" t="s">
        <v>38</v>
      </c>
      <c r="F6654" t="s">
        <v>98</v>
      </c>
      <c r="G6654" t="str">
        <f t="shared" si="272"/>
        <v>021SHOW GIRL</v>
      </c>
      <c r="H6654" s="5">
        <v>1825</v>
      </c>
      <c r="I6654" s="6">
        <v>1100.4749999999999</v>
      </c>
      <c r="J6654" s="5">
        <v>8000</v>
      </c>
      <c r="K6654" s="6">
        <f t="shared" si="273"/>
        <v>1.6583747927031511</v>
      </c>
    </row>
    <row r="6655" spans="1:11" hidden="1">
      <c r="A6655" s="4">
        <v>2026</v>
      </c>
      <c r="B6655">
        <v>9</v>
      </c>
      <c r="C6655" t="s">
        <v>54</v>
      </c>
      <c r="D6655" t="s">
        <v>11</v>
      </c>
      <c r="E6655" t="s">
        <v>43</v>
      </c>
      <c r="F6655" t="s">
        <v>99</v>
      </c>
      <c r="G6655" t="str">
        <f t="shared" si="272"/>
        <v>022CORAL REEF</v>
      </c>
      <c r="H6655" s="5">
        <v>2575</v>
      </c>
      <c r="I6655" s="6">
        <v>1287</v>
      </c>
      <c r="J6655" s="5">
        <v>9400</v>
      </c>
      <c r="K6655" s="6">
        <f t="shared" si="273"/>
        <v>2.0007770007770009</v>
      </c>
    </row>
    <row r="6656" spans="1:11" hidden="1">
      <c r="A6656" s="4">
        <v>2026</v>
      </c>
      <c r="B6656">
        <v>9</v>
      </c>
      <c r="C6656" t="s">
        <v>54</v>
      </c>
      <c r="D6656" t="s">
        <v>11</v>
      </c>
      <c r="E6656" t="s">
        <v>100</v>
      </c>
      <c r="F6656" t="s">
        <v>70</v>
      </c>
      <c r="G6656" t="str">
        <f t="shared" si="272"/>
        <v>023COTOPAXI</v>
      </c>
      <c r="H6656" s="5">
        <v>3480</v>
      </c>
      <c r="I6656" s="6">
        <v>2641.14</v>
      </c>
      <c r="J6656" s="5">
        <v>19200</v>
      </c>
      <c r="K6656" s="6">
        <f t="shared" si="273"/>
        <v>1.317612848997024</v>
      </c>
    </row>
    <row r="6657" spans="1:11" hidden="1">
      <c r="A6657" s="4">
        <v>2026</v>
      </c>
      <c r="B6657">
        <v>9</v>
      </c>
      <c r="C6657" t="s">
        <v>54</v>
      </c>
      <c r="D6657" t="s">
        <v>11</v>
      </c>
      <c r="E6657" t="s">
        <v>100</v>
      </c>
      <c r="F6657" t="s">
        <v>101</v>
      </c>
      <c r="G6657" t="str">
        <f t="shared" si="272"/>
        <v>023FRUTTETO</v>
      </c>
      <c r="H6657" s="5">
        <v>3600</v>
      </c>
      <c r="I6657" s="6">
        <v>2641.14</v>
      </c>
      <c r="J6657" s="5">
        <v>19200</v>
      </c>
      <c r="K6657" s="6">
        <f t="shared" si="273"/>
        <v>1.3630477748245076</v>
      </c>
    </row>
    <row r="6658" spans="1:11" hidden="1">
      <c r="A6658" s="4">
        <v>2026</v>
      </c>
      <c r="B6658">
        <v>9</v>
      </c>
      <c r="C6658" t="s">
        <v>54</v>
      </c>
      <c r="D6658" t="s">
        <v>11</v>
      </c>
      <c r="E6658" t="s">
        <v>102</v>
      </c>
      <c r="F6658" t="s">
        <v>70</v>
      </c>
      <c r="G6658" t="str">
        <f t="shared" si="272"/>
        <v>024COTOPAXI</v>
      </c>
      <c r="H6658" s="5">
        <v>2430</v>
      </c>
      <c r="I6658" s="6">
        <v>1430.6174906250001</v>
      </c>
      <c r="J6658" s="5">
        <v>10400</v>
      </c>
      <c r="K6658" s="6">
        <f t="shared" si="273"/>
        <v>1.6985672382199068</v>
      </c>
    </row>
    <row r="6659" spans="1:11" hidden="1">
      <c r="A6659" s="4">
        <v>2026</v>
      </c>
      <c r="B6659">
        <v>9</v>
      </c>
      <c r="C6659" t="s">
        <v>54</v>
      </c>
      <c r="D6659" t="s">
        <v>11</v>
      </c>
      <c r="E6659" t="s">
        <v>102</v>
      </c>
      <c r="F6659" t="s">
        <v>64</v>
      </c>
      <c r="G6659" t="str">
        <f t="shared" si="272"/>
        <v>024SWEETNESS</v>
      </c>
      <c r="H6659" s="5">
        <v>1170</v>
      </c>
      <c r="I6659" s="6">
        <v>1430.6175000000001</v>
      </c>
      <c r="J6659" s="5">
        <v>10400</v>
      </c>
      <c r="K6659" s="6">
        <f t="shared" si="273"/>
        <v>0.81782866489470452</v>
      </c>
    </row>
    <row r="6660" spans="1:11" hidden="1">
      <c r="A6660" s="4">
        <v>2026</v>
      </c>
      <c r="B6660">
        <v>9</v>
      </c>
      <c r="C6660" t="s">
        <v>54</v>
      </c>
      <c r="D6660" t="s">
        <v>11</v>
      </c>
      <c r="E6660" t="s">
        <v>102</v>
      </c>
      <c r="F6660" t="s">
        <v>97</v>
      </c>
      <c r="G6660" t="str">
        <f t="shared" si="272"/>
        <v>024TYCOON</v>
      </c>
      <c r="H6660" s="5">
        <v>2340</v>
      </c>
      <c r="I6660" s="6">
        <v>2861.2350000000001</v>
      </c>
      <c r="J6660" s="5">
        <v>20800</v>
      </c>
      <c r="K6660" s="6">
        <f t="shared" si="273"/>
        <v>0.81782866489470452</v>
      </c>
    </row>
    <row r="6661" spans="1:11" hidden="1">
      <c r="A6661" s="4">
        <v>2026</v>
      </c>
      <c r="B6661">
        <v>9</v>
      </c>
      <c r="C6661" t="s">
        <v>54</v>
      </c>
      <c r="D6661" t="s">
        <v>11</v>
      </c>
      <c r="E6661" t="s">
        <v>103</v>
      </c>
      <c r="F6661" t="s">
        <v>104</v>
      </c>
      <c r="G6661" t="str">
        <f t="shared" si="272"/>
        <v>025PINK MONDIAL</v>
      </c>
      <c r="H6661" s="5">
        <v>4950</v>
      </c>
      <c r="I6661" s="6">
        <v>3071.9505625000002</v>
      </c>
      <c r="J6661" s="5">
        <v>22400</v>
      </c>
      <c r="K6661" s="6">
        <f t="shared" si="273"/>
        <v>1.6113540564180222</v>
      </c>
    </row>
    <row r="6662" spans="1:11" hidden="1">
      <c r="A6662" s="4">
        <v>2026</v>
      </c>
      <c r="B6662">
        <v>9</v>
      </c>
      <c r="C6662" t="s">
        <v>54</v>
      </c>
      <c r="D6662" t="s">
        <v>11</v>
      </c>
      <c r="E6662" t="s">
        <v>45</v>
      </c>
      <c r="F6662" t="s">
        <v>105</v>
      </c>
      <c r="G6662" t="str">
        <f t="shared" si="272"/>
        <v>026LOLA</v>
      </c>
      <c r="H6662" s="5">
        <v>3350</v>
      </c>
      <c r="I6662" s="6">
        <v>1097.125</v>
      </c>
      <c r="J6662" s="5">
        <v>8000</v>
      </c>
      <c r="K6662" s="6">
        <f t="shared" si="273"/>
        <v>3.053435114503817</v>
      </c>
    </row>
    <row r="6663" spans="1:11" hidden="1">
      <c r="A6663" s="4">
        <v>2026</v>
      </c>
      <c r="B6663">
        <v>9</v>
      </c>
      <c r="C6663" t="s">
        <v>54</v>
      </c>
      <c r="D6663" t="s">
        <v>11</v>
      </c>
      <c r="E6663" t="s">
        <v>45</v>
      </c>
      <c r="F6663" t="s">
        <v>106</v>
      </c>
      <c r="G6663" t="str">
        <f t="shared" si="272"/>
        <v>026PALOMA</v>
      </c>
      <c r="H6663" s="5">
        <v>4075</v>
      </c>
      <c r="I6663" s="6">
        <v>2852.5250000000001</v>
      </c>
      <c r="J6663" s="5">
        <v>20800</v>
      </c>
      <c r="K6663" s="6">
        <f t="shared" si="273"/>
        <v>1.4285589083355974</v>
      </c>
    </row>
    <row r="6664" spans="1:11" hidden="1">
      <c r="A6664" s="4">
        <v>2026</v>
      </c>
      <c r="B6664">
        <v>9</v>
      </c>
      <c r="C6664" t="s">
        <v>54</v>
      </c>
      <c r="D6664" t="s">
        <v>11</v>
      </c>
      <c r="E6664" t="s">
        <v>107</v>
      </c>
      <c r="F6664" t="s">
        <v>108</v>
      </c>
      <c r="G6664" t="str">
        <f t="shared" si="272"/>
        <v>027SATISFACTION</v>
      </c>
      <c r="H6664" s="5">
        <v>2730</v>
      </c>
      <c r="I6664" s="6">
        <v>2633.1</v>
      </c>
      <c r="J6664" s="5">
        <v>19200</v>
      </c>
      <c r="K6664" s="6">
        <f t="shared" si="273"/>
        <v>1.0368007291785348</v>
      </c>
    </row>
    <row r="6665" spans="1:11" hidden="1">
      <c r="A6665" s="4">
        <v>2026</v>
      </c>
      <c r="B6665">
        <v>9</v>
      </c>
      <c r="C6665" t="s">
        <v>54</v>
      </c>
      <c r="D6665" t="s">
        <v>11</v>
      </c>
      <c r="E6665" t="s">
        <v>107</v>
      </c>
      <c r="F6665" t="s">
        <v>109</v>
      </c>
      <c r="G6665" t="str">
        <f t="shared" si="272"/>
        <v>027TIFFANY</v>
      </c>
      <c r="H6665" s="5">
        <v>2700</v>
      </c>
      <c r="I6665" s="6">
        <v>2633.1</v>
      </c>
      <c r="J6665" s="5">
        <v>19200</v>
      </c>
      <c r="K6665" s="6">
        <f t="shared" si="273"/>
        <v>1.0254073145721774</v>
      </c>
    </row>
    <row r="6666" spans="1:11" hidden="1">
      <c r="A6666" s="4">
        <v>2026</v>
      </c>
      <c r="B6666">
        <v>9</v>
      </c>
      <c r="C6666" t="s">
        <v>54</v>
      </c>
      <c r="D6666" t="s">
        <v>11</v>
      </c>
      <c r="E6666" t="s">
        <v>110</v>
      </c>
      <c r="F6666" t="s">
        <v>70</v>
      </c>
      <c r="G6666" t="str">
        <f t="shared" si="272"/>
        <v>028COTOPAXI</v>
      </c>
      <c r="H6666" s="5">
        <v>4650</v>
      </c>
      <c r="I6666" s="6">
        <v>2852.5250000000001</v>
      </c>
      <c r="J6666" s="5">
        <v>20800</v>
      </c>
      <c r="K6666" s="6">
        <f t="shared" si="273"/>
        <v>1.6301347052173074</v>
      </c>
    </row>
    <row r="6667" spans="1:11" hidden="1">
      <c r="A6667" s="4">
        <v>2026</v>
      </c>
      <c r="B6667">
        <v>9</v>
      </c>
      <c r="C6667" t="s">
        <v>54</v>
      </c>
      <c r="D6667" t="s">
        <v>11</v>
      </c>
      <c r="E6667" t="s">
        <v>110</v>
      </c>
      <c r="F6667" t="s">
        <v>67</v>
      </c>
      <c r="G6667" t="str">
        <f t="shared" si="272"/>
        <v>028DEEP PURPLE</v>
      </c>
      <c r="H6667" s="5">
        <v>7230</v>
      </c>
      <c r="I6667" s="6">
        <v>2852.5250000000001</v>
      </c>
      <c r="J6667" s="5">
        <v>20800</v>
      </c>
      <c r="K6667" s="6">
        <f t="shared" si="273"/>
        <v>2.5345965416604588</v>
      </c>
    </row>
    <row r="6668" spans="1:11" hidden="1">
      <c r="A6668" s="4">
        <v>2026</v>
      </c>
      <c r="B6668">
        <v>9</v>
      </c>
      <c r="C6668" t="s">
        <v>54</v>
      </c>
      <c r="D6668" t="s">
        <v>11</v>
      </c>
      <c r="E6668" t="s">
        <v>111</v>
      </c>
      <c r="F6668" t="s">
        <v>112</v>
      </c>
      <c r="G6668" t="str">
        <f t="shared" si="272"/>
        <v>029PINK FLOYD</v>
      </c>
      <c r="H6668" s="5">
        <v>4425</v>
      </c>
      <c r="I6668" s="6">
        <v>3071.95</v>
      </c>
      <c r="J6668" s="5">
        <v>22400</v>
      </c>
      <c r="K6668" s="6">
        <f t="shared" si="273"/>
        <v>1.4404531323752015</v>
      </c>
    </row>
    <row r="6669" spans="1:11" hidden="1">
      <c r="A6669" s="4">
        <v>2026</v>
      </c>
      <c r="B6669">
        <v>9</v>
      </c>
      <c r="C6669" t="s">
        <v>54</v>
      </c>
      <c r="D6669" t="s">
        <v>11</v>
      </c>
      <c r="E6669" t="s">
        <v>47</v>
      </c>
      <c r="F6669" t="s">
        <v>57</v>
      </c>
      <c r="G6669" t="str">
        <f t="shared" si="272"/>
        <v>030EXPLORER</v>
      </c>
      <c r="H6669" s="5">
        <v>1825</v>
      </c>
      <c r="I6669" s="6">
        <v>1645.6875</v>
      </c>
      <c r="J6669" s="5">
        <v>12000</v>
      </c>
      <c r="K6669" s="6">
        <f t="shared" si="273"/>
        <v>1.1089590216854659</v>
      </c>
    </row>
    <row r="6670" spans="1:11" hidden="1">
      <c r="A6670" s="4">
        <v>2026</v>
      </c>
      <c r="B6670">
        <v>10</v>
      </c>
      <c r="C6670" t="s">
        <v>10</v>
      </c>
      <c r="D6670" t="s">
        <v>11</v>
      </c>
      <c r="E6670" t="s">
        <v>12</v>
      </c>
      <c r="F6670" t="s">
        <v>13</v>
      </c>
      <c r="G6670" t="str">
        <f t="shared" si="272"/>
        <v>002SOMERSET</v>
      </c>
      <c r="H6670" s="5">
        <v>13100</v>
      </c>
      <c r="I6670" s="6">
        <v>4121.4642855494085</v>
      </c>
      <c r="J6670" s="5">
        <v>31200</v>
      </c>
      <c r="K6670" s="6">
        <f t="shared" si="273"/>
        <v>3.1784819890180644</v>
      </c>
    </row>
    <row r="6671" spans="1:11" hidden="1">
      <c r="A6671" s="4">
        <v>2026</v>
      </c>
      <c r="B6671">
        <v>10</v>
      </c>
      <c r="C6671" t="s">
        <v>10</v>
      </c>
      <c r="D6671" t="s">
        <v>11</v>
      </c>
      <c r="E6671" t="s">
        <v>14</v>
      </c>
      <c r="F6671" t="s">
        <v>15</v>
      </c>
      <c r="G6671" t="str">
        <f t="shared" si="272"/>
        <v>004BELLINA</v>
      </c>
      <c r="H6671" s="5">
        <v>1380</v>
      </c>
      <c r="I6671" s="6">
        <v>1056.7857142434418</v>
      </c>
      <c r="J6671" s="5">
        <v>8000</v>
      </c>
      <c r="K6671" s="6">
        <f t="shared" si="273"/>
        <v>1.3058465698393253</v>
      </c>
    </row>
    <row r="6672" spans="1:11" hidden="1">
      <c r="A6672" s="4">
        <v>2026</v>
      </c>
      <c r="B6672">
        <v>10</v>
      </c>
      <c r="C6672" t="s">
        <v>10</v>
      </c>
      <c r="D6672" t="s">
        <v>11</v>
      </c>
      <c r="E6672" t="s">
        <v>16</v>
      </c>
      <c r="F6672" t="s">
        <v>17</v>
      </c>
      <c r="G6672" t="str">
        <f t="shared" si="272"/>
        <v>005ELBA</v>
      </c>
      <c r="H6672" s="5">
        <v>13950</v>
      </c>
      <c r="I6672" s="6">
        <v>2641.9642856076484</v>
      </c>
      <c r="J6672" s="5">
        <v>19996</v>
      </c>
      <c r="K6672" s="6">
        <f t="shared" si="273"/>
        <v>5.2801622171783134</v>
      </c>
    </row>
    <row r="6673" spans="1:11" hidden="1">
      <c r="A6673" s="4">
        <v>2026</v>
      </c>
      <c r="B6673">
        <v>10</v>
      </c>
      <c r="C6673" t="s">
        <v>10</v>
      </c>
      <c r="D6673" t="s">
        <v>11</v>
      </c>
      <c r="E6673" t="s">
        <v>16</v>
      </c>
      <c r="F6673" t="s">
        <v>18</v>
      </c>
      <c r="G6673" t="str">
        <f t="shared" si="272"/>
        <v>005HOT BUBBLES</v>
      </c>
      <c r="H6673" s="5">
        <v>1740</v>
      </c>
      <c r="I6673" s="6">
        <v>528.39285712153003</v>
      </c>
      <c r="J6673" s="5">
        <v>4000</v>
      </c>
      <c r="K6673" s="6">
        <f t="shared" si="273"/>
        <v>3.2930043935090536</v>
      </c>
    </row>
    <row r="6674" spans="1:11" hidden="1">
      <c r="A6674" s="4">
        <v>2026</v>
      </c>
      <c r="B6674">
        <v>10</v>
      </c>
      <c r="C6674" t="s">
        <v>10</v>
      </c>
      <c r="D6674" t="s">
        <v>11</v>
      </c>
      <c r="E6674" t="s">
        <v>16</v>
      </c>
      <c r="F6674" t="s">
        <v>19</v>
      </c>
      <c r="G6674" t="str">
        <f t="shared" si="272"/>
        <v>005SUSPIRO</v>
      </c>
      <c r="H6674" s="5">
        <v>5160</v>
      </c>
      <c r="I6674" s="6">
        <v>1902.2142856375078</v>
      </c>
      <c r="J6674" s="5">
        <v>14400</v>
      </c>
      <c r="K6674" s="6">
        <f t="shared" si="273"/>
        <v>2.7126281402469221</v>
      </c>
    </row>
    <row r="6675" spans="1:11" hidden="1">
      <c r="A6675" s="4">
        <v>2026</v>
      </c>
      <c r="B6675">
        <v>10</v>
      </c>
      <c r="C6675" t="s">
        <v>10</v>
      </c>
      <c r="D6675" t="s">
        <v>11</v>
      </c>
      <c r="E6675" t="s">
        <v>20</v>
      </c>
      <c r="F6675" t="s">
        <v>21</v>
      </c>
      <c r="G6675" t="str">
        <f t="shared" si="272"/>
        <v>007SNOW BUBBLES</v>
      </c>
      <c r="H6675" s="5">
        <v>1220</v>
      </c>
      <c r="I6675" s="6">
        <v>634.05652706821195</v>
      </c>
      <c r="J6675" s="5">
        <v>4800</v>
      </c>
      <c r="K6675" s="6">
        <f t="shared" si="273"/>
        <v>1.9241186675281274</v>
      </c>
    </row>
    <row r="6676" spans="1:11" hidden="1">
      <c r="A6676" s="4">
        <v>2026</v>
      </c>
      <c r="B6676">
        <v>10</v>
      </c>
      <c r="C6676" t="s">
        <v>10</v>
      </c>
      <c r="D6676" t="s">
        <v>11</v>
      </c>
      <c r="E6676" t="s">
        <v>22</v>
      </c>
      <c r="F6676" t="s">
        <v>18</v>
      </c>
      <c r="G6676" t="str">
        <f t="shared" si="272"/>
        <v>009HOT BUBBLES</v>
      </c>
      <c r="H6676" s="5">
        <v>11000</v>
      </c>
      <c r="I6676" s="6">
        <v>4487.9999999102474</v>
      </c>
      <c r="J6676" s="5">
        <v>31740</v>
      </c>
      <c r="K6676" s="6">
        <f t="shared" si="273"/>
        <v>2.4509803922058784</v>
      </c>
    </row>
    <row r="6677" spans="1:11" hidden="1">
      <c r="A6677" s="4">
        <v>2026</v>
      </c>
      <c r="B6677">
        <v>10</v>
      </c>
      <c r="C6677" t="s">
        <v>10</v>
      </c>
      <c r="D6677" t="s">
        <v>11</v>
      </c>
      <c r="E6677" t="s">
        <v>23</v>
      </c>
      <c r="F6677" t="s">
        <v>24</v>
      </c>
      <c r="G6677" t="str">
        <f t="shared" si="272"/>
        <v>014FRUITY BUBBLES</v>
      </c>
      <c r="H6677" s="5">
        <v>2150</v>
      </c>
      <c r="I6677" s="6">
        <v>1702.8</v>
      </c>
      <c r="J6677" s="5">
        <v>12900</v>
      </c>
      <c r="K6677" s="6">
        <f t="shared" si="273"/>
        <v>1.2626262626262628</v>
      </c>
    </row>
    <row r="6678" spans="1:11" hidden="1">
      <c r="A6678" s="4">
        <v>2026</v>
      </c>
      <c r="B6678">
        <v>10</v>
      </c>
      <c r="C6678" t="s">
        <v>10</v>
      </c>
      <c r="D6678" t="s">
        <v>11</v>
      </c>
      <c r="E6678" t="s">
        <v>25</v>
      </c>
      <c r="F6678" t="s">
        <v>26</v>
      </c>
      <c r="G6678" t="str">
        <f t="shared" si="272"/>
        <v>015FELLINI</v>
      </c>
      <c r="H6678" s="5">
        <v>7580</v>
      </c>
      <c r="I6678" s="6">
        <v>3009.6</v>
      </c>
      <c r="J6678" s="5">
        <v>22800</v>
      </c>
      <c r="K6678" s="6">
        <f t="shared" si="273"/>
        <v>2.5186071238702818</v>
      </c>
    </row>
    <row r="6679" spans="1:11" hidden="1">
      <c r="A6679" s="4">
        <v>2026</v>
      </c>
      <c r="B6679">
        <v>10</v>
      </c>
      <c r="C6679" t="s">
        <v>10</v>
      </c>
      <c r="D6679" t="s">
        <v>11</v>
      </c>
      <c r="E6679" t="s">
        <v>27</v>
      </c>
      <c r="F6679" t="s">
        <v>28</v>
      </c>
      <c r="G6679" t="str">
        <f t="shared" si="272"/>
        <v>016GOOD PEACH</v>
      </c>
      <c r="H6679" s="5">
        <v>3930</v>
      </c>
      <c r="I6679" s="6">
        <v>1386</v>
      </c>
      <c r="J6679" s="5">
        <v>10500</v>
      </c>
      <c r="K6679" s="6">
        <f t="shared" si="273"/>
        <v>2.8354978354978355</v>
      </c>
    </row>
    <row r="6680" spans="1:11" hidden="1">
      <c r="A6680" s="4">
        <v>2026</v>
      </c>
      <c r="B6680">
        <v>10</v>
      </c>
      <c r="C6680" t="s">
        <v>10</v>
      </c>
      <c r="D6680" t="s">
        <v>11</v>
      </c>
      <c r="E6680" t="s">
        <v>27</v>
      </c>
      <c r="F6680" t="s">
        <v>29</v>
      </c>
      <c r="G6680" t="str">
        <f t="shared" si="272"/>
        <v>016GOOD YELLOW</v>
      </c>
      <c r="H6680" s="5">
        <v>2070</v>
      </c>
      <c r="I6680" s="6">
        <v>1386</v>
      </c>
      <c r="J6680" s="5">
        <v>10500</v>
      </c>
      <c r="K6680" s="6">
        <f t="shared" si="273"/>
        <v>1.4935064935064934</v>
      </c>
    </row>
    <row r="6681" spans="1:11" hidden="1">
      <c r="A6681" s="4">
        <v>2026</v>
      </c>
      <c r="B6681">
        <v>10</v>
      </c>
      <c r="C6681" t="s">
        <v>10</v>
      </c>
      <c r="D6681" t="s">
        <v>11</v>
      </c>
      <c r="E6681" t="s">
        <v>30</v>
      </c>
      <c r="F6681" t="s">
        <v>31</v>
      </c>
      <c r="G6681" t="str">
        <f t="shared" si="272"/>
        <v>017ORANGE STAR</v>
      </c>
      <c r="H6681" s="5">
        <v>1150</v>
      </c>
      <c r="I6681" s="6">
        <v>1029.5999999999999</v>
      </c>
      <c r="J6681" s="5">
        <v>7800</v>
      </c>
      <c r="K6681" s="6">
        <f t="shared" si="273"/>
        <v>1.1169386169386171</v>
      </c>
    </row>
    <row r="6682" spans="1:11" hidden="1">
      <c r="A6682" s="4">
        <v>2026</v>
      </c>
      <c r="B6682">
        <v>10</v>
      </c>
      <c r="C6682" t="s">
        <v>10</v>
      </c>
      <c r="D6682" t="s">
        <v>11</v>
      </c>
      <c r="E6682" t="s">
        <v>32</v>
      </c>
      <c r="F6682" t="s">
        <v>33</v>
      </c>
      <c r="G6682" t="str">
        <f t="shared" si="272"/>
        <v>018COSMO</v>
      </c>
      <c r="H6682" s="5">
        <v>4825</v>
      </c>
      <c r="I6682" s="6">
        <v>2653.2</v>
      </c>
      <c r="J6682" s="5">
        <v>20100</v>
      </c>
      <c r="K6682" s="6">
        <f t="shared" si="273"/>
        <v>1.8185587215437964</v>
      </c>
    </row>
    <row r="6683" spans="1:11" hidden="1">
      <c r="A6683" s="4">
        <v>2026</v>
      </c>
      <c r="B6683">
        <v>10</v>
      </c>
      <c r="C6683" t="s">
        <v>10</v>
      </c>
      <c r="D6683" t="s">
        <v>11</v>
      </c>
      <c r="E6683" t="s">
        <v>32</v>
      </c>
      <c r="F6683" t="s">
        <v>34</v>
      </c>
      <c r="G6683" t="str">
        <f t="shared" si="272"/>
        <v>018RUBICON</v>
      </c>
      <c r="H6683" s="5">
        <v>5430</v>
      </c>
      <c r="I6683" s="6">
        <v>1768.8</v>
      </c>
      <c r="J6683" s="5">
        <v>13400</v>
      </c>
      <c r="K6683" s="6">
        <f t="shared" si="273"/>
        <v>3.0698778833107192</v>
      </c>
    </row>
    <row r="6684" spans="1:11" hidden="1">
      <c r="A6684" s="4">
        <v>2026</v>
      </c>
      <c r="B6684">
        <v>10</v>
      </c>
      <c r="C6684" t="s">
        <v>10</v>
      </c>
      <c r="D6684" t="s">
        <v>11</v>
      </c>
      <c r="E6684" t="s">
        <v>35</v>
      </c>
      <c r="F6684" t="s">
        <v>15</v>
      </c>
      <c r="G6684" t="str">
        <f t="shared" si="272"/>
        <v>019BELLINA</v>
      </c>
      <c r="H6684" s="5">
        <v>1860</v>
      </c>
      <c r="I6684" s="6">
        <v>1029.5999999999999</v>
      </c>
      <c r="J6684" s="5">
        <v>7800</v>
      </c>
      <c r="K6684" s="6">
        <f t="shared" si="273"/>
        <v>1.8065268065268067</v>
      </c>
    </row>
    <row r="6685" spans="1:11" hidden="1">
      <c r="A6685" s="4">
        <v>2026</v>
      </c>
      <c r="B6685">
        <v>10</v>
      </c>
      <c r="C6685" t="s">
        <v>10</v>
      </c>
      <c r="D6685" t="s">
        <v>11</v>
      </c>
      <c r="E6685" t="s">
        <v>36</v>
      </c>
      <c r="F6685" t="s">
        <v>37</v>
      </c>
      <c r="G6685" t="str">
        <f t="shared" si="272"/>
        <v>020SUMMER DANCE</v>
      </c>
      <c r="H6685" s="5">
        <v>3700</v>
      </c>
      <c r="I6685" s="6">
        <v>1346.4</v>
      </c>
      <c r="J6685" s="5">
        <v>10200</v>
      </c>
      <c r="K6685" s="6">
        <f t="shared" si="273"/>
        <v>2.7480689245395125</v>
      </c>
    </row>
    <row r="6686" spans="1:11" hidden="1">
      <c r="A6686" s="4">
        <v>2026</v>
      </c>
      <c r="B6686">
        <v>10</v>
      </c>
      <c r="C6686" t="s">
        <v>10</v>
      </c>
      <c r="D6686" t="s">
        <v>11</v>
      </c>
      <c r="E6686" t="s">
        <v>38</v>
      </c>
      <c r="F6686" t="s">
        <v>39</v>
      </c>
      <c r="G6686" t="str">
        <f t="shared" si="272"/>
        <v>021ELEGANT ROSEVER</v>
      </c>
      <c r="H6686" s="5">
        <v>1320</v>
      </c>
      <c r="I6686" s="6">
        <v>440.18999062500001</v>
      </c>
      <c r="J6686" s="5">
        <v>3200</v>
      </c>
      <c r="K6686" s="6">
        <f t="shared" si="273"/>
        <v>2.9987051684792041</v>
      </c>
    </row>
    <row r="6687" spans="1:11" hidden="1">
      <c r="A6687" s="4">
        <v>2026</v>
      </c>
      <c r="B6687">
        <v>10</v>
      </c>
      <c r="C6687" t="s">
        <v>10</v>
      </c>
      <c r="D6687" t="s">
        <v>11</v>
      </c>
      <c r="E6687" t="s">
        <v>38</v>
      </c>
      <c r="F6687" t="s">
        <v>40</v>
      </c>
      <c r="G6687" t="str">
        <f t="shared" si="272"/>
        <v>021FLAME CLUB</v>
      </c>
      <c r="H6687" s="5">
        <v>1375</v>
      </c>
      <c r="I6687" s="6">
        <v>880.38</v>
      </c>
      <c r="J6687" s="5">
        <v>6400</v>
      </c>
      <c r="K6687" s="6">
        <f t="shared" si="273"/>
        <v>1.5618255753197483</v>
      </c>
    </row>
    <row r="6688" spans="1:11" hidden="1">
      <c r="A6688" s="4">
        <v>2026</v>
      </c>
      <c r="B6688">
        <v>10</v>
      </c>
      <c r="C6688" t="s">
        <v>10</v>
      </c>
      <c r="D6688" t="s">
        <v>11</v>
      </c>
      <c r="E6688" t="s">
        <v>38</v>
      </c>
      <c r="F6688" t="s">
        <v>41</v>
      </c>
      <c r="G6688" t="str">
        <f t="shared" si="272"/>
        <v>021KELLY</v>
      </c>
      <c r="H6688" s="5">
        <v>650</v>
      </c>
      <c r="I6688" s="6">
        <v>330.14249999999998</v>
      </c>
      <c r="J6688" s="5">
        <v>2400</v>
      </c>
      <c r="K6688" s="6">
        <f t="shared" si="273"/>
        <v>1.9688467858576222</v>
      </c>
    </row>
    <row r="6689" spans="1:11" hidden="1">
      <c r="A6689" s="4">
        <v>2026</v>
      </c>
      <c r="B6689">
        <v>10</v>
      </c>
      <c r="C6689" t="s">
        <v>10</v>
      </c>
      <c r="D6689" t="s">
        <v>11</v>
      </c>
      <c r="E6689" t="s">
        <v>38</v>
      </c>
      <c r="F6689" t="s">
        <v>42</v>
      </c>
      <c r="G6689" t="str">
        <f t="shared" si="272"/>
        <v>021LEILA</v>
      </c>
      <c r="H6689" s="5">
        <v>1700</v>
      </c>
      <c r="I6689" s="6">
        <v>1430.6175000000001</v>
      </c>
      <c r="J6689" s="5">
        <v>5600</v>
      </c>
      <c r="K6689" s="6">
        <f t="shared" si="273"/>
        <v>1.1882980601034168</v>
      </c>
    </row>
    <row r="6690" spans="1:11" hidden="1">
      <c r="A6690" s="4">
        <v>2026</v>
      </c>
      <c r="B6690">
        <v>10</v>
      </c>
      <c r="C6690" t="s">
        <v>10</v>
      </c>
      <c r="D6690" t="s">
        <v>11</v>
      </c>
      <c r="E6690" t="s">
        <v>38</v>
      </c>
      <c r="F6690" t="s">
        <v>21</v>
      </c>
      <c r="G6690" t="str">
        <f t="shared" si="272"/>
        <v>021SNOW BUBBLES</v>
      </c>
      <c r="H6690" s="5">
        <v>1880</v>
      </c>
      <c r="I6690" s="6">
        <v>1287.0000000000018</v>
      </c>
      <c r="J6690" s="5">
        <v>9400</v>
      </c>
      <c r="K6690" s="6">
        <f t="shared" si="273"/>
        <v>1.4607614607614587</v>
      </c>
    </row>
    <row r="6691" spans="1:11" hidden="1">
      <c r="A6691" s="4">
        <v>2026</v>
      </c>
      <c r="B6691">
        <v>10</v>
      </c>
      <c r="C6691" t="s">
        <v>10</v>
      </c>
      <c r="D6691" t="s">
        <v>11</v>
      </c>
      <c r="E6691" t="s">
        <v>43</v>
      </c>
      <c r="F6691" t="s">
        <v>24</v>
      </c>
      <c r="G6691" t="str">
        <f t="shared" si="272"/>
        <v>022FRUITY BUBBLES</v>
      </c>
      <c r="H6691" s="5">
        <v>3175</v>
      </c>
      <c r="I6691" s="6">
        <v>2641.14</v>
      </c>
      <c r="J6691" s="5">
        <v>19200</v>
      </c>
      <c r="K6691" s="6">
        <f t="shared" si="273"/>
        <v>1.2021324125188366</v>
      </c>
    </row>
    <row r="6692" spans="1:11" hidden="1">
      <c r="A6692" s="4">
        <v>2026</v>
      </c>
      <c r="B6692">
        <v>10</v>
      </c>
      <c r="C6692" t="s">
        <v>10</v>
      </c>
      <c r="D6692" t="s">
        <v>11</v>
      </c>
      <c r="E6692" t="s">
        <v>43</v>
      </c>
      <c r="F6692" t="s">
        <v>28</v>
      </c>
      <c r="G6692" t="str">
        <f t="shared" si="272"/>
        <v>022GOOD PEACH</v>
      </c>
      <c r="H6692" s="5">
        <v>1530</v>
      </c>
      <c r="I6692" s="6">
        <v>880.38</v>
      </c>
      <c r="J6692" s="5">
        <v>6400</v>
      </c>
      <c r="K6692" s="6">
        <f t="shared" si="273"/>
        <v>1.7378859129012472</v>
      </c>
    </row>
    <row r="6693" spans="1:11" hidden="1">
      <c r="A6693" s="4">
        <v>2026</v>
      </c>
      <c r="B6693">
        <v>10</v>
      </c>
      <c r="C6693" t="s">
        <v>10</v>
      </c>
      <c r="D6693" t="s">
        <v>11</v>
      </c>
      <c r="E6693" t="s">
        <v>43</v>
      </c>
      <c r="F6693" t="s">
        <v>44</v>
      </c>
      <c r="G6693" t="str">
        <f t="shared" si="272"/>
        <v>022MIRABEL</v>
      </c>
      <c r="H6693" s="5">
        <v>900</v>
      </c>
      <c r="I6693" s="6">
        <v>880.38</v>
      </c>
      <c r="J6693" s="5">
        <v>6400</v>
      </c>
      <c r="K6693" s="6">
        <f t="shared" si="273"/>
        <v>1.0222858311183807</v>
      </c>
    </row>
    <row r="6694" spans="1:11" hidden="1">
      <c r="A6694" s="4">
        <v>2026</v>
      </c>
      <c r="B6694">
        <v>10</v>
      </c>
      <c r="C6694" t="s">
        <v>10</v>
      </c>
      <c r="D6694" t="s">
        <v>11</v>
      </c>
      <c r="E6694" t="s">
        <v>47</v>
      </c>
      <c r="F6694" t="s">
        <v>44</v>
      </c>
      <c r="G6694" t="str">
        <f t="shared" si="272"/>
        <v>030MIRABEL</v>
      </c>
      <c r="H6694" s="5">
        <v>6600</v>
      </c>
      <c r="I6694" s="6">
        <v>2413.6749943750001</v>
      </c>
      <c r="J6694" s="5">
        <v>17600</v>
      </c>
      <c r="K6694" s="6">
        <f t="shared" si="273"/>
        <v>2.7344195118982917</v>
      </c>
    </row>
    <row r="6695" spans="1:11" hidden="1">
      <c r="A6695" s="4">
        <v>2026</v>
      </c>
      <c r="B6695">
        <v>10</v>
      </c>
      <c r="C6695" t="s">
        <v>10</v>
      </c>
      <c r="D6695" t="s">
        <v>11</v>
      </c>
      <c r="E6695" t="s">
        <v>47</v>
      </c>
      <c r="F6695" t="s">
        <v>13</v>
      </c>
      <c r="G6695" t="str">
        <f t="shared" si="272"/>
        <v>030SOMERSET</v>
      </c>
      <c r="H6695" s="5">
        <v>4420</v>
      </c>
      <c r="I6695" s="6">
        <v>1645.6875</v>
      </c>
      <c r="J6695" s="5">
        <v>12000</v>
      </c>
      <c r="K6695" s="6">
        <f t="shared" si="273"/>
        <v>2.6858076032053475</v>
      </c>
    </row>
    <row r="6696" spans="1:11" hidden="1">
      <c r="A6696" s="4">
        <v>2026</v>
      </c>
      <c r="B6696">
        <v>10</v>
      </c>
      <c r="C6696" t="s">
        <v>10</v>
      </c>
      <c r="D6696" t="s">
        <v>11</v>
      </c>
      <c r="E6696" t="s">
        <v>48</v>
      </c>
      <c r="F6696" t="s">
        <v>49</v>
      </c>
      <c r="G6696" t="str">
        <f t="shared" ref="G6696:G6757" si="274">+E6696&amp;F6696</f>
        <v>03182989</v>
      </c>
      <c r="H6696" s="5">
        <v>2460</v>
      </c>
      <c r="I6696" s="6">
        <v>726.32013058333712</v>
      </c>
      <c r="J6696" s="5">
        <v>5712</v>
      </c>
      <c r="K6696" s="6">
        <f t="shared" si="273"/>
        <v>3.3869362783932124</v>
      </c>
    </row>
    <row r="6697" spans="1:11" hidden="1">
      <c r="A6697" s="4">
        <v>2026</v>
      </c>
      <c r="B6697">
        <v>10</v>
      </c>
      <c r="C6697" t="s">
        <v>10</v>
      </c>
      <c r="D6697" t="s">
        <v>11</v>
      </c>
      <c r="E6697" t="s">
        <v>48</v>
      </c>
      <c r="F6697" t="s">
        <v>34</v>
      </c>
      <c r="G6697" t="str">
        <f t="shared" si="274"/>
        <v>031RUBICON</v>
      </c>
      <c r="H6697" s="5">
        <v>2370</v>
      </c>
      <c r="I6697" s="6">
        <v>924.39958333667107</v>
      </c>
      <c r="J6697" s="5">
        <v>6720</v>
      </c>
      <c r="K6697" s="6">
        <f t="shared" si="273"/>
        <v>2.5638263395201402</v>
      </c>
    </row>
    <row r="6698" spans="1:11" hidden="1">
      <c r="A6698" s="4">
        <v>2026</v>
      </c>
      <c r="B6698">
        <v>10</v>
      </c>
      <c r="C6698" t="s">
        <v>10</v>
      </c>
      <c r="D6698" t="s">
        <v>11</v>
      </c>
      <c r="E6698" t="s">
        <v>48</v>
      </c>
      <c r="F6698" t="s">
        <v>13</v>
      </c>
      <c r="G6698" t="str">
        <f t="shared" si="274"/>
        <v>031SOMERSET</v>
      </c>
      <c r="H6698" s="5">
        <v>6580</v>
      </c>
      <c r="I6698" s="6">
        <v>1122.485208333339</v>
      </c>
      <c r="J6698" s="5">
        <v>8160</v>
      </c>
      <c r="K6698" s="6">
        <f t="shared" si="273"/>
        <v>5.8619926134883817</v>
      </c>
    </row>
    <row r="6699" spans="1:11" hidden="1">
      <c r="A6699" s="4">
        <v>2026</v>
      </c>
      <c r="B6699">
        <v>10</v>
      </c>
      <c r="C6699" t="s">
        <v>10</v>
      </c>
      <c r="D6699" t="s">
        <v>11</v>
      </c>
      <c r="E6699" t="s">
        <v>48</v>
      </c>
      <c r="F6699" t="s">
        <v>50</v>
      </c>
      <c r="G6699" t="str">
        <f t="shared" si="274"/>
        <v>031VELVET BLOSSOMS</v>
      </c>
      <c r="H6699" s="5">
        <v>700</v>
      </c>
      <c r="I6699" s="6">
        <v>396.17125000000198</v>
      </c>
      <c r="J6699" s="5">
        <v>2880</v>
      </c>
      <c r="K6699" s="6">
        <f t="shared" si="273"/>
        <v>1.7669126671862143</v>
      </c>
    </row>
    <row r="6700" spans="1:11" hidden="1">
      <c r="A6700" s="4">
        <v>2026</v>
      </c>
      <c r="B6700">
        <v>10</v>
      </c>
      <c r="C6700" t="s">
        <v>10</v>
      </c>
      <c r="D6700" t="s">
        <v>11</v>
      </c>
      <c r="E6700" t="s">
        <v>51</v>
      </c>
      <c r="F6700" t="s">
        <v>17</v>
      </c>
      <c r="G6700" t="str">
        <f t="shared" si="274"/>
        <v>032ELBA</v>
      </c>
      <c r="H6700" s="5">
        <v>3780</v>
      </c>
      <c r="I6700" s="6">
        <v>1535.9749999999999</v>
      </c>
      <c r="J6700" s="5">
        <v>11200</v>
      </c>
      <c r="K6700" s="6">
        <f t="shared" si="273"/>
        <v>2.4609775549732258</v>
      </c>
    </row>
    <row r="6701" spans="1:11" hidden="1">
      <c r="A6701" s="4">
        <v>2026</v>
      </c>
      <c r="B6701">
        <v>10</v>
      </c>
      <c r="C6701" t="s">
        <v>10</v>
      </c>
      <c r="D6701" t="s">
        <v>11</v>
      </c>
      <c r="E6701" t="s">
        <v>51</v>
      </c>
      <c r="F6701" t="s">
        <v>44</v>
      </c>
      <c r="G6701" t="str">
        <f t="shared" si="274"/>
        <v>032MIRABEL</v>
      </c>
      <c r="H6701" s="5">
        <v>1760</v>
      </c>
      <c r="I6701" s="6">
        <v>1535.9749999999999</v>
      </c>
      <c r="J6701" s="5">
        <v>11200</v>
      </c>
      <c r="K6701" s="6">
        <f t="shared" si="273"/>
        <v>1.145851983267957</v>
      </c>
    </row>
    <row r="6702" spans="1:11" hidden="1">
      <c r="A6702" s="4">
        <v>2026</v>
      </c>
      <c r="B6702">
        <v>10</v>
      </c>
      <c r="C6702" t="s">
        <v>10</v>
      </c>
      <c r="D6702" t="s">
        <v>11</v>
      </c>
      <c r="E6702" t="s">
        <v>52</v>
      </c>
      <c r="F6702" t="s">
        <v>53</v>
      </c>
      <c r="G6702" t="str">
        <f t="shared" si="274"/>
        <v>033CREAMY FOLIES</v>
      </c>
      <c r="H6702" s="5">
        <v>1080</v>
      </c>
      <c r="I6702" s="6">
        <v>594.25687500000299</v>
      </c>
      <c r="J6702" s="5">
        <v>4320</v>
      </c>
      <c r="K6702" s="6">
        <f t="shared" si="273"/>
        <v>1.8173958862486774</v>
      </c>
    </row>
    <row r="6703" spans="1:11" hidden="1">
      <c r="A6703" s="4">
        <v>2026</v>
      </c>
      <c r="B6703">
        <v>10</v>
      </c>
      <c r="C6703" t="s">
        <v>10</v>
      </c>
      <c r="D6703" t="s">
        <v>11</v>
      </c>
      <c r="E6703" t="s">
        <v>52</v>
      </c>
      <c r="F6703" t="s">
        <v>18</v>
      </c>
      <c r="G6703" t="str">
        <f t="shared" si="274"/>
        <v>033HOT BUBBLES</v>
      </c>
      <c r="H6703" s="5">
        <v>2860</v>
      </c>
      <c r="I6703" s="6">
        <v>2575.1131250013459</v>
      </c>
      <c r="J6703" s="5">
        <v>18720</v>
      </c>
      <c r="K6703" s="6">
        <f t="shared" si="273"/>
        <v>1.110630819373617</v>
      </c>
    </row>
    <row r="6704" spans="1:11" hidden="1">
      <c r="A6704" s="4">
        <v>2026</v>
      </c>
      <c r="B6704">
        <v>10</v>
      </c>
      <c r="C6704" t="s">
        <v>54</v>
      </c>
      <c r="D6704" t="s">
        <v>11</v>
      </c>
      <c r="E6704" t="s">
        <v>55</v>
      </c>
      <c r="F6704" t="s">
        <v>56</v>
      </c>
      <c r="G6704" t="str">
        <f t="shared" si="274"/>
        <v>001BELIEVE IN PINK</v>
      </c>
      <c r="H6704" s="5">
        <v>1860</v>
      </c>
      <c r="I6704" s="6">
        <v>528.37931032368999</v>
      </c>
      <c r="J6704" s="5">
        <v>4000</v>
      </c>
      <c r="K6704" s="6">
        <f t="shared" ref="K6704:K6709" si="275">IFERROR(H6704/I6704,"")</f>
        <v>3.5201983947110778</v>
      </c>
    </row>
    <row r="6705" spans="1:11" hidden="1">
      <c r="A6705" s="4">
        <v>2026</v>
      </c>
      <c r="B6705">
        <v>10</v>
      </c>
      <c r="C6705" t="s">
        <v>54</v>
      </c>
      <c r="D6705" t="s">
        <v>11</v>
      </c>
      <c r="E6705" t="s">
        <v>55</v>
      </c>
      <c r="F6705" t="s">
        <v>57</v>
      </c>
      <c r="G6705" t="str">
        <f t="shared" si="274"/>
        <v>001EXPLORER</v>
      </c>
      <c r="H6705" s="5">
        <v>5450</v>
      </c>
      <c r="I6705" s="6">
        <v>2272.0310343918732</v>
      </c>
      <c r="J6705" s="5">
        <v>17200</v>
      </c>
      <c r="K6705" s="6">
        <f t="shared" si="275"/>
        <v>2.3987348401069419</v>
      </c>
    </row>
    <row r="6706" spans="1:11" hidden="1">
      <c r="A6706" s="4">
        <v>2026</v>
      </c>
      <c r="B6706">
        <v>10</v>
      </c>
      <c r="C6706" t="s">
        <v>54</v>
      </c>
      <c r="D6706" t="s">
        <v>11</v>
      </c>
      <c r="E6706" t="s">
        <v>55</v>
      </c>
      <c r="F6706" t="s">
        <v>58</v>
      </c>
      <c r="G6706" t="str">
        <f t="shared" si="274"/>
        <v>001GRACE KELLY</v>
      </c>
      <c r="H6706" s="5">
        <v>3480</v>
      </c>
      <c r="I6706" s="6">
        <v>1162.4344827121224</v>
      </c>
      <c r="J6706" s="5">
        <v>8800</v>
      </c>
      <c r="K6706" s="6">
        <f t="shared" si="275"/>
        <v>2.9937171098715796</v>
      </c>
    </row>
    <row r="6707" spans="1:11" hidden="1">
      <c r="A6707" s="4">
        <v>2026</v>
      </c>
      <c r="B6707">
        <v>10</v>
      </c>
      <c r="C6707" t="s">
        <v>54</v>
      </c>
      <c r="D6707" t="s">
        <v>11</v>
      </c>
      <c r="E6707" t="s">
        <v>55</v>
      </c>
      <c r="F6707" t="s">
        <v>60</v>
      </c>
      <c r="G6707" t="str">
        <f t="shared" si="274"/>
        <v>001LIGHT HOUSE</v>
      </c>
      <c r="H6707" s="5">
        <v>2400</v>
      </c>
      <c r="I6707" s="6">
        <v>1056.7586206473827</v>
      </c>
      <c r="J6707" s="5">
        <v>8000</v>
      </c>
      <c r="K6707" s="6">
        <f t="shared" si="275"/>
        <v>2.2710957385232704</v>
      </c>
    </row>
    <row r="6708" spans="1:11" hidden="1">
      <c r="A6708" s="4">
        <v>2026</v>
      </c>
      <c r="B6708">
        <v>10</v>
      </c>
      <c r="C6708" t="s">
        <v>54</v>
      </c>
      <c r="D6708" t="s">
        <v>11</v>
      </c>
      <c r="E6708" t="s">
        <v>55</v>
      </c>
      <c r="F6708" t="s">
        <v>61</v>
      </c>
      <c r="G6708" t="str">
        <f t="shared" si="274"/>
        <v>001LUMIA</v>
      </c>
      <c r="H6708" s="5">
        <v>2280</v>
      </c>
      <c r="I6708" s="6">
        <v>1109.596551679753</v>
      </c>
      <c r="J6708" s="5">
        <v>8400</v>
      </c>
      <c r="K6708" s="6">
        <f t="shared" si="275"/>
        <v>2.0548009062829564</v>
      </c>
    </row>
    <row r="6709" spans="1:11" hidden="1">
      <c r="A6709" s="4">
        <v>2026</v>
      </c>
      <c r="B6709">
        <v>10</v>
      </c>
      <c r="C6709" t="s">
        <v>54</v>
      </c>
      <c r="D6709" t="s">
        <v>11</v>
      </c>
      <c r="E6709" t="s">
        <v>55</v>
      </c>
      <c r="F6709" t="s">
        <v>62</v>
      </c>
      <c r="G6709" t="str">
        <f t="shared" si="274"/>
        <v>001MOMENTUM</v>
      </c>
      <c r="H6709" s="5">
        <v>4850</v>
      </c>
      <c r="I6709" s="6">
        <v>1902.1655171652881</v>
      </c>
      <c r="J6709" s="5">
        <v>14400</v>
      </c>
      <c r="K6709" s="6">
        <f t="shared" si="275"/>
        <v>2.5497255397772838</v>
      </c>
    </row>
    <row r="6710" spans="1:11" hidden="1">
      <c r="A6710" s="4">
        <v>2026</v>
      </c>
      <c r="B6710">
        <v>10</v>
      </c>
      <c r="C6710" t="s">
        <v>54</v>
      </c>
      <c r="D6710" t="s">
        <v>11</v>
      </c>
      <c r="E6710" t="s">
        <v>12</v>
      </c>
      <c r="F6710" t="s">
        <v>63</v>
      </c>
      <c r="G6710" t="str">
        <f t="shared" si="274"/>
        <v>002SUMMER ROMANCE</v>
      </c>
      <c r="H6710" s="5">
        <v>1275</v>
      </c>
      <c r="I6710" s="6">
        <v>951.10714281909407</v>
      </c>
      <c r="J6710" s="5">
        <v>7200</v>
      </c>
      <c r="K6710" s="6">
        <f t="shared" ref="K6710:K6772" si="276">+H6710/I6710</f>
        <v>1.3405429762843366</v>
      </c>
    </row>
    <row r="6711" spans="1:11" hidden="1">
      <c r="A6711" s="4">
        <v>2026</v>
      </c>
      <c r="B6711">
        <v>10</v>
      </c>
      <c r="C6711" t="s">
        <v>54</v>
      </c>
      <c r="D6711" t="s">
        <v>11</v>
      </c>
      <c r="E6711" t="s">
        <v>12</v>
      </c>
      <c r="F6711" t="s">
        <v>64</v>
      </c>
      <c r="G6711" t="str">
        <f t="shared" si="274"/>
        <v>002SWEETNESS</v>
      </c>
      <c r="H6711" s="5">
        <v>7620</v>
      </c>
      <c r="I6711" s="6">
        <v>3804.4285712763772</v>
      </c>
      <c r="J6711" s="5">
        <v>28800</v>
      </c>
      <c r="K6711" s="6">
        <f t="shared" si="276"/>
        <v>2.0029289175071847</v>
      </c>
    </row>
    <row r="6712" spans="1:11" hidden="1">
      <c r="A6712" s="4">
        <v>2026</v>
      </c>
      <c r="B6712">
        <v>10</v>
      </c>
      <c r="C6712" t="s">
        <v>54</v>
      </c>
      <c r="D6712" t="s">
        <v>11</v>
      </c>
      <c r="E6712" t="s">
        <v>65</v>
      </c>
      <c r="F6712" t="s">
        <v>66</v>
      </c>
      <c r="G6712" t="str">
        <f t="shared" si="274"/>
        <v>003CABARET</v>
      </c>
      <c r="H6712" s="5">
        <v>5940</v>
      </c>
      <c r="I6712" s="6">
        <v>2641.8965516184649</v>
      </c>
      <c r="J6712" s="5">
        <v>20000</v>
      </c>
      <c r="K6712" s="6">
        <f t="shared" si="276"/>
        <v>2.2483847811380309</v>
      </c>
    </row>
    <row r="6713" spans="1:11" hidden="1">
      <c r="A6713" s="4">
        <v>2026</v>
      </c>
      <c r="B6713">
        <v>10</v>
      </c>
      <c r="C6713" t="s">
        <v>54</v>
      </c>
      <c r="D6713" t="s">
        <v>11</v>
      </c>
      <c r="E6713" t="s">
        <v>65</v>
      </c>
      <c r="F6713" t="s">
        <v>67</v>
      </c>
      <c r="G6713" t="str">
        <f t="shared" si="274"/>
        <v>003DEEP PURPLE</v>
      </c>
      <c r="H6713" s="5">
        <v>12150</v>
      </c>
      <c r="I6713" s="6">
        <v>3592.9793102010913</v>
      </c>
      <c r="J6713" s="5">
        <v>26044</v>
      </c>
      <c r="K6713" s="6">
        <f t="shared" si="276"/>
        <v>3.3815947577276728</v>
      </c>
    </row>
    <row r="6714" spans="1:11" hidden="1">
      <c r="A6714" s="4">
        <v>2026</v>
      </c>
      <c r="B6714">
        <v>10</v>
      </c>
      <c r="C6714" t="s">
        <v>54</v>
      </c>
      <c r="D6714" t="s">
        <v>11</v>
      </c>
      <c r="E6714" t="s">
        <v>65</v>
      </c>
      <c r="F6714" t="s">
        <v>57</v>
      </c>
      <c r="G6714" t="str">
        <f t="shared" si="274"/>
        <v>003EXPLORER</v>
      </c>
      <c r="H6714" s="5">
        <v>2625</v>
      </c>
      <c r="I6714" s="6">
        <v>1268.1103447768633</v>
      </c>
      <c r="J6714" s="5">
        <v>9600</v>
      </c>
      <c r="K6714" s="6">
        <f t="shared" si="276"/>
        <v>2.070009136674849</v>
      </c>
    </row>
    <row r="6715" spans="1:11" hidden="1">
      <c r="A6715" s="4">
        <v>2026</v>
      </c>
      <c r="B6715">
        <v>10</v>
      </c>
      <c r="C6715" t="s">
        <v>54</v>
      </c>
      <c r="D6715" t="s">
        <v>11</v>
      </c>
      <c r="E6715" t="s">
        <v>65</v>
      </c>
      <c r="F6715" t="s">
        <v>68</v>
      </c>
      <c r="G6715" t="str">
        <f t="shared" si="274"/>
        <v>003JOCKER</v>
      </c>
      <c r="H6715" s="5">
        <v>1400</v>
      </c>
      <c r="I6715" s="6">
        <v>528.37931032368999</v>
      </c>
      <c r="J6715" s="5">
        <v>4000</v>
      </c>
      <c r="K6715" s="6">
        <f t="shared" si="276"/>
        <v>2.6496116949438222</v>
      </c>
    </row>
    <row r="6716" spans="1:11" hidden="1">
      <c r="A6716" s="4">
        <v>2026</v>
      </c>
      <c r="B6716">
        <v>10</v>
      </c>
      <c r="C6716" t="s">
        <v>54</v>
      </c>
      <c r="D6716" t="s">
        <v>11</v>
      </c>
      <c r="E6716" t="s">
        <v>65</v>
      </c>
      <c r="F6716" t="s">
        <v>69</v>
      </c>
      <c r="G6716" t="str">
        <f t="shared" si="274"/>
        <v>003QUICKSAND</v>
      </c>
      <c r="H6716" s="5">
        <v>2910</v>
      </c>
      <c r="I6716" s="6">
        <v>1162.4344827121247</v>
      </c>
      <c r="J6716" s="5">
        <v>8800</v>
      </c>
      <c r="K6716" s="6">
        <f t="shared" si="276"/>
        <v>2.5033668935995057</v>
      </c>
    </row>
    <row r="6717" spans="1:11" hidden="1">
      <c r="A6717" s="4">
        <v>2026</v>
      </c>
      <c r="B6717">
        <v>10</v>
      </c>
      <c r="C6717" t="s">
        <v>54</v>
      </c>
      <c r="D6717" t="s">
        <v>11</v>
      </c>
      <c r="E6717" t="s">
        <v>14</v>
      </c>
      <c r="F6717" t="s">
        <v>70</v>
      </c>
      <c r="G6717" t="str">
        <f t="shared" si="274"/>
        <v>004COTOPAXI</v>
      </c>
      <c r="H6717" s="5">
        <v>630</v>
      </c>
      <c r="I6717" s="6">
        <v>528.3915024419166</v>
      </c>
      <c r="J6717" s="5">
        <v>4000</v>
      </c>
      <c r="K6717" s="6">
        <f t="shared" si="276"/>
        <v>1.1922977509829518</v>
      </c>
    </row>
    <row r="6718" spans="1:11" hidden="1">
      <c r="A6718" s="4">
        <v>2026</v>
      </c>
      <c r="B6718">
        <v>10</v>
      </c>
      <c r="C6718" t="s">
        <v>54</v>
      </c>
      <c r="D6718" t="s">
        <v>11</v>
      </c>
      <c r="E6718" t="s">
        <v>14</v>
      </c>
      <c r="F6718" t="s">
        <v>67</v>
      </c>
      <c r="G6718" t="str">
        <f t="shared" si="274"/>
        <v>004DEEP PURPLE</v>
      </c>
      <c r="H6718" s="5">
        <v>10290</v>
      </c>
      <c r="I6718" s="6">
        <v>3910.1071427007282</v>
      </c>
      <c r="J6718" s="5">
        <v>29260</v>
      </c>
      <c r="K6718" s="6">
        <f t="shared" si="276"/>
        <v>2.6316414421556367</v>
      </c>
    </row>
    <row r="6719" spans="1:11" hidden="1">
      <c r="A6719" s="4">
        <v>2026</v>
      </c>
      <c r="B6719">
        <v>10</v>
      </c>
      <c r="C6719" t="s">
        <v>54</v>
      </c>
      <c r="D6719" t="s">
        <v>11</v>
      </c>
      <c r="E6719" t="s">
        <v>14</v>
      </c>
      <c r="F6719" t="s">
        <v>71</v>
      </c>
      <c r="G6719" t="str">
        <f t="shared" si="274"/>
        <v>004HOT EXPLORER</v>
      </c>
      <c r="H6719" s="5">
        <v>4275</v>
      </c>
      <c r="I6719" s="6">
        <v>1902.2142856381945</v>
      </c>
      <c r="J6719" s="5">
        <v>14400</v>
      </c>
      <c r="K6719" s="6">
        <f t="shared" si="276"/>
        <v>2.2473808720060862</v>
      </c>
    </row>
    <row r="6720" spans="1:11" hidden="1">
      <c r="A6720" s="4">
        <v>2026</v>
      </c>
      <c r="B6720">
        <v>10</v>
      </c>
      <c r="C6720" t="s">
        <v>54</v>
      </c>
      <c r="D6720" t="s">
        <v>11</v>
      </c>
      <c r="E6720" t="s">
        <v>14</v>
      </c>
      <c r="F6720" t="s">
        <v>72</v>
      </c>
      <c r="G6720" t="str">
        <f t="shared" si="274"/>
        <v>004HOT MERENGUE</v>
      </c>
      <c r="H6720" s="5">
        <v>3360</v>
      </c>
      <c r="I6720" s="6">
        <v>1162.4642856677858</v>
      </c>
      <c r="J6720" s="5">
        <v>8800</v>
      </c>
      <c r="K6720" s="6">
        <f t="shared" si="276"/>
        <v>2.890411379881511</v>
      </c>
    </row>
    <row r="6721" spans="1:11" hidden="1">
      <c r="A6721" s="4">
        <v>2026</v>
      </c>
      <c r="B6721">
        <v>10</v>
      </c>
      <c r="C6721" t="s">
        <v>54</v>
      </c>
      <c r="D6721" t="s">
        <v>11</v>
      </c>
      <c r="E6721" t="s">
        <v>14</v>
      </c>
      <c r="F6721" t="s">
        <v>64</v>
      </c>
      <c r="G6721" t="str">
        <f t="shared" si="274"/>
        <v>004SWEETNESS</v>
      </c>
      <c r="H6721" s="5">
        <v>630</v>
      </c>
      <c r="I6721" s="6">
        <v>317.03571427303262</v>
      </c>
      <c r="J6721" s="5">
        <v>2400</v>
      </c>
      <c r="K6721" s="6">
        <f t="shared" si="276"/>
        <v>1.9871578236685381</v>
      </c>
    </row>
    <row r="6722" spans="1:11" hidden="1">
      <c r="A6722" s="4">
        <v>2026</v>
      </c>
      <c r="B6722">
        <v>10</v>
      </c>
      <c r="C6722" t="s">
        <v>54</v>
      </c>
      <c r="D6722" t="s">
        <v>11</v>
      </c>
      <c r="E6722" t="s">
        <v>16</v>
      </c>
      <c r="F6722" t="s">
        <v>57</v>
      </c>
      <c r="G6722" t="str">
        <f t="shared" si="274"/>
        <v>005EXPLORER</v>
      </c>
      <c r="H6722" s="5">
        <v>1275</v>
      </c>
      <c r="I6722" s="6">
        <v>951.10714281875391</v>
      </c>
      <c r="J6722" s="5">
        <v>7200</v>
      </c>
      <c r="K6722" s="6">
        <f t="shared" si="276"/>
        <v>1.340542976284816</v>
      </c>
    </row>
    <row r="6723" spans="1:11" hidden="1">
      <c r="A6723" s="4">
        <v>2026</v>
      </c>
      <c r="B6723">
        <v>10</v>
      </c>
      <c r="C6723" t="s">
        <v>54</v>
      </c>
      <c r="D6723" t="s">
        <v>11</v>
      </c>
      <c r="E6723" t="s">
        <v>16</v>
      </c>
      <c r="F6723" t="s">
        <v>73</v>
      </c>
      <c r="G6723" t="str">
        <f t="shared" si="274"/>
        <v>005GOLDFINCH</v>
      </c>
      <c r="H6723" s="5">
        <v>1250</v>
      </c>
      <c r="I6723" s="6">
        <v>898.26785710660101</v>
      </c>
      <c r="J6723" s="5">
        <v>6800</v>
      </c>
      <c r="K6723" s="6">
        <f t="shared" si="276"/>
        <v>1.3915671034098436</v>
      </c>
    </row>
    <row r="6724" spans="1:11" hidden="1">
      <c r="A6724" s="4">
        <v>2026</v>
      </c>
      <c r="B6724">
        <v>10</v>
      </c>
      <c r="C6724" t="s">
        <v>54</v>
      </c>
      <c r="D6724" t="s">
        <v>11</v>
      </c>
      <c r="E6724" t="s">
        <v>16</v>
      </c>
      <c r="F6724" t="s">
        <v>68</v>
      </c>
      <c r="G6724" t="str">
        <f t="shared" si="274"/>
        <v>005JOCKER</v>
      </c>
      <c r="H6724" s="5">
        <v>3125</v>
      </c>
      <c r="I6724" s="6">
        <v>1162.4642856673661</v>
      </c>
      <c r="J6724" s="5">
        <v>8800</v>
      </c>
      <c r="K6724" s="6">
        <f t="shared" si="276"/>
        <v>2.6882546315871974</v>
      </c>
    </row>
    <row r="6725" spans="1:11" hidden="1">
      <c r="A6725" s="4">
        <v>2026</v>
      </c>
      <c r="B6725">
        <v>10</v>
      </c>
      <c r="C6725" t="s">
        <v>54</v>
      </c>
      <c r="D6725" t="s">
        <v>11</v>
      </c>
      <c r="E6725" t="s">
        <v>16</v>
      </c>
      <c r="F6725" t="s">
        <v>74</v>
      </c>
      <c r="G6725" t="str">
        <f t="shared" si="274"/>
        <v>005VENDELA</v>
      </c>
      <c r="H6725" s="5">
        <v>3030</v>
      </c>
      <c r="I6725" s="6">
        <v>686.91071425798896</v>
      </c>
      <c r="J6725" s="5">
        <v>5200</v>
      </c>
      <c r="K6725" s="6">
        <f t="shared" si="276"/>
        <v>4.4110536305625256</v>
      </c>
    </row>
    <row r="6726" spans="1:11" hidden="1">
      <c r="A6726" s="4">
        <v>2026</v>
      </c>
      <c r="B6726">
        <v>10</v>
      </c>
      <c r="C6726" t="s">
        <v>54</v>
      </c>
      <c r="D6726" t="s">
        <v>11</v>
      </c>
      <c r="E6726" t="s">
        <v>75</v>
      </c>
      <c r="F6726" t="s">
        <v>76</v>
      </c>
      <c r="G6726" t="str">
        <f t="shared" si="274"/>
        <v>006ATOMIC</v>
      </c>
      <c r="H6726" s="5">
        <v>1600</v>
      </c>
      <c r="I6726" s="6">
        <v>845.428571394752</v>
      </c>
      <c r="J6726" s="5">
        <v>6400</v>
      </c>
      <c r="K6726" s="6">
        <f t="shared" si="276"/>
        <v>1.8925312606367066</v>
      </c>
    </row>
    <row r="6727" spans="1:11" hidden="1">
      <c r="A6727" s="4">
        <v>2026</v>
      </c>
      <c r="B6727">
        <v>10</v>
      </c>
      <c r="C6727" t="s">
        <v>54</v>
      </c>
      <c r="D6727" t="s">
        <v>11</v>
      </c>
      <c r="E6727" t="s">
        <v>75</v>
      </c>
      <c r="F6727" t="s">
        <v>57</v>
      </c>
      <c r="G6727" t="str">
        <f t="shared" si="274"/>
        <v>006EXPLORER</v>
      </c>
      <c r="H6727" s="5">
        <v>6225</v>
      </c>
      <c r="I6727" s="6">
        <v>3910.1071427007355</v>
      </c>
      <c r="J6727" s="5">
        <v>29600</v>
      </c>
      <c r="K6727" s="6">
        <f t="shared" si="276"/>
        <v>1.592027986143713</v>
      </c>
    </row>
    <row r="6728" spans="1:11" hidden="1">
      <c r="A6728" s="4">
        <v>2026</v>
      </c>
      <c r="B6728">
        <v>10</v>
      </c>
      <c r="C6728" t="s">
        <v>54</v>
      </c>
      <c r="D6728" t="s">
        <v>11</v>
      </c>
      <c r="E6728" t="s">
        <v>75</v>
      </c>
      <c r="F6728" t="s">
        <v>77</v>
      </c>
      <c r="G6728" t="str">
        <f t="shared" si="274"/>
        <v>006MONDIAL</v>
      </c>
      <c r="H6728" s="5">
        <v>8025</v>
      </c>
      <c r="I6728" s="6">
        <v>4015.7857141250793</v>
      </c>
      <c r="J6728" s="5">
        <v>30400</v>
      </c>
      <c r="K6728" s="6">
        <f t="shared" si="276"/>
        <v>1.9983636008696768</v>
      </c>
    </row>
    <row r="6729" spans="1:11" hidden="1">
      <c r="A6729" s="4">
        <v>2026</v>
      </c>
      <c r="B6729">
        <v>10</v>
      </c>
      <c r="C6729" t="s">
        <v>54</v>
      </c>
      <c r="D6729" t="s">
        <v>11</v>
      </c>
      <c r="E6729" t="s">
        <v>20</v>
      </c>
      <c r="F6729" t="s">
        <v>70</v>
      </c>
      <c r="G6729" t="str">
        <f t="shared" si="274"/>
        <v>007COTOPAXI</v>
      </c>
      <c r="H6729" s="5">
        <v>7890</v>
      </c>
      <c r="I6729" s="6">
        <v>2747.5751230427709</v>
      </c>
      <c r="J6729" s="5">
        <v>20800</v>
      </c>
      <c r="K6729" s="6">
        <f t="shared" si="276"/>
        <v>2.871623030005567</v>
      </c>
    </row>
    <row r="6730" spans="1:11" hidden="1">
      <c r="A6730" s="4">
        <v>2026</v>
      </c>
      <c r="B6730">
        <v>10</v>
      </c>
      <c r="C6730" t="s">
        <v>54</v>
      </c>
      <c r="D6730" t="s">
        <v>11</v>
      </c>
      <c r="E6730" t="s">
        <v>20</v>
      </c>
      <c r="F6730" t="s">
        <v>78</v>
      </c>
      <c r="G6730" t="str">
        <f t="shared" si="274"/>
        <v>007REDIANT</v>
      </c>
      <c r="H6730" s="5">
        <v>1890</v>
      </c>
      <c r="I6730" s="6">
        <v>1056.75862064738</v>
      </c>
      <c r="J6730" s="5">
        <v>9600</v>
      </c>
      <c r="K6730" s="6">
        <f t="shared" si="276"/>
        <v>1.7884878940870799</v>
      </c>
    </row>
    <row r="6731" spans="1:11" hidden="1">
      <c r="A6731" s="4">
        <v>2026</v>
      </c>
      <c r="B6731">
        <v>10</v>
      </c>
      <c r="C6731" t="s">
        <v>54</v>
      </c>
      <c r="D6731" t="s">
        <v>11</v>
      </c>
      <c r="E6731" t="s">
        <v>20</v>
      </c>
      <c r="F6731" t="s">
        <v>63</v>
      </c>
      <c r="G6731" t="str">
        <f t="shared" si="274"/>
        <v>007SUMMER ROMANCE</v>
      </c>
      <c r="H6731" s="5">
        <v>675</v>
      </c>
      <c r="I6731" s="6">
        <v>369.86551722658481</v>
      </c>
      <c r="J6731" s="5">
        <v>3080</v>
      </c>
      <c r="K6731" s="6">
        <f t="shared" si="276"/>
        <v>1.8249876470276236</v>
      </c>
    </row>
    <row r="6732" spans="1:11" hidden="1">
      <c r="A6732" s="4">
        <v>2026</v>
      </c>
      <c r="B6732">
        <v>10</v>
      </c>
      <c r="C6732" t="s">
        <v>54</v>
      </c>
      <c r="D6732" t="s">
        <v>11</v>
      </c>
      <c r="E6732" t="s">
        <v>20</v>
      </c>
      <c r="F6732" t="s">
        <v>74</v>
      </c>
      <c r="G6732" t="str">
        <f t="shared" si="274"/>
        <v>007VENDELA</v>
      </c>
      <c r="H6732" s="5">
        <v>15360</v>
      </c>
      <c r="I6732" s="6">
        <v>3592.9793102011122</v>
      </c>
      <c r="J6732" s="5">
        <v>27820</v>
      </c>
      <c r="K6732" s="6">
        <f t="shared" si="276"/>
        <v>4.2750037431026131</v>
      </c>
    </row>
    <row r="6733" spans="1:11" hidden="1">
      <c r="A6733" s="4">
        <v>2026</v>
      </c>
      <c r="B6733">
        <v>10</v>
      </c>
      <c r="C6733" t="s">
        <v>54</v>
      </c>
      <c r="D6733" t="s">
        <v>11</v>
      </c>
      <c r="E6733" t="s">
        <v>79</v>
      </c>
      <c r="F6733" t="s">
        <v>67</v>
      </c>
      <c r="G6733" t="str">
        <f t="shared" si="274"/>
        <v>008DEEP PURPLE</v>
      </c>
      <c r="H6733" s="5">
        <v>2940</v>
      </c>
      <c r="I6733" s="6">
        <v>1585.2222221588099</v>
      </c>
      <c r="J6733" s="5">
        <v>11490</v>
      </c>
      <c r="K6733" s="6">
        <f t="shared" si="276"/>
        <v>1.8546295648039852</v>
      </c>
    </row>
    <row r="6734" spans="1:11" hidden="1">
      <c r="A6734" s="4">
        <v>2026</v>
      </c>
      <c r="B6734">
        <v>10</v>
      </c>
      <c r="C6734" t="s">
        <v>54</v>
      </c>
      <c r="D6734" t="s">
        <v>11</v>
      </c>
      <c r="E6734" t="s">
        <v>79</v>
      </c>
      <c r="F6734" t="s">
        <v>81</v>
      </c>
      <c r="G6734" t="str">
        <f t="shared" si="274"/>
        <v>008FREEDOM</v>
      </c>
      <c r="H6734" s="5">
        <v>5460</v>
      </c>
      <c r="I6734" s="6">
        <v>2219.311111022334</v>
      </c>
      <c r="J6734" s="5">
        <v>16800</v>
      </c>
      <c r="K6734" s="6">
        <f t="shared" si="276"/>
        <v>2.4602228920869189</v>
      </c>
    </row>
    <row r="6735" spans="1:11" hidden="1">
      <c r="A6735" s="4">
        <v>2026</v>
      </c>
      <c r="B6735">
        <v>10</v>
      </c>
      <c r="C6735" t="s">
        <v>54</v>
      </c>
      <c r="D6735" t="s">
        <v>11</v>
      </c>
      <c r="E6735" t="s">
        <v>79</v>
      </c>
      <c r="F6735" t="s">
        <v>68</v>
      </c>
      <c r="G6735" t="str">
        <f t="shared" si="274"/>
        <v>008JOCKER</v>
      </c>
      <c r="H6735" s="5">
        <v>6800</v>
      </c>
      <c r="I6735" s="6">
        <v>2959.0814813631118</v>
      </c>
      <c r="J6735" s="5">
        <v>22400</v>
      </c>
      <c r="K6735" s="6">
        <f t="shared" si="276"/>
        <v>2.2980103937075618</v>
      </c>
    </row>
    <row r="6736" spans="1:11" hidden="1">
      <c r="A6736" s="4">
        <v>2026</v>
      </c>
      <c r="B6736">
        <v>10</v>
      </c>
      <c r="C6736" t="s">
        <v>54</v>
      </c>
      <c r="D6736" t="s">
        <v>11</v>
      </c>
      <c r="E6736" t="s">
        <v>79</v>
      </c>
      <c r="F6736" t="s">
        <v>61</v>
      </c>
      <c r="G6736" t="str">
        <f t="shared" si="274"/>
        <v>008LUMIA</v>
      </c>
      <c r="H6736" s="5">
        <v>630</v>
      </c>
      <c r="I6736" s="6">
        <v>1796.5851851133182</v>
      </c>
      <c r="J6736" s="5">
        <v>13600</v>
      </c>
      <c r="K6736" s="6">
        <f t="shared" si="276"/>
        <v>0.35066525384949293</v>
      </c>
    </row>
    <row r="6737" spans="1:11" hidden="1">
      <c r="A6737" s="4">
        <v>2026</v>
      </c>
      <c r="B6737">
        <v>10</v>
      </c>
      <c r="C6737" t="s">
        <v>54</v>
      </c>
      <c r="D6737" t="s">
        <v>11</v>
      </c>
      <c r="E6737" t="s">
        <v>82</v>
      </c>
      <c r="F6737" t="s">
        <v>83</v>
      </c>
      <c r="G6737" t="str">
        <f t="shared" si="274"/>
        <v>010COOLDOWN</v>
      </c>
      <c r="H6737" s="5">
        <v>3275</v>
      </c>
      <c r="I6737" s="6">
        <v>1912.3542857142861</v>
      </c>
      <c r="J6737" s="5">
        <v>16320</v>
      </c>
      <c r="K6737" s="6">
        <f t="shared" si="276"/>
        <v>1.7125487805606847</v>
      </c>
    </row>
    <row r="6738" spans="1:11" hidden="1">
      <c r="A6738" s="4">
        <v>2026</v>
      </c>
      <c r="B6738">
        <v>10</v>
      </c>
      <c r="C6738" t="s">
        <v>54</v>
      </c>
      <c r="D6738" t="s">
        <v>11</v>
      </c>
      <c r="E6738" t="s">
        <v>82</v>
      </c>
      <c r="F6738" t="s">
        <v>84</v>
      </c>
      <c r="G6738" t="str">
        <f t="shared" si="274"/>
        <v>010VIOLET HILL</v>
      </c>
      <c r="H6738" s="5">
        <v>2790</v>
      </c>
      <c r="I6738" s="6">
        <v>2812.2857142428579</v>
      </c>
      <c r="J6738" s="5">
        <v>20000</v>
      </c>
      <c r="K6738" s="6">
        <f t="shared" si="276"/>
        <v>0.99207558672648666</v>
      </c>
    </row>
    <row r="6739" spans="1:11" hidden="1">
      <c r="A6739" s="4">
        <v>2026</v>
      </c>
      <c r="B6739">
        <v>10</v>
      </c>
      <c r="C6739" t="s">
        <v>54</v>
      </c>
      <c r="D6739" t="s">
        <v>11</v>
      </c>
      <c r="E6739" t="s">
        <v>85</v>
      </c>
      <c r="F6739" t="s">
        <v>86</v>
      </c>
      <c r="G6739" t="str">
        <f t="shared" si="274"/>
        <v>011BRIGHTON</v>
      </c>
      <c r="H6739" s="5">
        <v>3400</v>
      </c>
      <c r="I6739" s="6">
        <v>1768.8376470588223</v>
      </c>
      <c r="J6739" s="5">
        <v>12800</v>
      </c>
      <c r="K6739" s="6">
        <f t="shared" si="276"/>
        <v>1.9221662347889488</v>
      </c>
    </row>
    <row r="6740" spans="1:11" hidden="1">
      <c r="A6740" s="4">
        <v>2026</v>
      </c>
      <c r="B6740">
        <v>10</v>
      </c>
      <c r="C6740" t="s">
        <v>54</v>
      </c>
      <c r="D6740" t="s">
        <v>11</v>
      </c>
      <c r="E6740" t="s">
        <v>85</v>
      </c>
      <c r="F6740" t="s">
        <v>87</v>
      </c>
      <c r="G6740" t="str">
        <f t="shared" si="274"/>
        <v>011CANDLELIGHT</v>
      </c>
      <c r="H6740" s="5">
        <v>8660</v>
      </c>
      <c r="I6740" s="6">
        <v>2263.7999998868127</v>
      </c>
      <c r="J6740" s="5">
        <v>17920</v>
      </c>
      <c r="K6740" s="6">
        <f t="shared" si="276"/>
        <v>3.8254262745971332</v>
      </c>
    </row>
    <row r="6741" spans="1:11" hidden="1">
      <c r="A6741" s="4">
        <v>2026</v>
      </c>
      <c r="B6741">
        <v>10</v>
      </c>
      <c r="C6741" t="s">
        <v>54</v>
      </c>
      <c r="D6741" t="s">
        <v>11</v>
      </c>
      <c r="E6741" t="s">
        <v>85</v>
      </c>
      <c r="F6741" t="s">
        <v>88</v>
      </c>
      <c r="G6741" t="str">
        <f t="shared" si="274"/>
        <v>011CAYENNE</v>
      </c>
      <c r="H6741" s="5">
        <v>1080</v>
      </c>
      <c r="I6741" s="6">
        <v>994.97117647058747</v>
      </c>
      <c r="J6741" s="5">
        <v>7200</v>
      </c>
      <c r="K6741" s="6">
        <f t="shared" si="276"/>
        <v>1.0854585796455241</v>
      </c>
    </row>
    <row r="6742" spans="1:11" hidden="1">
      <c r="A6742" s="4">
        <v>2026</v>
      </c>
      <c r="B6742">
        <v>10</v>
      </c>
      <c r="C6742" t="s">
        <v>54</v>
      </c>
      <c r="D6742" t="s">
        <v>11</v>
      </c>
      <c r="E6742" t="s">
        <v>85</v>
      </c>
      <c r="F6742" t="s">
        <v>61</v>
      </c>
      <c r="G6742" t="str">
        <f t="shared" si="274"/>
        <v>011LUMIA</v>
      </c>
      <c r="H6742" s="5">
        <v>2670</v>
      </c>
      <c r="I6742" s="6">
        <v>994.97117647058747</v>
      </c>
      <c r="J6742" s="5">
        <v>7920</v>
      </c>
      <c r="K6742" s="6">
        <f t="shared" si="276"/>
        <v>2.6834948219014345</v>
      </c>
    </row>
    <row r="6743" spans="1:11" hidden="1">
      <c r="A6743" s="4">
        <v>2026</v>
      </c>
      <c r="B6743">
        <v>10</v>
      </c>
      <c r="C6743" t="s">
        <v>54</v>
      </c>
      <c r="D6743" t="s">
        <v>11</v>
      </c>
      <c r="E6743" t="s">
        <v>85</v>
      </c>
      <c r="F6743" t="s">
        <v>89</v>
      </c>
      <c r="G6743" t="str">
        <f t="shared" si="274"/>
        <v>011STARDUST</v>
      </c>
      <c r="H6743" s="5">
        <v>4850</v>
      </c>
      <c r="I6743" s="6">
        <v>2263.7999998868127</v>
      </c>
      <c r="J6743" s="5">
        <v>17920</v>
      </c>
      <c r="K6743" s="6">
        <f t="shared" si="276"/>
        <v>2.1424154078286484</v>
      </c>
    </row>
    <row r="6744" spans="1:11" hidden="1">
      <c r="A6744" s="4">
        <v>2026</v>
      </c>
      <c r="B6744">
        <v>10</v>
      </c>
      <c r="C6744" t="s">
        <v>54</v>
      </c>
      <c r="D6744" t="s">
        <v>11</v>
      </c>
      <c r="E6744" t="s">
        <v>90</v>
      </c>
      <c r="F6744" t="s">
        <v>67</v>
      </c>
      <c r="G6744" t="str">
        <f t="shared" si="274"/>
        <v>012DEEP PURPLE</v>
      </c>
      <c r="H6744" s="5">
        <v>17550</v>
      </c>
      <c r="I6744" s="6">
        <v>6727.0499997982479</v>
      </c>
      <c r="J6744" s="5">
        <v>49210</v>
      </c>
      <c r="K6744" s="6">
        <f t="shared" si="276"/>
        <v>2.6088701586172758</v>
      </c>
    </row>
    <row r="6745" spans="1:11" hidden="1">
      <c r="A6745" s="4">
        <v>2026</v>
      </c>
      <c r="B6745">
        <v>10</v>
      </c>
      <c r="C6745" t="s">
        <v>54</v>
      </c>
      <c r="D6745" t="s">
        <v>11</v>
      </c>
      <c r="E6745" t="s">
        <v>90</v>
      </c>
      <c r="F6745" t="s">
        <v>60</v>
      </c>
      <c r="G6745" t="str">
        <f t="shared" si="274"/>
        <v>012LIGHT HOUSE</v>
      </c>
      <c r="H6745" s="5">
        <v>1620</v>
      </c>
      <c r="I6745" s="6">
        <v>994.95</v>
      </c>
      <c r="J6745" s="5">
        <v>7200</v>
      </c>
      <c r="K6745" s="6">
        <f t="shared" si="276"/>
        <v>1.6282225237449117</v>
      </c>
    </row>
    <row r="6746" spans="1:11" hidden="1">
      <c r="A6746" s="4">
        <v>2026</v>
      </c>
      <c r="B6746">
        <v>10</v>
      </c>
      <c r="C6746" t="s">
        <v>54</v>
      </c>
      <c r="D6746" t="s">
        <v>11</v>
      </c>
      <c r="E6746" t="s">
        <v>91</v>
      </c>
      <c r="F6746" t="s">
        <v>92</v>
      </c>
      <c r="G6746" t="str">
        <f t="shared" si="274"/>
        <v>013COUNTRY BLUES</v>
      </c>
      <c r="H6746" s="5">
        <v>2250</v>
      </c>
      <c r="I6746" s="6">
        <v>831.6</v>
      </c>
      <c r="J6746" s="5">
        <v>6300</v>
      </c>
      <c r="K6746" s="6">
        <f t="shared" si="276"/>
        <v>2.7056277056277054</v>
      </c>
    </row>
    <row r="6747" spans="1:11" hidden="1">
      <c r="A6747" s="4">
        <v>2026</v>
      </c>
      <c r="B6747">
        <v>10</v>
      </c>
      <c r="C6747" t="s">
        <v>54</v>
      </c>
      <c r="D6747" t="s">
        <v>11</v>
      </c>
      <c r="E6747" t="s">
        <v>91</v>
      </c>
      <c r="F6747" t="s">
        <v>93</v>
      </c>
      <c r="G6747" t="str">
        <f t="shared" si="274"/>
        <v>013LORRAINE</v>
      </c>
      <c r="H6747" s="5">
        <v>3750</v>
      </c>
      <c r="I6747" s="6">
        <v>1267.2</v>
      </c>
      <c r="J6747" s="5">
        <v>9600</v>
      </c>
      <c r="K6747" s="6">
        <f t="shared" si="276"/>
        <v>2.9592803030303028</v>
      </c>
    </row>
    <row r="6748" spans="1:11" hidden="1">
      <c r="A6748" s="4">
        <v>2026</v>
      </c>
      <c r="B6748">
        <v>10</v>
      </c>
      <c r="C6748" t="s">
        <v>54</v>
      </c>
      <c r="D6748" t="s">
        <v>11</v>
      </c>
      <c r="E6748" t="s">
        <v>91</v>
      </c>
      <c r="F6748" t="s">
        <v>61</v>
      </c>
      <c r="G6748" t="str">
        <f t="shared" si="274"/>
        <v>013LUMIA</v>
      </c>
      <c r="H6748" s="5">
        <v>450</v>
      </c>
      <c r="I6748" s="6">
        <v>316.8</v>
      </c>
      <c r="J6748" s="5">
        <v>2400</v>
      </c>
      <c r="K6748" s="6">
        <f t="shared" si="276"/>
        <v>1.4204545454545454</v>
      </c>
    </row>
    <row r="6749" spans="1:11" hidden="1">
      <c r="A6749" s="4">
        <v>2026</v>
      </c>
      <c r="B6749">
        <v>10</v>
      </c>
      <c r="C6749" t="s">
        <v>54</v>
      </c>
      <c r="D6749" t="s">
        <v>11</v>
      </c>
      <c r="E6749" t="s">
        <v>91</v>
      </c>
      <c r="F6749" t="s">
        <v>74</v>
      </c>
      <c r="G6749" t="str">
        <f t="shared" si="274"/>
        <v>013VENDELA</v>
      </c>
      <c r="H6749" s="5">
        <v>15510</v>
      </c>
      <c r="I6749" s="6">
        <v>3603.6</v>
      </c>
      <c r="J6749" s="5">
        <v>27296</v>
      </c>
      <c r="K6749" s="6">
        <f t="shared" si="276"/>
        <v>4.3040293040293038</v>
      </c>
    </row>
    <row r="6750" spans="1:11" hidden="1">
      <c r="A6750" s="4">
        <v>2026</v>
      </c>
      <c r="B6750">
        <v>10</v>
      </c>
      <c r="C6750" t="s">
        <v>54</v>
      </c>
      <c r="D6750" t="s">
        <v>11</v>
      </c>
      <c r="E6750" t="s">
        <v>23</v>
      </c>
      <c r="F6750" t="s">
        <v>89</v>
      </c>
      <c r="G6750" t="str">
        <f t="shared" si="274"/>
        <v>014STARDUST</v>
      </c>
      <c r="H6750" s="5">
        <v>6550</v>
      </c>
      <c r="I6750" s="6">
        <v>3682.8</v>
      </c>
      <c r="J6750" s="5">
        <v>27900</v>
      </c>
      <c r="K6750" s="6">
        <f t="shared" si="276"/>
        <v>1.7785380688606494</v>
      </c>
    </row>
    <row r="6751" spans="1:11" hidden="1">
      <c r="A6751" s="4">
        <v>2026</v>
      </c>
      <c r="B6751">
        <v>10</v>
      </c>
      <c r="C6751" t="s">
        <v>54</v>
      </c>
      <c r="D6751" t="s">
        <v>11</v>
      </c>
      <c r="E6751" t="s">
        <v>25</v>
      </c>
      <c r="F6751" t="s">
        <v>68</v>
      </c>
      <c r="G6751" t="str">
        <f t="shared" si="274"/>
        <v>015JOCKER</v>
      </c>
      <c r="H6751" s="5">
        <v>4600</v>
      </c>
      <c r="I6751" s="6">
        <v>2376</v>
      </c>
      <c r="J6751" s="5">
        <v>18000</v>
      </c>
      <c r="K6751" s="6">
        <f t="shared" si="276"/>
        <v>1.936026936026936</v>
      </c>
    </row>
    <row r="6752" spans="1:11" hidden="1">
      <c r="A6752" s="4">
        <v>2026</v>
      </c>
      <c r="B6752">
        <v>10</v>
      </c>
      <c r="C6752" t="s">
        <v>54</v>
      </c>
      <c r="D6752" t="s">
        <v>11</v>
      </c>
      <c r="E6752" t="s">
        <v>27</v>
      </c>
      <c r="F6752" t="s">
        <v>94</v>
      </c>
      <c r="G6752" t="str">
        <f t="shared" si="274"/>
        <v>016DREAM IN PEACH</v>
      </c>
      <c r="H6752" s="5">
        <v>1830</v>
      </c>
      <c r="I6752" s="6">
        <v>950.4</v>
      </c>
      <c r="J6752" s="5">
        <v>7200</v>
      </c>
      <c r="K6752" s="6">
        <f t="shared" si="276"/>
        <v>1.9255050505050506</v>
      </c>
    </row>
    <row r="6753" spans="1:11" hidden="1">
      <c r="A6753" s="4">
        <v>2026</v>
      </c>
      <c r="B6753">
        <v>10</v>
      </c>
      <c r="C6753" t="s">
        <v>54</v>
      </c>
      <c r="D6753" t="s">
        <v>11</v>
      </c>
      <c r="E6753" t="s">
        <v>27</v>
      </c>
      <c r="F6753" t="s">
        <v>95</v>
      </c>
      <c r="G6753" t="str">
        <f t="shared" si="274"/>
        <v>016NINA</v>
      </c>
      <c r="H6753" s="5">
        <v>3925</v>
      </c>
      <c r="I6753" s="6">
        <v>1346.4</v>
      </c>
      <c r="J6753" s="5">
        <v>10200</v>
      </c>
      <c r="K6753" s="6">
        <f t="shared" si="276"/>
        <v>2.9151812240047534</v>
      </c>
    </row>
    <row r="6754" spans="1:11" hidden="1">
      <c r="A6754" s="4">
        <v>2026</v>
      </c>
      <c r="B6754">
        <v>10</v>
      </c>
      <c r="C6754" t="s">
        <v>54</v>
      </c>
      <c r="D6754" t="s">
        <v>11</v>
      </c>
      <c r="E6754" t="s">
        <v>30</v>
      </c>
      <c r="F6754" t="s">
        <v>81</v>
      </c>
      <c r="G6754" t="str">
        <f t="shared" si="274"/>
        <v>017FREEDOM</v>
      </c>
      <c r="H6754" s="5">
        <v>7830</v>
      </c>
      <c r="I6754" s="6">
        <v>2851.2</v>
      </c>
      <c r="J6754" s="5">
        <v>21600</v>
      </c>
      <c r="K6754" s="6">
        <f t="shared" si="276"/>
        <v>2.7462121212121215</v>
      </c>
    </row>
    <row r="6755" spans="1:11" hidden="1">
      <c r="A6755" s="4">
        <v>2026</v>
      </c>
      <c r="B6755">
        <v>10</v>
      </c>
      <c r="C6755" t="s">
        <v>54</v>
      </c>
      <c r="D6755" t="s">
        <v>11</v>
      </c>
      <c r="E6755" t="s">
        <v>30</v>
      </c>
      <c r="F6755" t="s">
        <v>73</v>
      </c>
      <c r="G6755" t="str">
        <f t="shared" si="274"/>
        <v>017GOLDFINCH</v>
      </c>
      <c r="H6755" s="5">
        <v>3450</v>
      </c>
      <c r="I6755" s="6">
        <v>2138.4</v>
      </c>
      <c r="J6755" s="5">
        <v>16200</v>
      </c>
      <c r="K6755" s="6">
        <f t="shared" si="276"/>
        <v>1.6133557800224467</v>
      </c>
    </row>
    <row r="6756" spans="1:11" hidden="1">
      <c r="A6756" s="4">
        <v>2026</v>
      </c>
      <c r="B6756">
        <v>10</v>
      </c>
      <c r="C6756" t="s">
        <v>54</v>
      </c>
      <c r="D6756" t="s">
        <v>11</v>
      </c>
      <c r="E6756" t="s">
        <v>32</v>
      </c>
      <c r="F6756" t="s">
        <v>86</v>
      </c>
      <c r="G6756" t="str">
        <f t="shared" si="274"/>
        <v>018BRIGHTON</v>
      </c>
      <c r="H6756" s="5">
        <v>2475</v>
      </c>
      <c r="I6756" s="6">
        <v>963.6</v>
      </c>
      <c r="J6756" s="5">
        <v>7570</v>
      </c>
      <c r="K6756" s="6">
        <f t="shared" si="276"/>
        <v>2.5684931506849313</v>
      </c>
    </row>
    <row r="6757" spans="1:11" hidden="1">
      <c r="A6757" s="4">
        <v>2026</v>
      </c>
      <c r="B6757">
        <v>10</v>
      </c>
      <c r="C6757" t="s">
        <v>54</v>
      </c>
      <c r="D6757" t="s">
        <v>11</v>
      </c>
      <c r="E6757" t="s">
        <v>35</v>
      </c>
      <c r="F6757" t="s">
        <v>86</v>
      </c>
      <c r="G6757" t="str">
        <f t="shared" si="274"/>
        <v>019BRIGHTON</v>
      </c>
      <c r="H6757" s="5">
        <v>6575</v>
      </c>
      <c r="I6757" s="6">
        <v>3168</v>
      </c>
      <c r="J6757" s="5">
        <v>24000</v>
      </c>
      <c r="K6757" s="6">
        <f t="shared" si="276"/>
        <v>2.0754419191919191</v>
      </c>
    </row>
    <row r="6758" spans="1:11" hidden="1">
      <c r="A6758" s="4">
        <v>2026</v>
      </c>
      <c r="B6758">
        <v>10</v>
      </c>
      <c r="C6758" t="s">
        <v>54</v>
      </c>
      <c r="D6758" t="s">
        <v>11</v>
      </c>
      <c r="E6758" t="s">
        <v>35</v>
      </c>
      <c r="F6758" t="s">
        <v>96</v>
      </c>
      <c r="G6758" t="str">
        <f t="shared" ref="G6758:G6818" si="277">+E6758&amp;F6758</f>
        <v>019TABATHA</v>
      </c>
      <c r="H6758" s="5">
        <v>2940</v>
      </c>
      <c r="I6758" s="6">
        <v>1188</v>
      </c>
      <c r="J6758" s="5">
        <v>9000</v>
      </c>
      <c r="K6758" s="6">
        <f t="shared" si="276"/>
        <v>2.4747474747474749</v>
      </c>
    </row>
    <row r="6759" spans="1:11" hidden="1">
      <c r="A6759" s="4">
        <v>2026</v>
      </c>
      <c r="B6759">
        <v>10</v>
      </c>
      <c r="C6759" t="s">
        <v>54</v>
      </c>
      <c r="D6759" t="s">
        <v>11</v>
      </c>
      <c r="E6759" t="s">
        <v>36</v>
      </c>
      <c r="F6759" t="s">
        <v>86</v>
      </c>
      <c r="G6759" t="str">
        <f t="shared" si="277"/>
        <v>020BRIGHTON</v>
      </c>
      <c r="H6759" s="5">
        <v>4800</v>
      </c>
      <c r="I6759" s="6">
        <v>2732.4</v>
      </c>
      <c r="J6759" s="5">
        <v>20700</v>
      </c>
      <c r="K6759" s="6">
        <f t="shared" si="276"/>
        <v>1.7566974088713219</v>
      </c>
    </row>
    <row r="6760" spans="1:11" hidden="1">
      <c r="A6760" s="4">
        <v>2026</v>
      </c>
      <c r="B6760">
        <v>10</v>
      </c>
      <c r="C6760" t="s">
        <v>54</v>
      </c>
      <c r="D6760" t="s">
        <v>11</v>
      </c>
      <c r="E6760" t="s">
        <v>36</v>
      </c>
      <c r="F6760" t="s">
        <v>97</v>
      </c>
      <c r="G6760" t="str">
        <f t="shared" si="277"/>
        <v>020TYCOON</v>
      </c>
      <c r="H6760" s="5">
        <v>1140</v>
      </c>
      <c r="I6760" s="6">
        <v>673.2</v>
      </c>
      <c r="J6760" s="5">
        <v>5100</v>
      </c>
      <c r="K6760" s="6">
        <f t="shared" si="276"/>
        <v>1.6934046345811051</v>
      </c>
    </row>
    <row r="6761" spans="1:11" hidden="1">
      <c r="A6761" s="4">
        <v>2026</v>
      </c>
      <c r="B6761">
        <v>10</v>
      </c>
      <c r="C6761" t="s">
        <v>54</v>
      </c>
      <c r="D6761" t="s">
        <v>11</v>
      </c>
      <c r="E6761" t="s">
        <v>38</v>
      </c>
      <c r="F6761" t="s">
        <v>98</v>
      </c>
      <c r="G6761" t="str">
        <f t="shared" si="277"/>
        <v>021SHOW GIRL</v>
      </c>
      <c r="H6761" s="5">
        <v>1850</v>
      </c>
      <c r="I6761" s="6">
        <v>1100.4749999999999</v>
      </c>
      <c r="J6761" s="5">
        <v>8000</v>
      </c>
      <c r="K6761" s="6">
        <f t="shared" si="276"/>
        <v>1.6810922556168928</v>
      </c>
    </row>
    <row r="6762" spans="1:11" hidden="1">
      <c r="A6762" s="4">
        <v>2026</v>
      </c>
      <c r="B6762">
        <v>10</v>
      </c>
      <c r="C6762" t="s">
        <v>54</v>
      </c>
      <c r="D6762" t="s">
        <v>11</v>
      </c>
      <c r="E6762" t="s">
        <v>43</v>
      </c>
      <c r="F6762" t="s">
        <v>99</v>
      </c>
      <c r="G6762" t="str">
        <f t="shared" si="277"/>
        <v>022CORAL REEF</v>
      </c>
      <c r="H6762" s="5">
        <v>3500</v>
      </c>
      <c r="I6762" s="6">
        <v>1287</v>
      </c>
      <c r="J6762" s="5">
        <v>9400</v>
      </c>
      <c r="K6762" s="6">
        <f t="shared" si="276"/>
        <v>2.7195027195027195</v>
      </c>
    </row>
    <row r="6763" spans="1:11" hidden="1">
      <c r="A6763" s="4">
        <v>2026</v>
      </c>
      <c r="B6763">
        <v>10</v>
      </c>
      <c r="C6763" t="s">
        <v>54</v>
      </c>
      <c r="D6763" t="s">
        <v>11</v>
      </c>
      <c r="E6763" t="s">
        <v>100</v>
      </c>
      <c r="F6763" t="s">
        <v>70</v>
      </c>
      <c r="G6763" t="str">
        <f t="shared" si="277"/>
        <v>023COTOPAXI</v>
      </c>
      <c r="H6763" s="5">
        <v>3540</v>
      </c>
      <c r="I6763" s="6">
        <v>2641.14</v>
      </c>
      <c r="J6763" s="5">
        <v>19200</v>
      </c>
      <c r="K6763" s="6">
        <f t="shared" si="276"/>
        <v>1.3403303119107659</v>
      </c>
    </row>
    <row r="6764" spans="1:11" hidden="1">
      <c r="A6764" s="4">
        <v>2026</v>
      </c>
      <c r="B6764">
        <v>10</v>
      </c>
      <c r="C6764" t="s">
        <v>54</v>
      </c>
      <c r="D6764" t="s">
        <v>11</v>
      </c>
      <c r="E6764" t="s">
        <v>100</v>
      </c>
      <c r="F6764" t="s">
        <v>101</v>
      </c>
      <c r="G6764" t="str">
        <f t="shared" si="277"/>
        <v>023FRUTTETO</v>
      </c>
      <c r="H6764" s="5">
        <v>5070</v>
      </c>
      <c r="I6764" s="6">
        <v>2641.14</v>
      </c>
      <c r="J6764" s="5">
        <v>19200</v>
      </c>
      <c r="K6764" s="6">
        <f t="shared" si="276"/>
        <v>1.9196256162111816</v>
      </c>
    </row>
    <row r="6765" spans="1:11" hidden="1">
      <c r="A6765" s="4">
        <v>2026</v>
      </c>
      <c r="B6765">
        <v>10</v>
      </c>
      <c r="C6765" t="s">
        <v>54</v>
      </c>
      <c r="D6765" t="s">
        <v>11</v>
      </c>
      <c r="E6765" t="s">
        <v>102</v>
      </c>
      <c r="F6765" t="s">
        <v>70</v>
      </c>
      <c r="G6765" t="str">
        <f t="shared" si="277"/>
        <v>024COTOPAXI</v>
      </c>
      <c r="H6765" s="5">
        <v>1860</v>
      </c>
      <c r="I6765" s="6">
        <v>1430.6174906250001</v>
      </c>
      <c r="J6765" s="5">
        <v>10400</v>
      </c>
      <c r="K6765" s="6">
        <f t="shared" si="276"/>
        <v>1.3001378860448671</v>
      </c>
    </row>
    <row r="6766" spans="1:11" hidden="1">
      <c r="A6766" s="4">
        <v>2026</v>
      </c>
      <c r="B6766">
        <v>10</v>
      </c>
      <c r="C6766" t="s">
        <v>54</v>
      </c>
      <c r="D6766" t="s">
        <v>11</v>
      </c>
      <c r="E6766" t="s">
        <v>102</v>
      </c>
      <c r="F6766" t="s">
        <v>64</v>
      </c>
      <c r="G6766" t="str">
        <f t="shared" si="277"/>
        <v>024SWEETNESS</v>
      </c>
      <c r="H6766" s="5">
        <v>2160</v>
      </c>
      <c r="I6766" s="6">
        <v>1430.6175000000001</v>
      </c>
      <c r="J6766" s="5">
        <v>10400</v>
      </c>
      <c r="K6766" s="6">
        <f t="shared" si="276"/>
        <v>1.5098375351902238</v>
      </c>
    </row>
    <row r="6767" spans="1:11" hidden="1">
      <c r="A6767" s="4">
        <v>2026</v>
      </c>
      <c r="B6767">
        <v>10</v>
      </c>
      <c r="C6767" t="s">
        <v>54</v>
      </c>
      <c r="D6767" t="s">
        <v>11</v>
      </c>
      <c r="E6767" t="s">
        <v>102</v>
      </c>
      <c r="F6767" t="s">
        <v>97</v>
      </c>
      <c r="G6767" t="str">
        <f t="shared" si="277"/>
        <v>024TYCOON</v>
      </c>
      <c r="H6767" s="5">
        <v>3180</v>
      </c>
      <c r="I6767" s="6">
        <v>2861.2350000000001</v>
      </c>
      <c r="J6767" s="5">
        <v>20800</v>
      </c>
      <c r="K6767" s="6">
        <f t="shared" si="276"/>
        <v>1.1114081856261369</v>
      </c>
    </row>
    <row r="6768" spans="1:11" hidden="1">
      <c r="A6768" s="4">
        <v>2026</v>
      </c>
      <c r="B6768">
        <v>10</v>
      </c>
      <c r="C6768" t="s">
        <v>54</v>
      </c>
      <c r="D6768" t="s">
        <v>11</v>
      </c>
      <c r="E6768" t="s">
        <v>103</v>
      </c>
      <c r="F6768" t="s">
        <v>104</v>
      </c>
      <c r="G6768" t="str">
        <f t="shared" si="277"/>
        <v>025PINK MONDIAL</v>
      </c>
      <c r="H6768" s="5">
        <v>7525</v>
      </c>
      <c r="I6768" s="6">
        <v>3071.9505625000002</v>
      </c>
      <c r="J6768" s="5">
        <v>22400</v>
      </c>
      <c r="K6768" s="6">
        <f t="shared" si="276"/>
        <v>2.4495836918273972</v>
      </c>
    </row>
    <row r="6769" spans="1:11" hidden="1">
      <c r="A6769" s="4">
        <v>2026</v>
      </c>
      <c r="B6769">
        <v>10</v>
      </c>
      <c r="C6769" t="s">
        <v>54</v>
      </c>
      <c r="D6769" t="s">
        <v>11</v>
      </c>
      <c r="E6769" t="s">
        <v>45</v>
      </c>
      <c r="F6769" t="s">
        <v>105</v>
      </c>
      <c r="G6769" t="str">
        <f t="shared" si="277"/>
        <v>026LOLA</v>
      </c>
      <c r="H6769" s="5">
        <v>6825</v>
      </c>
      <c r="I6769" s="6">
        <v>1097.125</v>
      </c>
      <c r="J6769" s="5">
        <v>8000</v>
      </c>
      <c r="K6769" s="6">
        <f t="shared" si="276"/>
        <v>6.220804375071209</v>
      </c>
    </row>
    <row r="6770" spans="1:11" hidden="1">
      <c r="A6770" s="4">
        <v>2026</v>
      </c>
      <c r="B6770">
        <v>10</v>
      </c>
      <c r="C6770" t="s">
        <v>54</v>
      </c>
      <c r="D6770" t="s">
        <v>11</v>
      </c>
      <c r="E6770" t="s">
        <v>45</v>
      </c>
      <c r="F6770" t="s">
        <v>106</v>
      </c>
      <c r="G6770" t="str">
        <f t="shared" si="277"/>
        <v>026PALOMA</v>
      </c>
      <c r="H6770" s="5">
        <v>7875</v>
      </c>
      <c r="I6770" s="6">
        <v>2852.5250000000001</v>
      </c>
      <c r="J6770" s="5">
        <v>20800</v>
      </c>
      <c r="K6770" s="6">
        <f t="shared" si="276"/>
        <v>2.7607120007712465</v>
      </c>
    </row>
    <row r="6771" spans="1:11" hidden="1">
      <c r="A6771" s="4">
        <v>2026</v>
      </c>
      <c r="B6771">
        <v>10</v>
      </c>
      <c r="C6771" t="s">
        <v>54</v>
      </c>
      <c r="D6771" t="s">
        <v>11</v>
      </c>
      <c r="E6771" t="s">
        <v>107</v>
      </c>
      <c r="F6771" t="s">
        <v>108</v>
      </c>
      <c r="G6771" t="str">
        <f t="shared" si="277"/>
        <v>027SATISFACTION</v>
      </c>
      <c r="H6771" s="5">
        <v>6300</v>
      </c>
      <c r="I6771" s="6">
        <v>2633.1</v>
      </c>
      <c r="J6771" s="5">
        <v>19200</v>
      </c>
      <c r="K6771" s="6">
        <f t="shared" si="276"/>
        <v>2.3926170673350806</v>
      </c>
    </row>
    <row r="6772" spans="1:11" hidden="1">
      <c r="A6772" s="4">
        <v>2026</v>
      </c>
      <c r="B6772">
        <v>10</v>
      </c>
      <c r="C6772" t="s">
        <v>54</v>
      </c>
      <c r="D6772" t="s">
        <v>11</v>
      </c>
      <c r="E6772" t="s">
        <v>107</v>
      </c>
      <c r="F6772" t="s">
        <v>109</v>
      </c>
      <c r="G6772" t="str">
        <f t="shared" si="277"/>
        <v>027TIFFANY</v>
      </c>
      <c r="H6772" s="5">
        <v>6600</v>
      </c>
      <c r="I6772" s="6">
        <v>2633.1</v>
      </c>
      <c r="J6772" s="5">
        <v>19200</v>
      </c>
      <c r="K6772" s="6">
        <f t="shared" si="276"/>
        <v>2.5065512133986556</v>
      </c>
    </row>
    <row r="6773" spans="1:11" hidden="1">
      <c r="A6773" s="4">
        <v>2026</v>
      </c>
      <c r="B6773">
        <v>10</v>
      </c>
      <c r="C6773" t="s">
        <v>54</v>
      </c>
      <c r="D6773" t="s">
        <v>11</v>
      </c>
      <c r="E6773" t="s">
        <v>110</v>
      </c>
      <c r="F6773" t="s">
        <v>70</v>
      </c>
      <c r="G6773" t="str">
        <f t="shared" si="277"/>
        <v>028COTOPAXI</v>
      </c>
      <c r="H6773" s="5">
        <v>3300</v>
      </c>
      <c r="I6773" s="6">
        <v>2852.5250000000001</v>
      </c>
      <c r="J6773" s="5">
        <v>20800</v>
      </c>
      <c r="K6773" s="6">
        <f t="shared" ref="K6773:K6833" si="278">+H6773/I6773</f>
        <v>1.1568697907993795</v>
      </c>
    </row>
    <row r="6774" spans="1:11" hidden="1">
      <c r="A6774" s="4">
        <v>2026</v>
      </c>
      <c r="B6774">
        <v>10</v>
      </c>
      <c r="C6774" t="s">
        <v>54</v>
      </c>
      <c r="D6774" t="s">
        <v>11</v>
      </c>
      <c r="E6774" t="s">
        <v>110</v>
      </c>
      <c r="F6774" t="s">
        <v>67</v>
      </c>
      <c r="G6774" t="str">
        <f t="shared" si="277"/>
        <v>028DEEP PURPLE</v>
      </c>
      <c r="H6774" s="5">
        <v>7980</v>
      </c>
      <c r="I6774" s="6">
        <v>2852.5250000000001</v>
      </c>
      <c r="J6774" s="5">
        <v>20800</v>
      </c>
      <c r="K6774" s="6">
        <f t="shared" si="278"/>
        <v>2.7975214941148629</v>
      </c>
    </row>
    <row r="6775" spans="1:11" hidden="1">
      <c r="A6775" s="4">
        <v>2026</v>
      </c>
      <c r="B6775">
        <v>10</v>
      </c>
      <c r="C6775" t="s">
        <v>54</v>
      </c>
      <c r="D6775" t="s">
        <v>11</v>
      </c>
      <c r="E6775" t="s">
        <v>111</v>
      </c>
      <c r="F6775" t="s">
        <v>112</v>
      </c>
      <c r="G6775" t="str">
        <f t="shared" si="277"/>
        <v>029PINK FLOYD</v>
      </c>
      <c r="H6775" s="5">
        <v>5625</v>
      </c>
      <c r="I6775" s="6">
        <v>3071.95</v>
      </c>
      <c r="J6775" s="5">
        <v>22400</v>
      </c>
      <c r="K6775" s="6">
        <f t="shared" si="278"/>
        <v>1.8310844903074595</v>
      </c>
    </row>
    <row r="6776" spans="1:11" hidden="1">
      <c r="A6776" s="4">
        <v>2026</v>
      </c>
      <c r="B6776">
        <v>10</v>
      </c>
      <c r="C6776" t="s">
        <v>54</v>
      </c>
      <c r="D6776" t="s">
        <v>11</v>
      </c>
      <c r="E6776" t="s">
        <v>47</v>
      </c>
      <c r="F6776" t="s">
        <v>57</v>
      </c>
      <c r="G6776" t="str">
        <f t="shared" si="277"/>
        <v>030EXPLORER</v>
      </c>
      <c r="H6776" s="5">
        <v>3075</v>
      </c>
      <c r="I6776" s="6">
        <v>1645.6875</v>
      </c>
      <c r="J6776" s="5">
        <v>12000</v>
      </c>
      <c r="K6776" s="6">
        <f t="shared" si="278"/>
        <v>1.8685199954426341</v>
      </c>
    </row>
    <row r="6777" spans="1:11" hidden="1">
      <c r="A6777" s="4">
        <v>2026</v>
      </c>
      <c r="B6777">
        <v>11</v>
      </c>
      <c r="C6777" t="s">
        <v>10</v>
      </c>
      <c r="D6777" t="s">
        <v>11</v>
      </c>
      <c r="E6777" t="s">
        <v>12</v>
      </c>
      <c r="F6777" t="s">
        <v>13</v>
      </c>
      <c r="G6777" t="str">
        <f t="shared" si="277"/>
        <v>002SOMERSET</v>
      </c>
      <c r="H6777" s="5">
        <v>13980</v>
      </c>
      <c r="I6777" s="6">
        <v>4121.4642855494085</v>
      </c>
      <c r="J6777" s="5">
        <v>31200</v>
      </c>
      <c r="K6777" s="6">
        <f t="shared" si="278"/>
        <v>3.3919983363719499</v>
      </c>
    </row>
    <row r="6778" spans="1:11" hidden="1">
      <c r="A6778" s="4">
        <v>2026</v>
      </c>
      <c r="B6778">
        <v>11</v>
      </c>
      <c r="C6778" t="s">
        <v>10</v>
      </c>
      <c r="D6778" t="s">
        <v>11</v>
      </c>
      <c r="E6778" t="s">
        <v>14</v>
      </c>
      <c r="F6778" t="s">
        <v>15</v>
      </c>
      <c r="G6778" t="str">
        <f t="shared" si="277"/>
        <v>004BELLINA</v>
      </c>
      <c r="H6778" s="5">
        <v>2355</v>
      </c>
      <c r="I6778" s="6">
        <v>1056.7857142434418</v>
      </c>
      <c r="J6778" s="5">
        <v>8000</v>
      </c>
      <c r="K6778" s="6">
        <f t="shared" si="278"/>
        <v>2.2284555593997184</v>
      </c>
    </row>
    <row r="6779" spans="1:11" hidden="1">
      <c r="A6779" s="4">
        <v>2026</v>
      </c>
      <c r="B6779">
        <v>11</v>
      </c>
      <c r="C6779" t="s">
        <v>10</v>
      </c>
      <c r="D6779" t="s">
        <v>11</v>
      </c>
      <c r="E6779" t="s">
        <v>16</v>
      </c>
      <c r="F6779" t="s">
        <v>17</v>
      </c>
      <c r="G6779" t="str">
        <f t="shared" si="277"/>
        <v>005ELBA</v>
      </c>
      <c r="H6779" s="5">
        <v>11550</v>
      </c>
      <c r="I6779" s="6">
        <v>2641.9642856076484</v>
      </c>
      <c r="J6779" s="5">
        <v>19996</v>
      </c>
      <c r="K6779" s="6">
        <f t="shared" si="278"/>
        <v>4.3717472120723668</v>
      </c>
    </row>
    <row r="6780" spans="1:11" hidden="1">
      <c r="A6780" s="4">
        <v>2026</v>
      </c>
      <c r="B6780">
        <v>11</v>
      </c>
      <c r="C6780" t="s">
        <v>10</v>
      </c>
      <c r="D6780" t="s">
        <v>11</v>
      </c>
      <c r="E6780" t="s">
        <v>16</v>
      </c>
      <c r="F6780" t="s">
        <v>18</v>
      </c>
      <c r="G6780" t="str">
        <f t="shared" si="277"/>
        <v>005HOT BUBBLES</v>
      </c>
      <c r="H6780" s="5">
        <v>2060</v>
      </c>
      <c r="I6780" s="6">
        <v>528.39285712153003</v>
      </c>
      <c r="J6780" s="5">
        <v>4000</v>
      </c>
      <c r="K6780" s="6">
        <f t="shared" si="278"/>
        <v>3.8986143969130174</v>
      </c>
    </row>
    <row r="6781" spans="1:11" hidden="1">
      <c r="A6781" s="4">
        <v>2026</v>
      </c>
      <c r="B6781">
        <v>11</v>
      </c>
      <c r="C6781" t="s">
        <v>10</v>
      </c>
      <c r="D6781" t="s">
        <v>11</v>
      </c>
      <c r="E6781" t="s">
        <v>16</v>
      </c>
      <c r="F6781" t="s">
        <v>19</v>
      </c>
      <c r="G6781" t="str">
        <f t="shared" si="277"/>
        <v>005SUSPIRO</v>
      </c>
      <c r="H6781" s="5">
        <v>6270</v>
      </c>
      <c r="I6781" s="6">
        <v>1902.2142856375078</v>
      </c>
      <c r="J6781" s="5">
        <v>14400</v>
      </c>
      <c r="K6781" s="6">
        <f t="shared" si="278"/>
        <v>3.2961586122767832</v>
      </c>
    </row>
    <row r="6782" spans="1:11" hidden="1">
      <c r="A6782" s="4">
        <v>2026</v>
      </c>
      <c r="B6782">
        <v>11</v>
      </c>
      <c r="C6782" t="s">
        <v>10</v>
      </c>
      <c r="D6782" t="s">
        <v>11</v>
      </c>
      <c r="E6782" t="s">
        <v>20</v>
      </c>
      <c r="F6782" t="s">
        <v>21</v>
      </c>
      <c r="G6782" t="str">
        <f t="shared" si="277"/>
        <v>007SNOW BUBBLES</v>
      </c>
      <c r="H6782" s="5">
        <v>880</v>
      </c>
      <c r="I6782" s="6">
        <v>634.05652706821195</v>
      </c>
      <c r="J6782" s="5">
        <v>4800</v>
      </c>
      <c r="K6782" s="6">
        <f t="shared" si="278"/>
        <v>1.3878888749383214</v>
      </c>
    </row>
    <row r="6783" spans="1:11" hidden="1">
      <c r="A6783" s="4">
        <v>2026</v>
      </c>
      <c r="B6783">
        <v>11</v>
      </c>
      <c r="C6783" t="s">
        <v>10</v>
      </c>
      <c r="D6783" t="s">
        <v>11</v>
      </c>
      <c r="E6783" t="s">
        <v>22</v>
      </c>
      <c r="F6783" t="s">
        <v>18</v>
      </c>
      <c r="G6783" t="str">
        <f t="shared" si="277"/>
        <v>009HOT BUBBLES</v>
      </c>
      <c r="H6783" s="5">
        <v>16740</v>
      </c>
      <c r="I6783" s="6">
        <v>4487.9999999102474</v>
      </c>
      <c r="J6783" s="5">
        <v>31740</v>
      </c>
      <c r="K6783" s="6">
        <f t="shared" si="278"/>
        <v>3.7299465241387639</v>
      </c>
    </row>
    <row r="6784" spans="1:11" hidden="1">
      <c r="A6784" s="4">
        <v>2026</v>
      </c>
      <c r="B6784">
        <v>11</v>
      </c>
      <c r="C6784" t="s">
        <v>10</v>
      </c>
      <c r="D6784" t="s">
        <v>11</v>
      </c>
      <c r="E6784" t="s">
        <v>23</v>
      </c>
      <c r="F6784" t="s">
        <v>24</v>
      </c>
      <c r="G6784" t="str">
        <f t="shared" si="277"/>
        <v>014FRUITY BUBBLES</v>
      </c>
      <c r="H6784" s="5">
        <v>4775</v>
      </c>
      <c r="I6784" s="6">
        <v>1702.8</v>
      </c>
      <c r="J6784" s="5">
        <v>12900</v>
      </c>
      <c r="K6784" s="6">
        <f t="shared" si="278"/>
        <v>2.8042048390885599</v>
      </c>
    </row>
    <row r="6785" spans="1:11" hidden="1">
      <c r="A6785" s="4">
        <v>2026</v>
      </c>
      <c r="B6785">
        <v>11</v>
      </c>
      <c r="C6785" t="s">
        <v>10</v>
      </c>
      <c r="D6785" t="s">
        <v>11</v>
      </c>
      <c r="E6785" t="s">
        <v>25</v>
      </c>
      <c r="F6785" t="s">
        <v>26</v>
      </c>
      <c r="G6785" t="str">
        <f t="shared" si="277"/>
        <v>015FELLINI</v>
      </c>
      <c r="H6785" s="5">
        <v>5760</v>
      </c>
      <c r="I6785" s="6">
        <v>3009.6</v>
      </c>
      <c r="J6785" s="5">
        <v>22800</v>
      </c>
      <c r="K6785" s="6">
        <f t="shared" si="278"/>
        <v>1.9138755980861244</v>
      </c>
    </row>
    <row r="6786" spans="1:11" hidden="1">
      <c r="A6786" s="4">
        <v>2026</v>
      </c>
      <c r="B6786">
        <v>11</v>
      </c>
      <c r="C6786" t="s">
        <v>10</v>
      </c>
      <c r="D6786" t="s">
        <v>11</v>
      </c>
      <c r="E6786" t="s">
        <v>27</v>
      </c>
      <c r="F6786" t="s">
        <v>28</v>
      </c>
      <c r="G6786" t="str">
        <f t="shared" si="277"/>
        <v>016GOOD PEACH</v>
      </c>
      <c r="H6786" s="5">
        <v>4560</v>
      </c>
      <c r="I6786" s="6">
        <v>1386</v>
      </c>
      <c r="J6786" s="5">
        <v>10500</v>
      </c>
      <c r="K6786" s="6">
        <f t="shared" si="278"/>
        <v>3.2900432900432901</v>
      </c>
    </row>
    <row r="6787" spans="1:11" hidden="1">
      <c r="A6787" s="4">
        <v>2026</v>
      </c>
      <c r="B6787">
        <v>11</v>
      </c>
      <c r="C6787" t="s">
        <v>10</v>
      </c>
      <c r="D6787" t="s">
        <v>11</v>
      </c>
      <c r="E6787" t="s">
        <v>27</v>
      </c>
      <c r="F6787" t="s">
        <v>29</v>
      </c>
      <c r="G6787" t="str">
        <f t="shared" si="277"/>
        <v>016GOOD YELLOW</v>
      </c>
      <c r="H6787" s="5">
        <v>3600</v>
      </c>
      <c r="I6787" s="6">
        <v>1386</v>
      </c>
      <c r="J6787" s="5">
        <v>10500</v>
      </c>
      <c r="K6787" s="6">
        <f t="shared" si="278"/>
        <v>2.5974025974025974</v>
      </c>
    </row>
    <row r="6788" spans="1:11" hidden="1">
      <c r="A6788" s="4">
        <v>2026</v>
      </c>
      <c r="B6788">
        <v>11</v>
      </c>
      <c r="C6788" t="s">
        <v>10</v>
      </c>
      <c r="D6788" t="s">
        <v>11</v>
      </c>
      <c r="E6788" t="s">
        <v>30</v>
      </c>
      <c r="F6788" t="s">
        <v>31</v>
      </c>
      <c r="G6788" t="str">
        <f t="shared" si="277"/>
        <v>017ORANGE STAR</v>
      </c>
      <c r="H6788" s="5">
        <v>1100</v>
      </c>
      <c r="I6788" s="6">
        <v>1029.5999999999999</v>
      </c>
      <c r="J6788" s="5">
        <v>7800</v>
      </c>
      <c r="K6788" s="6">
        <f t="shared" si="278"/>
        <v>1.0683760683760686</v>
      </c>
    </row>
    <row r="6789" spans="1:11" hidden="1">
      <c r="A6789" s="4">
        <v>2026</v>
      </c>
      <c r="B6789">
        <v>11</v>
      </c>
      <c r="C6789" t="s">
        <v>10</v>
      </c>
      <c r="D6789" t="s">
        <v>11</v>
      </c>
      <c r="E6789" t="s">
        <v>32</v>
      </c>
      <c r="F6789" t="s">
        <v>33</v>
      </c>
      <c r="G6789" t="str">
        <f t="shared" si="277"/>
        <v>018COSMO</v>
      </c>
      <c r="H6789" s="5">
        <v>4750</v>
      </c>
      <c r="I6789" s="6">
        <v>2653.2</v>
      </c>
      <c r="J6789" s="5">
        <v>20100</v>
      </c>
      <c r="K6789" s="6">
        <f t="shared" si="278"/>
        <v>1.7902909693954472</v>
      </c>
    </row>
    <row r="6790" spans="1:11" hidden="1">
      <c r="A6790" s="4">
        <v>2026</v>
      </c>
      <c r="B6790">
        <v>11</v>
      </c>
      <c r="C6790" t="s">
        <v>10</v>
      </c>
      <c r="D6790" t="s">
        <v>11</v>
      </c>
      <c r="E6790" t="s">
        <v>32</v>
      </c>
      <c r="F6790" t="s">
        <v>34</v>
      </c>
      <c r="G6790" t="str">
        <f t="shared" si="277"/>
        <v>018RUBICON</v>
      </c>
      <c r="H6790" s="5">
        <v>7260</v>
      </c>
      <c r="I6790" s="6">
        <v>1768.8</v>
      </c>
      <c r="J6790" s="5">
        <v>13400</v>
      </c>
      <c r="K6790" s="6">
        <f t="shared" si="278"/>
        <v>4.1044776119402986</v>
      </c>
    </row>
    <row r="6791" spans="1:11" hidden="1">
      <c r="A6791" s="4">
        <v>2026</v>
      </c>
      <c r="B6791">
        <v>11</v>
      </c>
      <c r="C6791" t="s">
        <v>10</v>
      </c>
      <c r="D6791" t="s">
        <v>11</v>
      </c>
      <c r="E6791" t="s">
        <v>35</v>
      </c>
      <c r="F6791" t="s">
        <v>15</v>
      </c>
      <c r="G6791" t="str">
        <f t="shared" si="277"/>
        <v>019BELLINA</v>
      </c>
      <c r="H6791" s="5">
        <v>2280</v>
      </c>
      <c r="I6791" s="6">
        <v>1029.5999999999999</v>
      </c>
      <c r="J6791" s="5">
        <v>7800</v>
      </c>
      <c r="K6791" s="6">
        <f t="shared" si="278"/>
        <v>2.2144522144522147</v>
      </c>
    </row>
    <row r="6792" spans="1:11" hidden="1">
      <c r="A6792" s="4">
        <v>2026</v>
      </c>
      <c r="B6792">
        <v>11</v>
      </c>
      <c r="C6792" t="s">
        <v>10</v>
      </c>
      <c r="D6792" t="s">
        <v>11</v>
      </c>
      <c r="E6792" t="s">
        <v>36</v>
      </c>
      <c r="F6792" t="s">
        <v>37</v>
      </c>
      <c r="G6792" t="str">
        <f t="shared" si="277"/>
        <v>020SUMMER DANCE</v>
      </c>
      <c r="H6792" s="5">
        <v>4700</v>
      </c>
      <c r="I6792" s="6">
        <v>1346.4</v>
      </c>
      <c r="J6792" s="5">
        <v>10200</v>
      </c>
      <c r="K6792" s="6">
        <f t="shared" si="278"/>
        <v>3.4907902554961376</v>
      </c>
    </row>
    <row r="6793" spans="1:11" hidden="1">
      <c r="A6793" s="4">
        <v>2026</v>
      </c>
      <c r="B6793">
        <v>11</v>
      </c>
      <c r="C6793" t="s">
        <v>10</v>
      </c>
      <c r="D6793" t="s">
        <v>11</v>
      </c>
      <c r="E6793" t="s">
        <v>38</v>
      </c>
      <c r="F6793" t="s">
        <v>39</v>
      </c>
      <c r="G6793" t="str">
        <f t="shared" si="277"/>
        <v>021ELEGANT ROSEVER</v>
      </c>
      <c r="H6793" s="5">
        <v>870</v>
      </c>
      <c r="I6793" s="6">
        <v>440.18999062500001</v>
      </c>
      <c r="J6793" s="5">
        <v>3200</v>
      </c>
      <c r="K6793" s="6">
        <f t="shared" si="278"/>
        <v>1.9764193155885665</v>
      </c>
    </row>
    <row r="6794" spans="1:11" hidden="1">
      <c r="A6794" s="4">
        <v>2026</v>
      </c>
      <c r="B6794">
        <v>11</v>
      </c>
      <c r="C6794" t="s">
        <v>10</v>
      </c>
      <c r="D6794" t="s">
        <v>11</v>
      </c>
      <c r="E6794" t="s">
        <v>38</v>
      </c>
      <c r="F6794" t="s">
        <v>40</v>
      </c>
      <c r="G6794" t="str">
        <f t="shared" si="277"/>
        <v>021FLAME CLUB</v>
      </c>
      <c r="H6794" s="5">
        <v>1625</v>
      </c>
      <c r="I6794" s="6">
        <v>880.38</v>
      </c>
      <c r="J6794" s="5">
        <v>6400</v>
      </c>
      <c r="K6794" s="6">
        <f t="shared" si="278"/>
        <v>1.8457938617415208</v>
      </c>
    </row>
    <row r="6795" spans="1:11" hidden="1">
      <c r="A6795" s="4">
        <v>2026</v>
      </c>
      <c r="B6795">
        <v>11</v>
      </c>
      <c r="C6795" t="s">
        <v>10</v>
      </c>
      <c r="D6795" t="s">
        <v>11</v>
      </c>
      <c r="E6795" t="s">
        <v>38</v>
      </c>
      <c r="F6795" t="s">
        <v>41</v>
      </c>
      <c r="G6795" t="str">
        <f t="shared" si="277"/>
        <v>021KELLY</v>
      </c>
      <c r="H6795" s="5">
        <v>500</v>
      </c>
      <c r="I6795" s="6">
        <v>330.14249999999998</v>
      </c>
      <c r="J6795" s="5">
        <v>2400</v>
      </c>
      <c r="K6795" s="6">
        <f t="shared" si="278"/>
        <v>1.5144975275827863</v>
      </c>
    </row>
    <row r="6796" spans="1:11" hidden="1">
      <c r="A6796" s="4">
        <v>2026</v>
      </c>
      <c r="B6796">
        <v>11</v>
      </c>
      <c r="C6796" t="s">
        <v>10</v>
      </c>
      <c r="D6796" t="s">
        <v>11</v>
      </c>
      <c r="E6796" t="s">
        <v>38</v>
      </c>
      <c r="F6796" t="s">
        <v>42</v>
      </c>
      <c r="G6796" t="str">
        <f t="shared" si="277"/>
        <v>021LEILA</v>
      </c>
      <c r="H6796" s="5">
        <v>2175</v>
      </c>
      <c r="I6796" s="6">
        <v>1430.6175000000001</v>
      </c>
      <c r="J6796" s="5">
        <v>5600</v>
      </c>
      <c r="K6796" s="6">
        <f t="shared" si="278"/>
        <v>1.5203225180734892</v>
      </c>
    </row>
    <row r="6797" spans="1:11" hidden="1">
      <c r="A6797" s="4">
        <v>2026</v>
      </c>
      <c r="B6797">
        <v>11</v>
      </c>
      <c r="C6797" t="s">
        <v>10</v>
      </c>
      <c r="D6797" t="s">
        <v>11</v>
      </c>
      <c r="E6797" t="s">
        <v>38</v>
      </c>
      <c r="F6797" t="s">
        <v>21</v>
      </c>
      <c r="G6797" t="str">
        <f t="shared" si="277"/>
        <v>021SNOW BUBBLES</v>
      </c>
      <c r="H6797" s="5">
        <v>2560</v>
      </c>
      <c r="I6797" s="6">
        <v>1287.0000000000018</v>
      </c>
      <c r="J6797" s="5">
        <v>9400</v>
      </c>
      <c r="K6797" s="6">
        <f t="shared" si="278"/>
        <v>1.9891219891219862</v>
      </c>
    </row>
    <row r="6798" spans="1:11" hidden="1">
      <c r="A6798" s="4">
        <v>2026</v>
      </c>
      <c r="B6798">
        <v>11</v>
      </c>
      <c r="C6798" t="s">
        <v>10</v>
      </c>
      <c r="D6798" t="s">
        <v>11</v>
      </c>
      <c r="E6798" t="s">
        <v>43</v>
      </c>
      <c r="F6798" t="s">
        <v>24</v>
      </c>
      <c r="G6798" t="str">
        <f t="shared" si="277"/>
        <v>022FRUITY BUBBLES</v>
      </c>
      <c r="H6798" s="5">
        <v>5775</v>
      </c>
      <c r="I6798" s="6">
        <v>2641.14</v>
      </c>
      <c r="J6798" s="5">
        <v>19200</v>
      </c>
      <c r="K6798" s="6">
        <f t="shared" si="278"/>
        <v>2.1865558054476475</v>
      </c>
    </row>
    <row r="6799" spans="1:11" hidden="1">
      <c r="A6799" s="4">
        <v>2026</v>
      </c>
      <c r="B6799">
        <v>11</v>
      </c>
      <c r="C6799" t="s">
        <v>10</v>
      </c>
      <c r="D6799" t="s">
        <v>11</v>
      </c>
      <c r="E6799" t="s">
        <v>43</v>
      </c>
      <c r="F6799" t="s">
        <v>28</v>
      </c>
      <c r="G6799" t="str">
        <f t="shared" si="277"/>
        <v>022GOOD PEACH</v>
      </c>
      <c r="H6799" s="5">
        <v>2520</v>
      </c>
      <c r="I6799" s="6">
        <v>880.38</v>
      </c>
      <c r="J6799" s="5">
        <v>6400</v>
      </c>
      <c r="K6799" s="6">
        <f t="shared" si="278"/>
        <v>2.862400327131466</v>
      </c>
    </row>
    <row r="6800" spans="1:11" hidden="1">
      <c r="A6800" s="4">
        <v>2026</v>
      </c>
      <c r="B6800">
        <v>11</v>
      </c>
      <c r="C6800" t="s">
        <v>10</v>
      </c>
      <c r="D6800" t="s">
        <v>11</v>
      </c>
      <c r="E6800" t="s">
        <v>43</v>
      </c>
      <c r="F6800" t="s">
        <v>44</v>
      </c>
      <c r="G6800" t="str">
        <f t="shared" si="277"/>
        <v>022MIRABEL</v>
      </c>
      <c r="H6800" s="5">
        <v>1040</v>
      </c>
      <c r="I6800" s="6">
        <v>880.38</v>
      </c>
      <c r="J6800" s="5">
        <v>6400</v>
      </c>
      <c r="K6800" s="6">
        <f t="shared" si="278"/>
        <v>1.1813080715145732</v>
      </c>
    </row>
    <row r="6801" spans="1:11" hidden="1">
      <c r="A6801" s="4">
        <v>2026</v>
      </c>
      <c r="B6801">
        <v>11</v>
      </c>
      <c r="C6801" t="s">
        <v>10</v>
      </c>
      <c r="D6801" t="s">
        <v>11</v>
      </c>
      <c r="E6801" t="s">
        <v>47</v>
      </c>
      <c r="F6801" t="s">
        <v>44</v>
      </c>
      <c r="G6801" t="str">
        <f t="shared" si="277"/>
        <v>030MIRABEL</v>
      </c>
      <c r="H6801" s="5">
        <v>6880</v>
      </c>
      <c r="I6801" s="6">
        <v>2413.6749943750001</v>
      </c>
      <c r="J6801" s="5">
        <v>17600</v>
      </c>
      <c r="K6801" s="6">
        <f t="shared" si="278"/>
        <v>2.8504251881606435</v>
      </c>
    </row>
    <row r="6802" spans="1:11" hidden="1">
      <c r="A6802" s="4">
        <v>2026</v>
      </c>
      <c r="B6802">
        <v>11</v>
      </c>
      <c r="C6802" t="s">
        <v>10</v>
      </c>
      <c r="D6802" t="s">
        <v>11</v>
      </c>
      <c r="E6802" t="s">
        <v>47</v>
      </c>
      <c r="F6802" t="s">
        <v>13</v>
      </c>
      <c r="G6802" t="str">
        <f t="shared" si="277"/>
        <v>030SOMERSET</v>
      </c>
      <c r="H6802" s="5">
        <v>4160</v>
      </c>
      <c r="I6802" s="6">
        <v>1645.6875</v>
      </c>
      <c r="J6802" s="5">
        <v>12000</v>
      </c>
      <c r="K6802" s="6">
        <f t="shared" si="278"/>
        <v>2.5278189206638562</v>
      </c>
    </row>
    <row r="6803" spans="1:11" hidden="1">
      <c r="A6803" s="4">
        <v>2026</v>
      </c>
      <c r="B6803">
        <v>11</v>
      </c>
      <c r="C6803" t="s">
        <v>10</v>
      </c>
      <c r="D6803" t="s">
        <v>11</v>
      </c>
      <c r="E6803" t="s">
        <v>48</v>
      </c>
      <c r="F6803" t="s">
        <v>49</v>
      </c>
      <c r="G6803" t="str">
        <f t="shared" si="277"/>
        <v>03182989</v>
      </c>
      <c r="H6803" s="5">
        <v>3160</v>
      </c>
      <c r="I6803" s="6">
        <v>726.32013058333712</v>
      </c>
      <c r="J6803" s="5">
        <v>5712</v>
      </c>
      <c r="K6803" s="6">
        <f t="shared" si="278"/>
        <v>4.3506986340335576</v>
      </c>
    </row>
    <row r="6804" spans="1:11" hidden="1">
      <c r="A6804" s="4">
        <v>2026</v>
      </c>
      <c r="B6804">
        <v>11</v>
      </c>
      <c r="C6804" t="s">
        <v>10</v>
      </c>
      <c r="D6804" t="s">
        <v>11</v>
      </c>
      <c r="E6804" t="s">
        <v>48</v>
      </c>
      <c r="F6804" t="s">
        <v>34</v>
      </c>
      <c r="G6804" t="str">
        <f t="shared" si="277"/>
        <v>031RUBICON</v>
      </c>
      <c r="H6804" s="5">
        <v>2700</v>
      </c>
      <c r="I6804" s="6">
        <v>924.39958333667107</v>
      </c>
      <c r="J6804" s="5">
        <v>6720</v>
      </c>
      <c r="K6804" s="6">
        <f t="shared" si="278"/>
        <v>2.9208148171748429</v>
      </c>
    </row>
    <row r="6805" spans="1:11" hidden="1">
      <c r="A6805" s="4">
        <v>2026</v>
      </c>
      <c r="B6805">
        <v>11</v>
      </c>
      <c r="C6805" t="s">
        <v>10</v>
      </c>
      <c r="D6805" t="s">
        <v>11</v>
      </c>
      <c r="E6805" t="s">
        <v>48</v>
      </c>
      <c r="F6805" t="s">
        <v>13</v>
      </c>
      <c r="G6805" t="str">
        <f t="shared" si="277"/>
        <v>031SOMERSET</v>
      </c>
      <c r="H6805" s="5">
        <v>5100</v>
      </c>
      <c r="I6805" s="6">
        <v>1122.485208333339</v>
      </c>
      <c r="J6805" s="5">
        <v>8160</v>
      </c>
      <c r="K6805" s="6">
        <f t="shared" si="278"/>
        <v>4.5434897156216936</v>
      </c>
    </row>
    <row r="6806" spans="1:11" hidden="1">
      <c r="A6806" s="4">
        <v>2026</v>
      </c>
      <c r="B6806">
        <v>11</v>
      </c>
      <c r="C6806" t="s">
        <v>10</v>
      </c>
      <c r="D6806" t="s">
        <v>11</v>
      </c>
      <c r="E6806" t="s">
        <v>48</v>
      </c>
      <c r="F6806" t="s">
        <v>50</v>
      </c>
      <c r="G6806" t="str">
        <f t="shared" si="277"/>
        <v>031VELVET BLOSSOMS</v>
      </c>
      <c r="H6806" s="5">
        <v>660</v>
      </c>
      <c r="I6806" s="6">
        <v>396.17125000000198</v>
      </c>
      <c r="J6806" s="5">
        <v>2880</v>
      </c>
      <c r="K6806" s="6">
        <f t="shared" si="278"/>
        <v>1.6659462290612879</v>
      </c>
    </row>
    <row r="6807" spans="1:11" hidden="1">
      <c r="A6807" s="4">
        <v>2026</v>
      </c>
      <c r="B6807">
        <v>11</v>
      </c>
      <c r="C6807" t="s">
        <v>10</v>
      </c>
      <c r="D6807" t="s">
        <v>11</v>
      </c>
      <c r="E6807" t="s">
        <v>51</v>
      </c>
      <c r="F6807" t="s">
        <v>17</v>
      </c>
      <c r="G6807" t="str">
        <f t="shared" si="277"/>
        <v>032ELBA</v>
      </c>
      <c r="H6807" s="5">
        <v>3450</v>
      </c>
      <c r="I6807" s="6">
        <v>1535.9749999999999</v>
      </c>
      <c r="J6807" s="5">
        <v>11200</v>
      </c>
      <c r="K6807" s="6">
        <f t="shared" si="278"/>
        <v>2.2461303081104838</v>
      </c>
    </row>
    <row r="6808" spans="1:11" hidden="1">
      <c r="A6808" s="4">
        <v>2026</v>
      </c>
      <c r="B6808">
        <v>11</v>
      </c>
      <c r="C6808" t="s">
        <v>10</v>
      </c>
      <c r="D6808" t="s">
        <v>11</v>
      </c>
      <c r="E6808" t="s">
        <v>51</v>
      </c>
      <c r="F6808" t="s">
        <v>44</v>
      </c>
      <c r="G6808" t="str">
        <f t="shared" si="277"/>
        <v>032MIRABEL</v>
      </c>
      <c r="H6808" s="5">
        <v>2080</v>
      </c>
      <c r="I6808" s="6">
        <v>1535.9749999999999</v>
      </c>
      <c r="J6808" s="5">
        <v>11200</v>
      </c>
      <c r="K6808" s="6">
        <f t="shared" si="278"/>
        <v>1.3541887074984946</v>
      </c>
    </row>
    <row r="6809" spans="1:11" hidden="1">
      <c r="A6809" s="4">
        <v>2026</v>
      </c>
      <c r="B6809">
        <v>11</v>
      </c>
      <c r="C6809" t="s">
        <v>10</v>
      </c>
      <c r="D6809" t="s">
        <v>11</v>
      </c>
      <c r="E6809" t="s">
        <v>52</v>
      </c>
      <c r="F6809" t="s">
        <v>53</v>
      </c>
      <c r="G6809" t="str">
        <f t="shared" si="277"/>
        <v>033CREAMY FOLIES</v>
      </c>
      <c r="H6809" s="5">
        <v>1050</v>
      </c>
      <c r="I6809" s="6">
        <v>594.25687500000299</v>
      </c>
      <c r="J6809" s="5">
        <v>4320</v>
      </c>
      <c r="K6809" s="6">
        <f t="shared" si="278"/>
        <v>1.7669126671862143</v>
      </c>
    </row>
    <row r="6810" spans="1:11" hidden="1">
      <c r="A6810" s="4">
        <v>2026</v>
      </c>
      <c r="B6810">
        <v>11</v>
      </c>
      <c r="C6810" t="s">
        <v>10</v>
      </c>
      <c r="D6810" t="s">
        <v>11</v>
      </c>
      <c r="E6810" t="s">
        <v>52</v>
      </c>
      <c r="F6810" t="s">
        <v>18</v>
      </c>
      <c r="G6810" t="str">
        <f t="shared" si="277"/>
        <v>033HOT BUBBLES</v>
      </c>
      <c r="H6810" s="5">
        <v>3620</v>
      </c>
      <c r="I6810" s="6">
        <v>2575.1131250013459</v>
      </c>
      <c r="J6810" s="5">
        <v>18720</v>
      </c>
      <c r="K6810" s="6">
        <f t="shared" si="278"/>
        <v>1.4057634846617109</v>
      </c>
    </row>
    <row r="6811" spans="1:11" hidden="1">
      <c r="A6811" s="4">
        <v>2026</v>
      </c>
      <c r="B6811">
        <v>11</v>
      </c>
      <c r="C6811" t="s">
        <v>54</v>
      </c>
      <c r="D6811" t="s">
        <v>11</v>
      </c>
      <c r="E6811" t="s">
        <v>55</v>
      </c>
      <c r="F6811" t="s">
        <v>56</v>
      </c>
      <c r="G6811" t="str">
        <f t="shared" si="277"/>
        <v>001BELIEVE IN PINK</v>
      </c>
      <c r="H6811" s="5">
        <v>1230</v>
      </c>
      <c r="I6811" s="6">
        <v>528.37931032368999</v>
      </c>
      <c r="J6811" s="5">
        <v>4000</v>
      </c>
      <c r="K6811" s="6">
        <f t="shared" ref="K6811:K6816" si="279">IFERROR(H6811/I6811,"")</f>
        <v>2.3278731319863581</v>
      </c>
    </row>
    <row r="6812" spans="1:11" hidden="1">
      <c r="A6812" s="4">
        <v>2026</v>
      </c>
      <c r="B6812">
        <v>11</v>
      </c>
      <c r="C6812" t="s">
        <v>54</v>
      </c>
      <c r="D6812" t="s">
        <v>11</v>
      </c>
      <c r="E6812" t="s">
        <v>55</v>
      </c>
      <c r="F6812" t="s">
        <v>57</v>
      </c>
      <c r="G6812" t="str">
        <f t="shared" si="277"/>
        <v>001EXPLORER</v>
      </c>
      <c r="H6812" s="5">
        <v>6650</v>
      </c>
      <c r="I6812" s="6">
        <v>2272.0310343918732</v>
      </c>
      <c r="J6812" s="5">
        <v>17200</v>
      </c>
      <c r="K6812" s="6">
        <f t="shared" si="279"/>
        <v>2.9268966397635165</v>
      </c>
    </row>
    <row r="6813" spans="1:11" hidden="1">
      <c r="A6813" s="4">
        <v>2026</v>
      </c>
      <c r="B6813">
        <v>11</v>
      </c>
      <c r="C6813" t="s">
        <v>54</v>
      </c>
      <c r="D6813" t="s">
        <v>11</v>
      </c>
      <c r="E6813" t="s">
        <v>55</v>
      </c>
      <c r="F6813" t="s">
        <v>58</v>
      </c>
      <c r="G6813" t="str">
        <f t="shared" si="277"/>
        <v>001GRACE KELLY</v>
      </c>
      <c r="H6813" s="5">
        <v>2880</v>
      </c>
      <c r="I6813" s="6">
        <v>1162.4344827121224</v>
      </c>
      <c r="J6813" s="5">
        <v>8800</v>
      </c>
      <c r="K6813" s="6">
        <f t="shared" si="279"/>
        <v>2.4775589874799282</v>
      </c>
    </row>
    <row r="6814" spans="1:11" hidden="1">
      <c r="A6814" s="4">
        <v>2026</v>
      </c>
      <c r="B6814">
        <v>11</v>
      </c>
      <c r="C6814" t="s">
        <v>54</v>
      </c>
      <c r="D6814" t="s">
        <v>11</v>
      </c>
      <c r="E6814" t="s">
        <v>55</v>
      </c>
      <c r="F6814" t="s">
        <v>60</v>
      </c>
      <c r="G6814" t="str">
        <f t="shared" si="277"/>
        <v>001LIGHT HOUSE</v>
      </c>
      <c r="H6814" s="5">
        <v>1890</v>
      </c>
      <c r="I6814" s="6">
        <v>1056.7586206473827</v>
      </c>
      <c r="J6814" s="5">
        <v>8000</v>
      </c>
      <c r="K6814" s="6">
        <f t="shared" si="279"/>
        <v>1.7884878940870752</v>
      </c>
    </row>
    <row r="6815" spans="1:11" hidden="1">
      <c r="A6815" s="4">
        <v>2026</v>
      </c>
      <c r="B6815">
        <v>11</v>
      </c>
      <c r="C6815" t="s">
        <v>54</v>
      </c>
      <c r="D6815" t="s">
        <v>11</v>
      </c>
      <c r="E6815" t="s">
        <v>55</v>
      </c>
      <c r="F6815" t="s">
        <v>61</v>
      </c>
      <c r="G6815" t="str">
        <f t="shared" si="277"/>
        <v>001LUMIA</v>
      </c>
      <c r="H6815" s="5">
        <v>1650</v>
      </c>
      <c r="I6815" s="6">
        <v>1109.596551679753</v>
      </c>
      <c r="J6815" s="5">
        <v>8400</v>
      </c>
      <c r="K6815" s="6">
        <f t="shared" si="279"/>
        <v>1.4870269716521396</v>
      </c>
    </row>
    <row r="6816" spans="1:11" hidden="1">
      <c r="A6816" s="4">
        <v>2026</v>
      </c>
      <c r="B6816">
        <v>11</v>
      </c>
      <c r="C6816" t="s">
        <v>54</v>
      </c>
      <c r="D6816" t="s">
        <v>11</v>
      </c>
      <c r="E6816" t="s">
        <v>55</v>
      </c>
      <c r="F6816" t="s">
        <v>62</v>
      </c>
      <c r="G6816" t="str">
        <f t="shared" si="277"/>
        <v>001MOMENTUM</v>
      </c>
      <c r="H6816" s="5">
        <v>3975</v>
      </c>
      <c r="I6816" s="6">
        <v>1902.1655171652881</v>
      </c>
      <c r="J6816" s="5">
        <v>14400</v>
      </c>
      <c r="K6816" s="6">
        <f t="shared" si="279"/>
        <v>2.0897235094050934</v>
      </c>
    </row>
    <row r="6817" spans="1:11" hidden="1">
      <c r="A6817" s="4">
        <v>2026</v>
      </c>
      <c r="B6817">
        <v>11</v>
      </c>
      <c r="C6817" t="s">
        <v>54</v>
      </c>
      <c r="D6817" t="s">
        <v>11</v>
      </c>
      <c r="E6817" t="s">
        <v>12</v>
      </c>
      <c r="F6817" t="s">
        <v>63</v>
      </c>
      <c r="G6817" t="str">
        <f t="shared" si="277"/>
        <v>002SUMMER ROMANCE</v>
      </c>
      <c r="H6817" s="5">
        <v>1600</v>
      </c>
      <c r="I6817" s="6">
        <v>951.10714281909407</v>
      </c>
      <c r="J6817" s="5">
        <v>7200</v>
      </c>
      <c r="K6817" s="6">
        <f t="shared" si="278"/>
        <v>1.6822500094548538</v>
      </c>
    </row>
    <row r="6818" spans="1:11" hidden="1">
      <c r="A6818" s="4">
        <v>2026</v>
      </c>
      <c r="B6818">
        <v>11</v>
      </c>
      <c r="C6818" t="s">
        <v>54</v>
      </c>
      <c r="D6818" t="s">
        <v>11</v>
      </c>
      <c r="E6818" t="s">
        <v>12</v>
      </c>
      <c r="F6818" t="s">
        <v>64</v>
      </c>
      <c r="G6818" t="str">
        <f t="shared" si="277"/>
        <v>002SWEETNESS</v>
      </c>
      <c r="H6818" s="5">
        <v>11040</v>
      </c>
      <c r="I6818" s="6">
        <v>3804.4285712763772</v>
      </c>
      <c r="J6818" s="5">
        <v>28800</v>
      </c>
      <c r="K6818" s="6">
        <f t="shared" si="278"/>
        <v>2.9018812663096223</v>
      </c>
    </row>
    <row r="6819" spans="1:11" hidden="1">
      <c r="A6819" s="4">
        <v>2026</v>
      </c>
      <c r="B6819">
        <v>11</v>
      </c>
      <c r="C6819" t="s">
        <v>54</v>
      </c>
      <c r="D6819" t="s">
        <v>11</v>
      </c>
      <c r="E6819" t="s">
        <v>65</v>
      </c>
      <c r="F6819" t="s">
        <v>66</v>
      </c>
      <c r="G6819" t="str">
        <f t="shared" ref="G6819:G6881" si="280">+E6819&amp;F6819</f>
        <v>003CABARET</v>
      </c>
      <c r="H6819" s="5">
        <v>4860</v>
      </c>
      <c r="I6819" s="6">
        <v>2641.8965516184649</v>
      </c>
      <c r="J6819" s="5">
        <v>20000</v>
      </c>
      <c r="K6819" s="6">
        <f t="shared" si="278"/>
        <v>1.8395875482038433</v>
      </c>
    </row>
    <row r="6820" spans="1:11" hidden="1">
      <c r="A6820" s="4">
        <v>2026</v>
      </c>
      <c r="B6820">
        <v>11</v>
      </c>
      <c r="C6820" t="s">
        <v>54</v>
      </c>
      <c r="D6820" t="s">
        <v>11</v>
      </c>
      <c r="E6820" t="s">
        <v>65</v>
      </c>
      <c r="F6820" t="s">
        <v>67</v>
      </c>
      <c r="G6820" t="str">
        <f t="shared" si="280"/>
        <v>003DEEP PURPLE</v>
      </c>
      <c r="H6820" s="5">
        <v>13530</v>
      </c>
      <c r="I6820" s="6">
        <v>3592.9793102010913</v>
      </c>
      <c r="J6820" s="5">
        <v>26044</v>
      </c>
      <c r="K6820" s="6">
        <f t="shared" si="278"/>
        <v>3.7656771252720502</v>
      </c>
    </row>
    <row r="6821" spans="1:11" hidden="1">
      <c r="A6821" s="4">
        <v>2026</v>
      </c>
      <c r="B6821">
        <v>11</v>
      </c>
      <c r="C6821" t="s">
        <v>54</v>
      </c>
      <c r="D6821" t="s">
        <v>11</v>
      </c>
      <c r="E6821" t="s">
        <v>65</v>
      </c>
      <c r="F6821" t="s">
        <v>57</v>
      </c>
      <c r="G6821" t="str">
        <f t="shared" si="280"/>
        <v>003EXPLORER</v>
      </c>
      <c r="H6821" s="5">
        <v>3550</v>
      </c>
      <c r="I6821" s="6">
        <v>1268.1103447768633</v>
      </c>
      <c r="J6821" s="5">
        <v>9600</v>
      </c>
      <c r="K6821" s="6">
        <f t="shared" si="278"/>
        <v>2.7994409276936056</v>
      </c>
    </row>
    <row r="6822" spans="1:11" hidden="1">
      <c r="A6822" s="4">
        <v>2026</v>
      </c>
      <c r="B6822">
        <v>11</v>
      </c>
      <c r="C6822" t="s">
        <v>54</v>
      </c>
      <c r="D6822" t="s">
        <v>11</v>
      </c>
      <c r="E6822" t="s">
        <v>65</v>
      </c>
      <c r="F6822" t="s">
        <v>68</v>
      </c>
      <c r="G6822" t="str">
        <f t="shared" si="280"/>
        <v>003JOCKER</v>
      </c>
      <c r="H6822" s="5">
        <v>950</v>
      </c>
      <c r="I6822" s="6">
        <v>528.37931032368999</v>
      </c>
      <c r="J6822" s="5">
        <v>4000</v>
      </c>
      <c r="K6822" s="6">
        <f t="shared" si="278"/>
        <v>1.7979507929975935</v>
      </c>
    </row>
    <row r="6823" spans="1:11" hidden="1">
      <c r="A6823" s="4">
        <v>2026</v>
      </c>
      <c r="B6823">
        <v>11</v>
      </c>
      <c r="C6823" t="s">
        <v>54</v>
      </c>
      <c r="D6823" t="s">
        <v>11</v>
      </c>
      <c r="E6823" t="s">
        <v>65</v>
      </c>
      <c r="F6823" t="s">
        <v>69</v>
      </c>
      <c r="G6823" t="str">
        <f t="shared" si="280"/>
        <v>003QUICKSAND</v>
      </c>
      <c r="H6823" s="5">
        <v>2760</v>
      </c>
      <c r="I6823" s="6">
        <v>1162.4344827121247</v>
      </c>
      <c r="J6823" s="5">
        <v>8800</v>
      </c>
      <c r="K6823" s="6">
        <f t="shared" si="278"/>
        <v>2.3743273630015933</v>
      </c>
    </row>
    <row r="6824" spans="1:11" hidden="1">
      <c r="A6824" s="4">
        <v>2026</v>
      </c>
      <c r="B6824">
        <v>11</v>
      </c>
      <c r="C6824" t="s">
        <v>54</v>
      </c>
      <c r="D6824" t="s">
        <v>11</v>
      </c>
      <c r="E6824" t="s">
        <v>14</v>
      </c>
      <c r="F6824" t="s">
        <v>70</v>
      </c>
      <c r="G6824" t="str">
        <f t="shared" si="280"/>
        <v>004COTOPAXI</v>
      </c>
      <c r="H6824" s="5">
        <v>2100</v>
      </c>
      <c r="I6824" s="6">
        <v>528.3915024419166</v>
      </c>
      <c r="J6824" s="5">
        <v>4000</v>
      </c>
      <c r="K6824" s="6">
        <f t="shared" si="278"/>
        <v>3.9743258366098391</v>
      </c>
    </row>
    <row r="6825" spans="1:11" hidden="1">
      <c r="A6825" s="4">
        <v>2026</v>
      </c>
      <c r="B6825">
        <v>11</v>
      </c>
      <c r="C6825" t="s">
        <v>54</v>
      </c>
      <c r="D6825" t="s">
        <v>11</v>
      </c>
      <c r="E6825" t="s">
        <v>14</v>
      </c>
      <c r="F6825" t="s">
        <v>67</v>
      </c>
      <c r="G6825" t="str">
        <f t="shared" si="280"/>
        <v>004DEEP PURPLE</v>
      </c>
      <c r="H6825" s="5">
        <v>11850</v>
      </c>
      <c r="I6825" s="6">
        <v>3910.1071427007282</v>
      </c>
      <c r="J6825" s="5">
        <v>29260</v>
      </c>
      <c r="K6825" s="6">
        <f t="shared" si="278"/>
        <v>3.0306074916952666</v>
      </c>
    </row>
    <row r="6826" spans="1:11" hidden="1">
      <c r="A6826" s="4">
        <v>2026</v>
      </c>
      <c r="B6826">
        <v>11</v>
      </c>
      <c r="C6826" t="s">
        <v>54</v>
      </c>
      <c r="D6826" t="s">
        <v>11</v>
      </c>
      <c r="E6826" t="s">
        <v>14</v>
      </c>
      <c r="F6826" t="s">
        <v>71</v>
      </c>
      <c r="G6826" t="str">
        <f t="shared" si="280"/>
        <v>004HOT EXPLORER</v>
      </c>
      <c r="H6826" s="5">
        <v>5600</v>
      </c>
      <c r="I6826" s="6">
        <v>1902.2142856381945</v>
      </c>
      <c r="J6826" s="5">
        <v>14400</v>
      </c>
      <c r="K6826" s="6">
        <f t="shared" si="278"/>
        <v>2.9439375165459842</v>
      </c>
    </row>
    <row r="6827" spans="1:11" hidden="1">
      <c r="A6827" s="4">
        <v>2026</v>
      </c>
      <c r="B6827">
        <v>11</v>
      </c>
      <c r="C6827" t="s">
        <v>54</v>
      </c>
      <c r="D6827" t="s">
        <v>11</v>
      </c>
      <c r="E6827" t="s">
        <v>14</v>
      </c>
      <c r="F6827" t="s">
        <v>72</v>
      </c>
      <c r="G6827" t="str">
        <f t="shared" si="280"/>
        <v>004HOT MERENGUE</v>
      </c>
      <c r="H6827" s="5">
        <v>2730</v>
      </c>
      <c r="I6827" s="6">
        <v>1162.4642856677858</v>
      </c>
      <c r="J6827" s="5">
        <v>8800</v>
      </c>
      <c r="K6827" s="6">
        <f t="shared" si="278"/>
        <v>2.3484592461537277</v>
      </c>
    </row>
    <row r="6828" spans="1:11" hidden="1">
      <c r="A6828" s="4">
        <v>2026</v>
      </c>
      <c r="B6828">
        <v>11</v>
      </c>
      <c r="C6828" t="s">
        <v>54</v>
      </c>
      <c r="D6828" t="s">
        <v>11</v>
      </c>
      <c r="E6828" t="s">
        <v>14</v>
      </c>
      <c r="F6828" t="s">
        <v>64</v>
      </c>
      <c r="G6828" t="str">
        <f t="shared" si="280"/>
        <v>004SWEETNESS</v>
      </c>
      <c r="H6828" s="5">
        <v>930</v>
      </c>
      <c r="I6828" s="6">
        <v>317.03571427303262</v>
      </c>
      <c r="J6828" s="5">
        <v>2400</v>
      </c>
      <c r="K6828" s="6">
        <f t="shared" si="278"/>
        <v>2.9334234539868898</v>
      </c>
    </row>
    <row r="6829" spans="1:11" hidden="1">
      <c r="A6829" s="4">
        <v>2026</v>
      </c>
      <c r="B6829">
        <v>11</v>
      </c>
      <c r="C6829" t="s">
        <v>54</v>
      </c>
      <c r="D6829" t="s">
        <v>11</v>
      </c>
      <c r="E6829" t="s">
        <v>16</v>
      </c>
      <c r="F6829" t="s">
        <v>57</v>
      </c>
      <c r="G6829" t="str">
        <f t="shared" si="280"/>
        <v>005EXPLORER</v>
      </c>
      <c r="H6829" s="5">
        <v>1825</v>
      </c>
      <c r="I6829" s="6">
        <v>951.10714281875391</v>
      </c>
      <c r="J6829" s="5">
        <v>7200</v>
      </c>
      <c r="K6829" s="6">
        <f t="shared" si="278"/>
        <v>1.918816417035129</v>
      </c>
    </row>
    <row r="6830" spans="1:11" hidden="1">
      <c r="A6830" s="4">
        <v>2026</v>
      </c>
      <c r="B6830">
        <v>11</v>
      </c>
      <c r="C6830" t="s">
        <v>54</v>
      </c>
      <c r="D6830" t="s">
        <v>11</v>
      </c>
      <c r="E6830" t="s">
        <v>16</v>
      </c>
      <c r="F6830" t="s">
        <v>73</v>
      </c>
      <c r="G6830" t="str">
        <f t="shared" si="280"/>
        <v>005GOLDFINCH</v>
      </c>
      <c r="H6830" s="5">
        <v>825</v>
      </c>
      <c r="I6830" s="6">
        <v>898.26785710660101</v>
      </c>
      <c r="J6830" s="5">
        <v>6800</v>
      </c>
      <c r="K6830" s="6">
        <f t="shared" si="278"/>
        <v>0.91843428825049678</v>
      </c>
    </row>
    <row r="6831" spans="1:11" hidden="1">
      <c r="A6831" s="4">
        <v>2026</v>
      </c>
      <c r="B6831">
        <v>11</v>
      </c>
      <c r="C6831" t="s">
        <v>54</v>
      </c>
      <c r="D6831" t="s">
        <v>11</v>
      </c>
      <c r="E6831" t="s">
        <v>16</v>
      </c>
      <c r="F6831" t="s">
        <v>68</v>
      </c>
      <c r="G6831" t="str">
        <f t="shared" si="280"/>
        <v>005JOCKER</v>
      </c>
      <c r="H6831" s="5">
        <v>2925</v>
      </c>
      <c r="I6831" s="6">
        <v>1162.4642856673661</v>
      </c>
      <c r="J6831" s="5">
        <v>8800</v>
      </c>
      <c r="K6831" s="6">
        <f t="shared" si="278"/>
        <v>2.516206335165617</v>
      </c>
    </row>
    <row r="6832" spans="1:11" hidden="1">
      <c r="A6832" s="4">
        <v>2026</v>
      </c>
      <c r="B6832">
        <v>11</v>
      </c>
      <c r="C6832" t="s">
        <v>54</v>
      </c>
      <c r="D6832" t="s">
        <v>11</v>
      </c>
      <c r="E6832" t="s">
        <v>16</v>
      </c>
      <c r="F6832" t="s">
        <v>74</v>
      </c>
      <c r="G6832" t="str">
        <f t="shared" si="280"/>
        <v>005VENDELA</v>
      </c>
      <c r="H6832" s="5">
        <v>2670</v>
      </c>
      <c r="I6832" s="6">
        <v>686.91071425798896</v>
      </c>
      <c r="J6832" s="5">
        <v>5200</v>
      </c>
      <c r="K6832" s="6">
        <f t="shared" si="278"/>
        <v>3.886968050693711</v>
      </c>
    </row>
    <row r="6833" spans="1:11" hidden="1">
      <c r="A6833" s="4">
        <v>2026</v>
      </c>
      <c r="B6833">
        <v>11</v>
      </c>
      <c r="C6833" t="s">
        <v>54</v>
      </c>
      <c r="D6833" t="s">
        <v>11</v>
      </c>
      <c r="E6833" t="s">
        <v>75</v>
      </c>
      <c r="F6833" t="s">
        <v>76</v>
      </c>
      <c r="G6833" t="str">
        <f t="shared" si="280"/>
        <v>006ATOMIC</v>
      </c>
      <c r="H6833" s="5">
        <v>1175</v>
      </c>
      <c r="I6833" s="6">
        <v>845.428571394752</v>
      </c>
      <c r="J6833" s="5">
        <v>6400</v>
      </c>
      <c r="K6833" s="6">
        <f t="shared" si="278"/>
        <v>1.3898276445300815</v>
      </c>
    </row>
    <row r="6834" spans="1:11" hidden="1">
      <c r="A6834" s="4">
        <v>2026</v>
      </c>
      <c r="B6834">
        <v>11</v>
      </c>
      <c r="C6834" t="s">
        <v>54</v>
      </c>
      <c r="D6834" t="s">
        <v>11</v>
      </c>
      <c r="E6834" t="s">
        <v>75</v>
      </c>
      <c r="F6834" t="s">
        <v>57</v>
      </c>
      <c r="G6834" t="str">
        <f t="shared" si="280"/>
        <v>006EXPLORER</v>
      </c>
      <c r="H6834" s="5">
        <v>8250</v>
      </c>
      <c r="I6834" s="6">
        <v>3910.1071427007355</v>
      </c>
      <c r="J6834" s="5">
        <v>29600</v>
      </c>
      <c r="K6834" s="6">
        <f t="shared" ref="K6834:K6896" si="281">+H6834/I6834</f>
        <v>2.1099166081422704</v>
      </c>
    </row>
    <row r="6835" spans="1:11" hidden="1">
      <c r="A6835" s="4">
        <v>2026</v>
      </c>
      <c r="B6835">
        <v>11</v>
      </c>
      <c r="C6835" t="s">
        <v>54</v>
      </c>
      <c r="D6835" t="s">
        <v>11</v>
      </c>
      <c r="E6835" t="s">
        <v>75</v>
      </c>
      <c r="F6835" t="s">
        <v>77</v>
      </c>
      <c r="G6835" t="str">
        <f t="shared" si="280"/>
        <v>006MONDIAL</v>
      </c>
      <c r="H6835" s="5">
        <v>7150</v>
      </c>
      <c r="I6835" s="6">
        <v>4015.7857141250793</v>
      </c>
      <c r="J6835" s="5">
        <v>30400</v>
      </c>
      <c r="K6835" s="6">
        <f t="shared" si="281"/>
        <v>1.7804734886253195</v>
      </c>
    </row>
    <row r="6836" spans="1:11" hidden="1">
      <c r="A6836" s="4">
        <v>2026</v>
      </c>
      <c r="B6836">
        <v>11</v>
      </c>
      <c r="C6836" t="s">
        <v>54</v>
      </c>
      <c r="D6836" t="s">
        <v>11</v>
      </c>
      <c r="E6836" t="s">
        <v>20</v>
      </c>
      <c r="F6836" t="s">
        <v>70</v>
      </c>
      <c r="G6836" t="str">
        <f t="shared" si="280"/>
        <v>007COTOPAXI</v>
      </c>
      <c r="H6836" s="5">
        <v>8610</v>
      </c>
      <c r="I6836" s="6">
        <v>2747.5751230427709</v>
      </c>
      <c r="J6836" s="5">
        <v>20800</v>
      </c>
      <c r="K6836" s="6">
        <f t="shared" si="281"/>
        <v>3.1336722798920063</v>
      </c>
    </row>
    <row r="6837" spans="1:11" hidden="1">
      <c r="A6837" s="4">
        <v>2026</v>
      </c>
      <c r="B6837">
        <v>11</v>
      </c>
      <c r="C6837" t="s">
        <v>54</v>
      </c>
      <c r="D6837" t="s">
        <v>11</v>
      </c>
      <c r="E6837" t="s">
        <v>20</v>
      </c>
      <c r="F6837" t="s">
        <v>78</v>
      </c>
      <c r="G6837" t="str">
        <f t="shared" si="280"/>
        <v>007REDIANT</v>
      </c>
      <c r="H6837" s="5">
        <v>2070</v>
      </c>
      <c r="I6837" s="6">
        <v>1056.75862064738</v>
      </c>
      <c r="J6837" s="5">
        <v>9600</v>
      </c>
      <c r="K6837" s="6">
        <f t="shared" si="281"/>
        <v>1.9588200744763256</v>
      </c>
    </row>
    <row r="6838" spans="1:11" hidden="1">
      <c r="A6838" s="4">
        <v>2026</v>
      </c>
      <c r="B6838">
        <v>11</v>
      </c>
      <c r="C6838" t="s">
        <v>54</v>
      </c>
      <c r="D6838" t="s">
        <v>11</v>
      </c>
      <c r="E6838" t="s">
        <v>20</v>
      </c>
      <c r="F6838" t="s">
        <v>63</v>
      </c>
      <c r="G6838" t="str">
        <f t="shared" si="280"/>
        <v>007SUMMER ROMANCE</v>
      </c>
      <c r="H6838" s="5">
        <v>475</v>
      </c>
      <c r="I6838" s="6">
        <v>369.86551722658481</v>
      </c>
      <c r="J6838" s="5">
        <v>3080</v>
      </c>
      <c r="K6838" s="6">
        <f t="shared" si="281"/>
        <v>1.2842505664268462</v>
      </c>
    </row>
    <row r="6839" spans="1:11" hidden="1">
      <c r="A6839" s="4">
        <v>2026</v>
      </c>
      <c r="B6839">
        <v>11</v>
      </c>
      <c r="C6839" t="s">
        <v>54</v>
      </c>
      <c r="D6839" t="s">
        <v>11</v>
      </c>
      <c r="E6839" t="s">
        <v>20</v>
      </c>
      <c r="F6839" t="s">
        <v>74</v>
      </c>
      <c r="G6839" t="str">
        <f t="shared" si="280"/>
        <v>007VENDELA</v>
      </c>
      <c r="H6839" s="5">
        <v>15600</v>
      </c>
      <c r="I6839" s="6">
        <v>3592.9793102011122</v>
      </c>
      <c r="J6839" s="5">
        <v>27820</v>
      </c>
      <c r="K6839" s="6">
        <f t="shared" si="281"/>
        <v>4.3418006765885915</v>
      </c>
    </row>
    <row r="6840" spans="1:11" hidden="1">
      <c r="A6840" s="4">
        <v>2026</v>
      </c>
      <c r="B6840">
        <v>11</v>
      </c>
      <c r="C6840" t="s">
        <v>54</v>
      </c>
      <c r="D6840" t="s">
        <v>11</v>
      </c>
      <c r="E6840" t="s">
        <v>79</v>
      </c>
      <c r="F6840" t="s">
        <v>67</v>
      </c>
      <c r="G6840" t="str">
        <f t="shared" si="280"/>
        <v>008DEEP PURPLE</v>
      </c>
      <c r="H6840" s="5">
        <v>4800</v>
      </c>
      <c r="I6840" s="6">
        <v>1585.2222221588099</v>
      </c>
      <c r="J6840" s="5">
        <v>11490</v>
      </c>
      <c r="K6840" s="6">
        <f t="shared" si="281"/>
        <v>3.0279666364146696</v>
      </c>
    </row>
    <row r="6841" spans="1:11" hidden="1">
      <c r="A6841" s="4">
        <v>2026</v>
      </c>
      <c r="B6841">
        <v>11</v>
      </c>
      <c r="C6841" t="s">
        <v>54</v>
      </c>
      <c r="D6841" t="s">
        <v>11</v>
      </c>
      <c r="E6841" t="s">
        <v>79</v>
      </c>
      <c r="F6841" t="s">
        <v>81</v>
      </c>
      <c r="G6841" t="str">
        <f t="shared" si="280"/>
        <v>008FREEDOM</v>
      </c>
      <c r="H6841" s="5">
        <v>5580</v>
      </c>
      <c r="I6841" s="6">
        <v>2219.311111022334</v>
      </c>
      <c r="J6841" s="5">
        <v>16800</v>
      </c>
      <c r="K6841" s="6">
        <f t="shared" si="281"/>
        <v>2.5142937248800381</v>
      </c>
    </row>
    <row r="6842" spans="1:11" hidden="1">
      <c r="A6842" s="4">
        <v>2026</v>
      </c>
      <c r="B6842">
        <v>11</v>
      </c>
      <c r="C6842" t="s">
        <v>54</v>
      </c>
      <c r="D6842" t="s">
        <v>11</v>
      </c>
      <c r="E6842" t="s">
        <v>79</v>
      </c>
      <c r="F6842" t="s">
        <v>68</v>
      </c>
      <c r="G6842" t="str">
        <f t="shared" si="280"/>
        <v>008JOCKER</v>
      </c>
      <c r="H6842" s="5">
        <v>6350</v>
      </c>
      <c r="I6842" s="6">
        <v>2959.0814813631118</v>
      </c>
      <c r="J6842" s="5">
        <v>22400</v>
      </c>
      <c r="K6842" s="6">
        <f t="shared" si="281"/>
        <v>2.1459361764769143</v>
      </c>
    </row>
    <row r="6843" spans="1:11" hidden="1">
      <c r="A6843" s="4">
        <v>2026</v>
      </c>
      <c r="B6843">
        <v>11</v>
      </c>
      <c r="C6843" t="s">
        <v>54</v>
      </c>
      <c r="D6843" t="s">
        <v>11</v>
      </c>
      <c r="E6843" t="s">
        <v>79</v>
      </c>
      <c r="F6843" t="s">
        <v>61</v>
      </c>
      <c r="G6843" t="str">
        <f t="shared" si="280"/>
        <v>008LUMIA</v>
      </c>
      <c r="H6843" s="5">
        <v>1320</v>
      </c>
      <c r="I6843" s="6">
        <v>1796.5851851133182</v>
      </c>
      <c r="J6843" s="5">
        <v>13600</v>
      </c>
      <c r="K6843" s="6">
        <f t="shared" si="281"/>
        <v>0.7347271985417948</v>
      </c>
    </row>
    <row r="6844" spans="1:11" hidden="1">
      <c r="A6844" s="4">
        <v>2026</v>
      </c>
      <c r="B6844">
        <v>11</v>
      </c>
      <c r="C6844" t="s">
        <v>54</v>
      </c>
      <c r="D6844" t="s">
        <v>11</v>
      </c>
      <c r="E6844" t="s">
        <v>82</v>
      </c>
      <c r="F6844" t="s">
        <v>83</v>
      </c>
      <c r="G6844" t="str">
        <f t="shared" si="280"/>
        <v>010COOLDOWN</v>
      </c>
      <c r="H6844" s="5">
        <v>2275</v>
      </c>
      <c r="I6844" s="6">
        <v>1912.3542857142861</v>
      </c>
      <c r="J6844" s="5">
        <v>16320</v>
      </c>
      <c r="K6844" s="6">
        <f t="shared" si="281"/>
        <v>1.189633122374216</v>
      </c>
    </row>
    <row r="6845" spans="1:11" hidden="1">
      <c r="A6845" s="4">
        <v>2026</v>
      </c>
      <c r="B6845">
        <v>11</v>
      </c>
      <c r="C6845" t="s">
        <v>54</v>
      </c>
      <c r="D6845" t="s">
        <v>11</v>
      </c>
      <c r="E6845" t="s">
        <v>82</v>
      </c>
      <c r="F6845" t="s">
        <v>84</v>
      </c>
      <c r="G6845" t="str">
        <f t="shared" si="280"/>
        <v>010VIOLET HILL</v>
      </c>
      <c r="H6845" s="5">
        <v>3510</v>
      </c>
      <c r="I6845" s="6">
        <v>2812.2857142428579</v>
      </c>
      <c r="J6845" s="5">
        <v>20000</v>
      </c>
      <c r="K6845" s="6">
        <f t="shared" si="281"/>
        <v>1.2480950929784833</v>
      </c>
    </row>
    <row r="6846" spans="1:11" hidden="1">
      <c r="A6846" s="4">
        <v>2026</v>
      </c>
      <c r="B6846">
        <v>11</v>
      </c>
      <c r="C6846" t="s">
        <v>54</v>
      </c>
      <c r="D6846" t="s">
        <v>11</v>
      </c>
      <c r="E6846" t="s">
        <v>85</v>
      </c>
      <c r="F6846" t="s">
        <v>86</v>
      </c>
      <c r="G6846" t="str">
        <f t="shared" si="280"/>
        <v>011BRIGHTON</v>
      </c>
      <c r="H6846" s="5">
        <v>5025</v>
      </c>
      <c r="I6846" s="6">
        <v>1768.8376470588223</v>
      </c>
      <c r="J6846" s="5">
        <v>12800</v>
      </c>
      <c r="K6846" s="6">
        <f t="shared" si="281"/>
        <v>2.8408486264160198</v>
      </c>
    </row>
    <row r="6847" spans="1:11" hidden="1">
      <c r="A6847" s="4">
        <v>2026</v>
      </c>
      <c r="B6847">
        <v>11</v>
      </c>
      <c r="C6847" t="s">
        <v>54</v>
      </c>
      <c r="D6847" t="s">
        <v>11</v>
      </c>
      <c r="E6847" t="s">
        <v>85</v>
      </c>
      <c r="F6847" t="s">
        <v>87</v>
      </c>
      <c r="G6847" t="str">
        <f t="shared" si="280"/>
        <v>011CANDLELIGHT</v>
      </c>
      <c r="H6847" s="5">
        <v>6540</v>
      </c>
      <c r="I6847" s="6">
        <v>2263.7999998868127</v>
      </c>
      <c r="J6847" s="5">
        <v>17920</v>
      </c>
      <c r="K6847" s="6">
        <f t="shared" si="281"/>
        <v>2.8889477870514146</v>
      </c>
    </row>
    <row r="6848" spans="1:11" hidden="1">
      <c r="A6848" s="4">
        <v>2026</v>
      </c>
      <c r="B6848">
        <v>11</v>
      </c>
      <c r="C6848" t="s">
        <v>54</v>
      </c>
      <c r="D6848" t="s">
        <v>11</v>
      </c>
      <c r="E6848" t="s">
        <v>85</v>
      </c>
      <c r="F6848" t="s">
        <v>88</v>
      </c>
      <c r="G6848" t="str">
        <f t="shared" si="280"/>
        <v>011CAYENNE</v>
      </c>
      <c r="H6848" s="5">
        <v>900</v>
      </c>
      <c r="I6848" s="6">
        <v>994.97117647058747</v>
      </c>
      <c r="J6848" s="5">
        <v>7200</v>
      </c>
      <c r="K6848" s="6">
        <f t="shared" si="281"/>
        <v>0.90454881637127005</v>
      </c>
    </row>
    <row r="6849" spans="1:11" hidden="1">
      <c r="A6849" s="4">
        <v>2026</v>
      </c>
      <c r="B6849">
        <v>11</v>
      </c>
      <c r="C6849" t="s">
        <v>54</v>
      </c>
      <c r="D6849" t="s">
        <v>11</v>
      </c>
      <c r="E6849" t="s">
        <v>85</v>
      </c>
      <c r="F6849" t="s">
        <v>61</v>
      </c>
      <c r="G6849" t="str">
        <f t="shared" si="280"/>
        <v>011LUMIA</v>
      </c>
      <c r="H6849" s="5">
        <v>1500</v>
      </c>
      <c r="I6849" s="6">
        <v>994.97117647058747</v>
      </c>
      <c r="J6849" s="5">
        <v>7920</v>
      </c>
      <c r="K6849" s="6">
        <f t="shared" si="281"/>
        <v>1.5075813606187836</v>
      </c>
    </row>
    <row r="6850" spans="1:11" hidden="1">
      <c r="A6850" s="4">
        <v>2026</v>
      </c>
      <c r="B6850">
        <v>11</v>
      </c>
      <c r="C6850" t="s">
        <v>54</v>
      </c>
      <c r="D6850" t="s">
        <v>11</v>
      </c>
      <c r="E6850" t="s">
        <v>85</v>
      </c>
      <c r="F6850" t="s">
        <v>89</v>
      </c>
      <c r="G6850" t="str">
        <f t="shared" si="280"/>
        <v>011STARDUST</v>
      </c>
      <c r="H6850" s="5">
        <v>4500</v>
      </c>
      <c r="I6850" s="6">
        <v>2263.7999998868127</v>
      </c>
      <c r="J6850" s="5">
        <v>17920</v>
      </c>
      <c r="K6850" s="6">
        <f t="shared" si="281"/>
        <v>1.987808110356478</v>
      </c>
    </row>
    <row r="6851" spans="1:11" hidden="1">
      <c r="A6851" s="4">
        <v>2026</v>
      </c>
      <c r="B6851">
        <v>11</v>
      </c>
      <c r="C6851" t="s">
        <v>54</v>
      </c>
      <c r="D6851" t="s">
        <v>11</v>
      </c>
      <c r="E6851" t="s">
        <v>90</v>
      </c>
      <c r="F6851" t="s">
        <v>67</v>
      </c>
      <c r="G6851" t="str">
        <f t="shared" si="280"/>
        <v>012DEEP PURPLE</v>
      </c>
      <c r="H6851" s="5">
        <v>13980</v>
      </c>
      <c r="I6851" s="6">
        <v>6727.0499997982479</v>
      </c>
      <c r="J6851" s="5">
        <v>49210</v>
      </c>
      <c r="K6851" s="6">
        <f t="shared" si="281"/>
        <v>2.0781769126763256</v>
      </c>
    </row>
    <row r="6852" spans="1:11" hidden="1">
      <c r="A6852" s="4">
        <v>2026</v>
      </c>
      <c r="B6852">
        <v>11</v>
      </c>
      <c r="C6852" t="s">
        <v>54</v>
      </c>
      <c r="D6852" t="s">
        <v>11</v>
      </c>
      <c r="E6852" t="s">
        <v>90</v>
      </c>
      <c r="F6852" t="s">
        <v>60</v>
      </c>
      <c r="G6852" t="str">
        <f t="shared" si="280"/>
        <v>012LIGHT HOUSE</v>
      </c>
      <c r="H6852" s="5">
        <v>1800</v>
      </c>
      <c r="I6852" s="6">
        <v>994.95</v>
      </c>
      <c r="J6852" s="5">
        <v>7200</v>
      </c>
      <c r="K6852" s="6">
        <f t="shared" si="281"/>
        <v>1.8091361374943464</v>
      </c>
    </row>
    <row r="6853" spans="1:11" hidden="1">
      <c r="A6853" s="4">
        <v>2026</v>
      </c>
      <c r="B6853">
        <v>11</v>
      </c>
      <c r="C6853" t="s">
        <v>54</v>
      </c>
      <c r="D6853" t="s">
        <v>11</v>
      </c>
      <c r="E6853" t="s">
        <v>91</v>
      </c>
      <c r="F6853" t="s">
        <v>92</v>
      </c>
      <c r="G6853" t="str">
        <f t="shared" si="280"/>
        <v>013COUNTRY BLUES</v>
      </c>
      <c r="H6853" s="5">
        <v>2075</v>
      </c>
      <c r="I6853" s="6">
        <v>831.6</v>
      </c>
      <c r="J6853" s="5">
        <v>6300</v>
      </c>
      <c r="K6853" s="6">
        <f t="shared" si="281"/>
        <v>2.4951899951899952</v>
      </c>
    </row>
    <row r="6854" spans="1:11" hidden="1">
      <c r="A6854" s="4">
        <v>2026</v>
      </c>
      <c r="B6854">
        <v>11</v>
      </c>
      <c r="C6854" t="s">
        <v>54</v>
      </c>
      <c r="D6854" t="s">
        <v>11</v>
      </c>
      <c r="E6854" t="s">
        <v>91</v>
      </c>
      <c r="F6854" t="s">
        <v>93</v>
      </c>
      <c r="G6854" t="str">
        <f t="shared" si="280"/>
        <v>013LORRAINE</v>
      </c>
      <c r="H6854" s="5">
        <v>4375</v>
      </c>
      <c r="I6854" s="6">
        <v>1267.2</v>
      </c>
      <c r="J6854" s="5">
        <v>9600</v>
      </c>
      <c r="K6854" s="6">
        <f t="shared" si="281"/>
        <v>3.4524936868686869</v>
      </c>
    </row>
    <row r="6855" spans="1:11" hidden="1">
      <c r="A6855" s="4">
        <v>2026</v>
      </c>
      <c r="B6855">
        <v>11</v>
      </c>
      <c r="C6855" t="s">
        <v>54</v>
      </c>
      <c r="D6855" t="s">
        <v>11</v>
      </c>
      <c r="E6855" t="s">
        <v>91</v>
      </c>
      <c r="F6855" t="s">
        <v>61</v>
      </c>
      <c r="G6855" t="str">
        <f t="shared" si="280"/>
        <v>013LUMIA</v>
      </c>
      <c r="H6855" s="5">
        <v>360</v>
      </c>
      <c r="I6855" s="6">
        <v>316.8</v>
      </c>
      <c r="J6855" s="5">
        <v>2400</v>
      </c>
      <c r="K6855" s="6">
        <f t="shared" si="281"/>
        <v>1.1363636363636362</v>
      </c>
    </row>
    <row r="6856" spans="1:11" hidden="1">
      <c r="A6856" s="4">
        <v>2026</v>
      </c>
      <c r="B6856">
        <v>11</v>
      </c>
      <c r="C6856" t="s">
        <v>54</v>
      </c>
      <c r="D6856" t="s">
        <v>11</v>
      </c>
      <c r="E6856" t="s">
        <v>91</v>
      </c>
      <c r="F6856" t="s">
        <v>74</v>
      </c>
      <c r="G6856" t="str">
        <f t="shared" si="280"/>
        <v>013VENDELA</v>
      </c>
      <c r="H6856" s="5">
        <v>16710</v>
      </c>
      <c r="I6856" s="6">
        <v>3603.6</v>
      </c>
      <c r="J6856" s="5">
        <v>27296</v>
      </c>
      <c r="K6856" s="6">
        <f t="shared" si="281"/>
        <v>4.6370296370296371</v>
      </c>
    </row>
    <row r="6857" spans="1:11" hidden="1">
      <c r="A6857" s="4">
        <v>2026</v>
      </c>
      <c r="B6857">
        <v>11</v>
      </c>
      <c r="C6857" t="s">
        <v>54</v>
      </c>
      <c r="D6857" t="s">
        <v>11</v>
      </c>
      <c r="E6857" t="s">
        <v>23</v>
      </c>
      <c r="F6857" t="s">
        <v>89</v>
      </c>
      <c r="G6857" t="str">
        <f t="shared" si="280"/>
        <v>014STARDUST</v>
      </c>
      <c r="H6857" s="5">
        <v>6500</v>
      </c>
      <c r="I6857" s="6">
        <v>3682.8</v>
      </c>
      <c r="J6857" s="5">
        <v>27900</v>
      </c>
      <c r="K6857" s="6">
        <f t="shared" si="281"/>
        <v>1.7649614423807971</v>
      </c>
    </row>
    <row r="6858" spans="1:11" hidden="1">
      <c r="A6858" s="4">
        <v>2026</v>
      </c>
      <c r="B6858">
        <v>11</v>
      </c>
      <c r="C6858" t="s">
        <v>54</v>
      </c>
      <c r="D6858" t="s">
        <v>11</v>
      </c>
      <c r="E6858" t="s">
        <v>25</v>
      </c>
      <c r="F6858" t="s">
        <v>68</v>
      </c>
      <c r="G6858" t="str">
        <f t="shared" si="280"/>
        <v>015JOCKER</v>
      </c>
      <c r="H6858" s="5">
        <v>3050</v>
      </c>
      <c r="I6858" s="6">
        <v>2376</v>
      </c>
      <c r="J6858" s="5">
        <v>18000</v>
      </c>
      <c r="K6858" s="6">
        <f t="shared" si="281"/>
        <v>1.2836700336700337</v>
      </c>
    </row>
    <row r="6859" spans="1:11" hidden="1">
      <c r="A6859" s="4">
        <v>2026</v>
      </c>
      <c r="B6859">
        <v>11</v>
      </c>
      <c r="C6859" t="s">
        <v>54</v>
      </c>
      <c r="D6859" t="s">
        <v>11</v>
      </c>
      <c r="E6859" t="s">
        <v>27</v>
      </c>
      <c r="F6859" t="s">
        <v>94</v>
      </c>
      <c r="G6859" t="str">
        <f t="shared" si="280"/>
        <v>016DREAM IN PEACH</v>
      </c>
      <c r="H6859" s="5">
        <v>1950</v>
      </c>
      <c r="I6859" s="6">
        <v>950.4</v>
      </c>
      <c r="J6859" s="5">
        <v>7200</v>
      </c>
      <c r="K6859" s="6">
        <f t="shared" si="281"/>
        <v>2.0517676767676769</v>
      </c>
    </row>
    <row r="6860" spans="1:11" hidden="1">
      <c r="A6860" s="4">
        <v>2026</v>
      </c>
      <c r="B6860">
        <v>11</v>
      </c>
      <c r="C6860" t="s">
        <v>54</v>
      </c>
      <c r="D6860" t="s">
        <v>11</v>
      </c>
      <c r="E6860" t="s">
        <v>27</v>
      </c>
      <c r="F6860" t="s">
        <v>95</v>
      </c>
      <c r="G6860" t="str">
        <f t="shared" si="280"/>
        <v>016NINA</v>
      </c>
      <c r="H6860" s="5">
        <v>4900</v>
      </c>
      <c r="I6860" s="6">
        <v>1346.4</v>
      </c>
      <c r="J6860" s="5">
        <v>10200</v>
      </c>
      <c r="K6860" s="6">
        <f t="shared" si="281"/>
        <v>3.6393345216874624</v>
      </c>
    </row>
    <row r="6861" spans="1:11" hidden="1">
      <c r="A6861" s="4">
        <v>2026</v>
      </c>
      <c r="B6861">
        <v>11</v>
      </c>
      <c r="C6861" t="s">
        <v>54</v>
      </c>
      <c r="D6861" t="s">
        <v>11</v>
      </c>
      <c r="E6861" t="s">
        <v>30</v>
      </c>
      <c r="F6861" t="s">
        <v>81</v>
      </c>
      <c r="G6861" t="str">
        <f t="shared" si="280"/>
        <v>017FREEDOM</v>
      </c>
      <c r="H6861" s="5">
        <v>5760</v>
      </c>
      <c r="I6861" s="6">
        <v>2851.2</v>
      </c>
      <c r="J6861" s="5">
        <v>21600</v>
      </c>
      <c r="K6861" s="6">
        <f t="shared" si="281"/>
        <v>2.0202020202020203</v>
      </c>
    </row>
    <row r="6862" spans="1:11" hidden="1">
      <c r="A6862" s="4">
        <v>2026</v>
      </c>
      <c r="B6862">
        <v>11</v>
      </c>
      <c r="C6862" t="s">
        <v>54</v>
      </c>
      <c r="D6862" t="s">
        <v>11</v>
      </c>
      <c r="E6862" t="s">
        <v>30</v>
      </c>
      <c r="F6862" t="s">
        <v>73</v>
      </c>
      <c r="G6862" t="str">
        <f t="shared" si="280"/>
        <v>017GOLDFINCH</v>
      </c>
      <c r="H6862" s="5">
        <v>2500</v>
      </c>
      <c r="I6862" s="6">
        <v>2138.4</v>
      </c>
      <c r="J6862" s="5">
        <v>16200</v>
      </c>
      <c r="K6862" s="6">
        <f t="shared" si="281"/>
        <v>1.1690983913206134</v>
      </c>
    </row>
    <row r="6863" spans="1:11" hidden="1">
      <c r="A6863" s="4">
        <v>2026</v>
      </c>
      <c r="B6863">
        <v>11</v>
      </c>
      <c r="C6863" t="s">
        <v>54</v>
      </c>
      <c r="D6863" t="s">
        <v>11</v>
      </c>
      <c r="E6863" t="s">
        <v>32</v>
      </c>
      <c r="F6863" t="s">
        <v>86</v>
      </c>
      <c r="G6863" t="str">
        <f t="shared" si="280"/>
        <v>018BRIGHTON</v>
      </c>
      <c r="H6863" s="5">
        <v>2100</v>
      </c>
      <c r="I6863" s="6">
        <v>963.6</v>
      </c>
      <c r="J6863" s="5">
        <v>7570</v>
      </c>
      <c r="K6863" s="6">
        <f t="shared" si="281"/>
        <v>2.179327521793275</v>
      </c>
    </row>
    <row r="6864" spans="1:11" hidden="1">
      <c r="A6864" s="4">
        <v>2026</v>
      </c>
      <c r="B6864">
        <v>11</v>
      </c>
      <c r="C6864" t="s">
        <v>54</v>
      </c>
      <c r="D6864" t="s">
        <v>11</v>
      </c>
      <c r="E6864" t="s">
        <v>35</v>
      </c>
      <c r="F6864" t="s">
        <v>86</v>
      </c>
      <c r="G6864" t="str">
        <f t="shared" si="280"/>
        <v>019BRIGHTON</v>
      </c>
      <c r="H6864" s="5">
        <v>8150</v>
      </c>
      <c r="I6864" s="6">
        <v>3168</v>
      </c>
      <c r="J6864" s="5">
        <v>24000</v>
      </c>
      <c r="K6864" s="6">
        <f t="shared" si="281"/>
        <v>2.5726010101010099</v>
      </c>
    </row>
    <row r="6865" spans="1:11" hidden="1">
      <c r="A6865" s="4">
        <v>2026</v>
      </c>
      <c r="B6865">
        <v>11</v>
      </c>
      <c r="C6865" t="s">
        <v>54</v>
      </c>
      <c r="D6865" t="s">
        <v>11</v>
      </c>
      <c r="E6865" t="s">
        <v>35</v>
      </c>
      <c r="F6865" t="s">
        <v>96</v>
      </c>
      <c r="G6865" t="str">
        <f t="shared" si="280"/>
        <v>019TABATHA</v>
      </c>
      <c r="H6865" s="5">
        <v>1710</v>
      </c>
      <c r="I6865" s="6">
        <v>1188</v>
      </c>
      <c r="J6865" s="5">
        <v>9000</v>
      </c>
      <c r="K6865" s="6">
        <f t="shared" si="281"/>
        <v>1.4393939393939394</v>
      </c>
    </row>
    <row r="6866" spans="1:11" hidden="1">
      <c r="A6866" s="4">
        <v>2026</v>
      </c>
      <c r="B6866">
        <v>11</v>
      </c>
      <c r="C6866" t="s">
        <v>54</v>
      </c>
      <c r="D6866" t="s">
        <v>11</v>
      </c>
      <c r="E6866" t="s">
        <v>36</v>
      </c>
      <c r="F6866" t="s">
        <v>86</v>
      </c>
      <c r="G6866" t="str">
        <f t="shared" si="280"/>
        <v>020BRIGHTON</v>
      </c>
      <c r="H6866" s="5">
        <v>6225</v>
      </c>
      <c r="I6866" s="6">
        <v>2732.4</v>
      </c>
      <c r="J6866" s="5">
        <v>20700</v>
      </c>
      <c r="K6866" s="6">
        <f t="shared" si="281"/>
        <v>2.2782169521299958</v>
      </c>
    </row>
    <row r="6867" spans="1:11" hidden="1">
      <c r="A6867" s="4">
        <v>2026</v>
      </c>
      <c r="B6867">
        <v>11</v>
      </c>
      <c r="C6867" t="s">
        <v>54</v>
      </c>
      <c r="D6867" t="s">
        <v>11</v>
      </c>
      <c r="E6867" t="s">
        <v>36</v>
      </c>
      <c r="F6867" t="s">
        <v>97</v>
      </c>
      <c r="G6867" t="str">
        <f t="shared" si="280"/>
        <v>020TYCOON</v>
      </c>
      <c r="H6867" s="5">
        <v>1350</v>
      </c>
      <c r="I6867" s="6">
        <v>673.2</v>
      </c>
      <c r="J6867" s="5">
        <v>5100</v>
      </c>
      <c r="K6867" s="6">
        <f t="shared" si="281"/>
        <v>2.0053475935828877</v>
      </c>
    </row>
    <row r="6868" spans="1:11" hidden="1">
      <c r="A6868" s="4">
        <v>2026</v>
      </c>
      <c r="B6868">
        <v>11</v>
      </c>
      <c r="C6868" t="s">
        <v>54</v>
      </c>
      <c r="D6868" t="s">
        <v>11</v>
      </c>
      <c r="E6868" t="s">
        <v>38</v>
      </c>
      <c r="F6868" t="s">
        <v>98</v>
      </c>
      <c r="G6868" t="str">
        <f t="shared" si="280"/>
        <v>021SHOW GIRL</v>
      </c>
      <c r="H6868" s="5">
        <v>3075</v>
      </c>
      <c r="I6868" s="6">
        <v>1100.4749999999999</v>
      </c>
      <c r="J6868" s="5">
        <v>8000</v>
      </c>
      <c r="K6868" s="6">
        <f t="shared" si="281"/>
        <v>2.794247938390241</v>
      </c>
    </row>
    <row r="6869" spans="1:11" hidden="1">
      <c r="A6869" s="4">
        <v>2026</v>
      </c>
      <c r="B6869">
        <v>11</v>
      </c>
      <c r="C6869" t="s">
        <v>54</v>
      </c>
      <c r="D6869" t="s">
        <v>11</v>
      </c>
      <c r="E6869" t="s">
        <v>43</v>
      </c>
      <c r="F6869" t="s">
        <v>99</v>
      </c>
      <c r="G6869" t="str">
        <f t="shared" si="280"/>
        <v>022CORAL REEF</v>
      </c>
      <c r="H6869" s="5">
        <v>3500</v>
      </c>
      <c r="I6869" s="6">
        <v>1287</v>
      </c>
      <c r="J6869" s="5">
        <v>9400</v>
      </c>
      <c r="K6869" s="6">
        <f t="shared" si="281"/>
        <v>2.7195027195027195</v>
      </c>
    </row>
    <row r="6870" spans="1:11" hidden="1">
      <c r="A6870" s="4">
        <v>2026</v>
      </c>
      <c r="B6870">
        <v>11</v>
      </c>
      <c r="C6870" t="s">
        <v>54</v>
      </c>
      <c r="D6870" t="s">
        <v>11</v>
      </c>
      <c r="E6870" t="s">
        <v>100</v>
      </c>
      <c r="F6870" t="s">
        <v>70</v>
      </c>
      <c r="G6870" t="str">
        <f t="shared" si="280"/>
        <v>023COTOPAXI</v>
      </c>
      <c r="H6870" s="5">
        <v>9420</v>
      </c>
      <c r="I6870" s="6">
        <v>2641.14</v>
      </c>
      <c r="J6870" s="5">
        <v>19200</v>
      </c>
      <c r="K6870" s="6">
        <f t="shared" si="281"/>
        <v>3.5666416774574619</v>
      </c>
    </row>
    <row r="6871" spans="1:11" hidden="1">
      <c r="A6871" s="4">
        <v>2026</v>
      </c>
      <c r="B6871">
        <v>11</v>
      </c>
      <c r="C6871" t="s">
        <v>54</v>
      </c>
      <c r="D6871" t="s">
        <v>11</v>
      </c>
      <c r="E6871" t="s">
        <v>100</v>
      </c>
      <c r="F6871" t="s">
        <v>101</v>
      </c>
      <c r="G6871" t="str">
        <f t="shared" si="280"/>
        <v>023FRUTTETO</v>
      </c>
      <c r="H6871" s="5">
        <v>7740</v>
      </c>
      <c r="I6871" s="6">
        <v>2641.14</v>
      </c>
      <c r="J6871" s="5">
        <v>19200</v>
      </c>
      <c r="K6871" s="6">
        <f t="shared" si="281"/>
        <v>2.9305527158726914</v>
      </c>
    </row>
    <row r="6872" spans="1:11" hidden="1">
      <c r="A6872" s="4">
        <v>2026</v>
      </c>
      <c r="B6872">
        <v>11</v>
      </c>
      <c r="C6872" t="s">
        <v>54</v>
      </c>
      <c r="D6872" t="s">
        <v>11</v>
      </c>
      <c r="E6872" t="s">
        <v>102</v>
      </c>
      <c r="F6872" t="s">
        <v>70</v>
      </c>
      <c r="G6872" t="str">
        <f t="shared" si="280"/>
        <v>024COTOPAXI</v>
      </c>
      <c r="H6872" s="5">
        <v>3570</v>
      </c>
      <c r="I6872" s="6">
        <v>1430.6174906250001</v>
      </c>
      <c r="J6872" s="5">
        <v>10400</v>
      </c>
      <c r="K6872" s="6">
        <f t="shared" si="281"/>
        <v>2.495425942569987</v>
      </c>
    </row>
    <row r="6873" spans="1:11" hidden="1">
      <c r="A6873" s="4">
        <v>2026</v>
      </c>
      <c r="B6873">
        <v>11</v>
      </c>
      <c r="C6873" t="s">
        <v>54</v>
      </c>
      <c r="D6873" t="s">
        <v>11</v>
      </c>
      <c r="E6873" t="s">
        <v>102</v>
      </c>
      <c r="F6873" t="s">
        <v>64</v>
      </c>
      <c r="G6873" t="str">
        <f t="shared" si="280"/>
        <v>024SWEETNESS</v>
      </c>
      <c r="H6873" s="5">
        <v>2790</v>
      </c>
      <c r="I6873" s="6">
        <v>1430.6175000000001</v>
      </c>
      <c r="J6873" s="5">
        <v>10400</v>
      </c>
      <c r="K6873" s="6">
        <f t="shared" si="281"/>
        <v>1.9502068162873722</v>
      </c>
    </row>
    <row r="6874" spans="1:11" hidden="1">
      <c r="A6874" s="4">
        <v>2026</v>
      </c>
      <c r="B6874">
        <v>11</v>
      </c>
      <c r="C6874" t="s">
        <v>54</v>
      </c>
      <c r="D6874" t="s">
        <v>11</v>
      </c>
      <c r="E6874" t="s">
        <v>102</v>
      </c>
      <c r="F6874" t="s">
        <v>97</v>
      </c>
      <c r="G6874" t="str">
        <f t="shared" si="280"/>
        <v>024TYCOON</v>
      </c>
      <c r="H6874" s="5">
        <v>3960</v>
      </c>
      <c r="I6874" s="6">
        <v>2861.2350000000001</v>
      </c>
      <c r="J6874" s="5">
        <v>20800</v>
      </c>
      <c r="K6874" s="6">
        <f t="shared" si="281"/>
        <v>1.3840177405910383</v>
      </c>
    </row>
    <row r="6875" spans="1:11" hidden="1">
      <c r="A6875" s="4">
        <v>2026</v>
      </c>
      <c r="B6875">
        <v>11</v>
      </c>
      <c r="C6875" t="s">
        <v>54</v>
      </c>
      <c r="D6875" t="s">
        <v>11</v>
      </c>
      <c r="E6875" t="s">
        <v>103</v>
      </c>
      <c r="F6875" t="s">
        <v>104</v>
      </c>
      <c r="G6875" t="str">
        <f t="shared" si="280"/>
        <v>025PINK MONDIAL</v>
      </c>
      <c r="H6875" s="5">
        <v>4425</v>
      </c>
      <c r="I6875" s="6">
        <v>3071.9505625000002</v>
      </c>
      <c r="J6875" s="5">
        <v>22400</v>
      </c>
      <c r="K6875" s="6">
        <f t="shared" si="281"/>
        <v>1.4404528686161107</v>
      </c>
    </row>
    <row r="6876" spans="1:11" hidden="1">
      <c r="A6876" s="4">
        <v>2026</v>
      </c>
      <c r="B6876">
        <v>11</v>
      </c>
      <c r="C6876" t="s">
        <v>54</v>
      </c>
      <c r="D6876" t="s">
        <v>11</v>
      </c>
      <c r="E6876" t="s">
        <v>45</v>
      </c>
      <c r="F6876" t="s">
        <v>105</v>
      </c>
      <c r="G6876" t="str">
        <f t="shared" si="280"/>
        <v>026LOLA</v>
      </c>
      <c r="H6876" s="5">
        <v>4250</v>
      </c>
      <c r="I6876" s="6">
        <v>1097.125</v>
      </c>
      <c r="J6876" s="5">
        <v>8000</v>
      </c>
      <c r="K6876" s="6">
        <f t="shared" si="281"/>
        <v>3.8737609661615586</v>
      </c>
    </row>
    <row r="6877" spans="1:11" hidden="1">
      <c r="A6877" s="4">
        <v>2026</v>
      </c>
      <c r="B6877">
        <v>11</v>
      </c>
      <c r="C6877" t="s">
        <v>54</v>
      </c>
      <c r="D6877" t="s">
        <v>11</v>
      </c>
      <c r="E6877" t="s">
        <v>45</v>
      </c>
      <c r="F6877" t="s">
        <v>106</v>
      </c>
      <c r="G6877" t="str">
        <f t="shared" si="280"/>
        <v>026PALOMA</v>
      </c>
      <c r="H6877" s="5">
        <v>4425</v>
      </c>
      <c r="I6877" s="6">
        <v>2852.5250000000001</v>
      </c>
      <c r="J6877" s="5">
        <v>20800</v>
      </c>
      <c r="K6877" s="6">
        <f t="shared" si="281"/>
        <v>1.5512572194809862</v>
      </c>
    </row>
    <row r="6878" spans="1:11" hidden="1">
      <c r="A6878" s="4">
        <v>2026</v>
      </c>
      <c r="B6878">
        <v>11</v>
      </c>
      <c r="C6878" t="s">
        <v>54</v>
      </c>
      <c r="D6878" t="s">
        <v>11</v>
      </c>
      <c r="E6878" t="s">
        <v>107</v>
      </c>
      <c r="F6878" t="s">
        <v>108</v>
      </c>
      <c r="G6878" t="str">
        <f t="shared" si="280"/>
        <v>027SATISFACTION</v>
      </c>
      <c r="H6878" s="5">
        <v>4980</v>
      </c>
      <c r="I6878" s="6">
        <v>2633.1</v>
      </c>
      <c r="J6878" s="5">
        <v>19200</v>
      </c>
      <c r="K6878" s="6">
        <f t="shared" si="281"/>
        <v>1.8913068246553493</v>
      </c>
    </row>
    <row r="6879" spans="1:11" hidden="1">
      <c r="A6879" s="4">
        <v>2026</v>
      </c>
      <c r="B6879">
        <v>11</v>
      </c>
      <c r="C6879" t="s">
        <v>54</v>
      </c>
      <c r="D6879" t="s">
        <v>11</v>
      </c>
      <c r="E6879" t="s">
        <v>107</v>
      </c>
      <c r="F6879" t="s">
        <v>109</v>
      </c>
      <c r="G6879" t="str">
        <f t="shared" si="280"/>
        <v>027TIFFANY</v>
      </c>
      <c r="H6879" s="5">
        <v>4770</v>
      </c>
      <c r="I6879" s="6">
        <v>2633.1</v>
      </c>
      <c r="J6879" s="5">
        <v>19200</v>
      </c>
      <c r="K6879" s="6">
        <f t="shared" si="281"/>
        <v>1.8115529224108466</v>
      </c>
    </row>
    <row r="6880" spans="1:11" hidden="1">
      <c r="A6880" s="4">
        <v>2026</v>
      </c>
      <c r="B6880">
        <v>11</v>
      </c>
      <c r="C6880" t="s">
        <v>54</v>
      </c>
      <c r="D6880" t="s">
        <v>11</v>
      </c>
      <c r="E6880" t="s">
        <v>110</v>
      </c>
      <c r="F6880" t="s">
        <v>70</v>
      </c>
      <c r="G6880" t="str">
        <f t="shared" si="280"/>
        <v>028COTOPAXI</v>
      </c>
      <c r="H6880" s="5">
        <v>6900</v>
      </c>
      <c r="I6880" s="6">
        <v>2852.5250000000001</v>
      </c>
      <c r="J6880" s="5">
        <v>20800</v>
      </c>
      <c r="K6880" s="6">
        <f t="shared" si="281"/>
        <v>2.4189095625805206</v>
      </c>
    </row>
    <row r="6881" spans="1:11" hidden="1">
      <c r="A6881" s="4">
        <v>2026</v>
      </c>
      <c r="B6881">
        <v>11</v>
      </c>
      <c r="C6881" t="s">
        <v>54</v>
      </c>
      <c r="D6881" t="s">
        <v>11</v>
      </c>
      <c r="E6881" t="s">
        <v>110</v>
      </c>
      <c r="F6881" t="s">
        <v>67</v>
      </c>
      <c r="G6881" t="str">
        <f t="shared" si="280"/>
        <v>028DEEP PURPLE</v>
      </c>
      <c r="H6881" s="5">
        <v>5670</v>
      </c>
      <c r="I6881" s="6">
        <v>2852.5250000000001</v>
      </c>
      <c r="J6881" s="5">
        <v>20800</v>
      </c>
      <c r="K6881" s="6">
        <f t="shared" si="281"/>
        <v>1.9877126405552974</v>
      </c>
    </row>
    <row r="6882" spans="1:11" hidden="1">
      <c r="A6882" s="4">
        <v>2026</v>
      </c>
      <c r="B6882">
        <v>11</v>
      </c>
      <c r="C6882" t="s">
        <v>54</v>
      </c>
      <c r="D6882" t="s">
        <v>11</v>
      </c>
      <c r="E6882" t="s">
        <v>111</v>
      </c>
      <c r="F6882" t="s">
        <v>112</v>
      </c>
      <c r="G6882" t="str">
        <f t="shared" ref="G6882:G6943" si="282">+E6882&amp;F6882</f>
        <v>029PINK FLOYD</v>
      </c>
      <c r="H6882" s="5">
        <v>4075</v>
      </c>
      <c r="I6882" s="6">
        <v>3071.95</v>
      </c>
      <c r="J6882" s="5">
        <v>22400</v>
      </c>
      <c r="K6882" s="6">
        <f t="shared" si="281"/>
        <v>1.3265189863116262</v>
      </c>
    </row>
    <row r="6883" spans="1:11" hidden="1">
      <c r="A6883" s="4">
        <v>2026</v>
      </c>
      <c r="B6883">
        <v>11</v>
      </c>
      <c r="C6883" t="s">
        <v>54</v>
      </c>
      <c r="D6883" t="s">
        <v>11</v>
      </c>
      <c r="E6883" t="s">
        <v>47</v>
      </c>
      <c r="F6883" t="s">
        <v>57</v>
      </c>
      <c r="G6883" t="str">
        <f t="shared" si="282"/>
        <v>030EXPLORER</v>
      </c>
      <c r="H6883" s="5">
        <v>3625</v>
      </c>
      <c r="I6883" s="6">
        <v>1645.6875</v>
      </c>
      <c r="J6883" s="5">
        <v>12000</v>
      </c>
      <c r="K6883" s="6">
        <f t="shared" si="281"/>
        <v>2.2027268238957882</v>
      </c>
    </row>
    <row r="6884" spans="1:11" hidden="1">
      <c r="A6884" s="4">
        <v>2026</v>
      </c>
      <c r="B6884">
        <v>12</v>
      </c>
      <c r="C6884" t="s">
        <v>10</v>
      </c>
      <c r="D6884" t="s">
        <v>11</v>
      </c>
      <c r="E6884" t="s">
        <v>12</v>
      </c>
      <c r="F6884" t="s">
        <v>13</v>
      </c>
      <c r="G6884" t="str">
        <f t="shared" si="282"/>
        <v>002SOMERSET</v>
      </c>
      <c r="H6884" s="5">
        <v>9640</v>
      </c>
      <c r="I6884" s="6">
        <v>4121.4642855494085</v>
      </c>
      <c r="J6884" s="5">
        <v>31200</v>
      </c>
      <c r="K6884" s="6">
        <f t="shared" si="281"/>
        <v>2.338974532376652</v>
      </c>
    </row>
    <row r="6885" spans="1:11" hidden="1">
      <c r="A6885" s="4">
        <v>2026</v>
      </c>
      <c r="B6885">
        <v>12</v>
      </c>
      <c r="C6885" t="s">
        <v>10</v>
      </c>
      <c r="D6885" t="s">
        <v>11</v>
      </c>
      <c r="E6885" t="s">
        <v>14</v>
      </c>
      <c r="F6885" t="s">
        <v>15</v>
      </c>
      <c r="G6885" t="str">
        <f t="shared" si="282"/>
        <v>004BELLINA</v>
      </c>
      <c r="H6885" s="5">
        <v>1980</v>
      </c>
      <c r="I6885" s="6">
        <v>1056.7857142434418</v>
      </c>
      <c r="J6885" s="5">
        <v>8000</v>
      </c>
      <c r="K6885" s="6">
        <f t="shared" si="281"/>
        <v>1.8736059480303364</v>
      </c>
    </row>
    <row r="6886" spans="1:11" hidden="1">
      <c r="A6886" s="4">
        <v>2026</v>
      </c>
      <c r="B6886">
        <v>12</v>
      </c>
      <c r="C6886" t="s">
        <v>10</v>
      </c>
      <c r="D6886" t="s">
        <v>11</v>
      </c>
      <c r="E6886" t="s">
        <v>16</v>
      </c>
      <c r="F6886" t="s">
        <v>17</v>
      </c>
      <c r="G6886" t="str">
        <f t="shared" si="282"/>
        <v>005ELBA</v>
      </c>
      <c r="H6886" s="5">
        <v>10260</v>
      </c>
      <c r="I6886" s="6">
        <v>2641.9642856076484</v>
      </c>
      <c r="J6886" s="5">
        <v>19996</v>
      </c>
      <c r="K6886" s="6">
        <f t="shared" si="281"/>
        <v>3.883474146827921</v>
      </c>
    </row>
    <row r="6887" spans="1:11" hidden="1">
      <c r="A6887" s="4">
        <v>2026</v>
      </c>
      <c r="B6887">
        <v>12</v>
      </c>
      <c r="C6887" t="s">
        <v>10</v>
      </c>
      <c r="D6887" t="s">
        <v>11</v>
      </c>
      <c r="E6887" t="s">
        <v>16</v>
      </c>
      <c r="F6887" t="s">
        <v>18</v>
      </c>
      <c r="G6887" t="str">
        <f t="shared" si="282"/>
        <v>005HOT BUBBLES</v>
      </c>
      <c r="H6887" s="5">
        <v>1920</v>
      </c>
      <c r="I6887" s="6">
        <v>528.39285712153003</v>
      </c>
      <c r="J6887" s="5">
        <v>4000</v>
      </c>
      <c r="K6887" s="6">
        <f t="shared" si="281"/>
        <v>3.6336600204237834</v>
      </c>
    </row>
    <row r="6888" spans="1:11" hidden="1">
      <c r="A6888" s="4">
        <v>2026</v>
      </c>
      <c r="B6888">
        <v>12</v>
      </c>
      <c r="C6888" t="s">
        <v>10</v>
      </c>
      <c r="D6888" t="s">
        <v>11</v>
      </c>
      <c r="E6888" t="s">
        <v>16</v>
      </c>
      <c r="F6888" t="s">
        <v>19</v>
      </c>
      <c r="G6888" t="str">
        <f t="shared" si="282"/>
        <v>005SUSPIRO</v>
      </c>
      <c r="H6888" s="5">
        <v>4860</v>
      </c>
      <c r="I6888" s="6">
        <v>1902.2142856375078</v>
      </c>
      <c r="J6888" s="5">
        <v>14400</v>
      </c>
      <c r="K6888" s="6">
        <f t="shared" si="281"/>
        <v>2.5549172018604729</v>
      </c>
    </row>
    <row r="6889" spans="1:11" hidden="1">
      <c r="A6889" s="4">
        <v>2026</v>
      </c>
      <c r="B6889">
        <v>12</v>
      </c>
      <c r="C6889" t="s">
        <v>10</v>
      </c>
      <c r="D6889" t="s">
        <v>11</v>
      </c>
      <c r="E6889" t="s">
        <v>20</v>
      </c>
      <c r="F6889" t="s">
        <v>21</v>
      </c>
      <c r="G6889" t="str">
        <f t="shared" si="282"/>
        <v>007SNOW BUBBLES</v>
      </c>
      <c r="H6889" s="5">
        <v>1040</v>
      </c>
      <c r="I6889" s="6">
        <v>634.05652706821195</v>
      </c>
      <c r="J6889" s="5">
        <v>4800</v>
      </c>
      <c r="K6889" s="6">
        <f t="shared" si="281"/>
        <v>1.6402323067452889</v>
      </c>
    </row>
    <row r="6890" spans="1:11" hidden="1">
      <c r="A6890" s="4">
        <v>2026</v>
      </c>
      <c r="B6890">
        <v>12</v>
      </c>
      <c r="C6890" t="s">
        <v>10</v>
      </c>
      <c r="D6890" t="s">
        <v>11</v>
      </c>
      <c r="E6890" t="s">
        <v>22</v>
      </c>
      <c r="F6890" t="s">
        <v>18</v>
      </c>
      <c r="G6890" t="str">
        <f t="shared" si="282"/>
        <v>009HOT BUBBLES</v>
      </c>
      <c r="H6890" s="5">
        <v>17360</v>
      </c>
      <c r="I6890" s="6">
        <v>4487.9999999102474</v>
      </c>
      <c r="J6890" s="5">
        <v>31740</v>
      </c>
      <c r="K6890" s="6">
        <f t="shared" si="281"/>
        <v>3.8680926916994589</v>
      </c>
    </row>
    <row r="6891" spans="1:11" hidden="1">
      <c r="A6891" s="4">
        <v>2026</v>
      </c>
      <c r="B6891">
        <v>12</v>
      </c>
      <c r="C6891" t="s">
        <v>10</v>
      </c>
      <c r="D6891" t="s">
        <v>11</v>
      </c>
      <c r="E6891" t="s">
        <v>23</v>
      </c>
      <c r="F6891" t="s">
        <v>24</v>
      </c>
      <c r="G6891" t="str">
        <f t="shared" si="282"/>
        <v>014FRUITY BUBBLES</v>
      </c>
      <c r="H6891" s="5">
        <v>4675</v>
      </c>
      <c r="I6891" s="6">
        <v>1702.8</v>
      </c>
      <c r="J6891" s="5">
        <v>12900</v>
      </c>
      <c r="K6891" s="6">
        <f t="shared" si="281"/>
        <v>2.7454780361757107</v>
      </c>
    </row>
    <row r="6892" spans="1:11" hidden="1">
      <c r="A6892" s="4">
        <v>2026</v>
      </c>
      <c r="B6892">
        <v>12</v>
      </c>
      <c r="C6892" t="s">
        <v>10</v>
      </c>
      <c r="D6892" t="s">
        <v>11</v>
      </c>
      <c r="E6892" t="s">
        <v>25</v>
      </c>
      <c r="F6892" t="s">
        <v>26</v>
      </c>
      <c r="G6892" t="str">
        <f t="shared" si="282"/>
        <v>015FELLINI</v>
      </c>
      <c r="H6892" s="5">
        <v>5180</v>
      </c>
      <c r="I6892" s="6">
        <v>3009.6</v>
      </c>
      <c r="J6892" s="5">
        <v>22800</v>
      </c>
      <c r="K6892" s="6">
        <f t="shared" si="281"/>
        <v>1.7211589580010633</v>
      </c>
    </row>
    <row r="6893" spans="1:11" hidden="1">
      <c r="A6893" s="4">
        <v>2026</v>
      </c>
      <c r="B6893">
        <v>12</v>
      </c>
      <c r="C6893" t="s">
        <v>10</v>
      </c>
      <c r="D6893" t="s">
        <v>11</v>
      </c>
      <c r="E6893" t="s">
        <v>27</v>
      </c>
      <c r="F6893" t="s">
        <v>28</v>
      </c>
      <c r="G6893" t="str">
        <f t="shared" si="282"/>
        <v>016GOOD PEACH</v>
      </c>
      <c r="H6893" s="5">
        <v>4140</v>
      </c>
      <c r="I6893" s="6">
        <v>1386</v>
      </c>
      <c r="J6893" s="5">
        <v>10500</v>
      </c>
      <c r="K6893" s="6">
        <f t="shared" si="281"/>
        <v>2.9870129870129869</v>
      </c>
    </row>
    <row r="6894" spans="1:11" hidden="1">
      <c r="A6894" s="4">
        <v>2026</v>
      </c>
      <c r="B6894">
        <v>12</v>
      </c>
      <c r="C6894" t="s">
        <v>10</v>
      </c>
      <c r="D6894" t="s">
        <v>11</v>
      </c>
      <c r="E6894" t="s">
        <v>27</v>
      </c>
      <c r="F6894" t="s">
        <v>29</v>
      </c>
      <c r="G6894" t="str">
        <f t="shared" si="282"/>
        <v>016GOOD YELLOW</v>
      </c>
      <c r="H6894" s="5">
        <v>3720</v>
      </c>
      <c r="I6894" s="6">
        <v>1386</v>
      </c>
      <c r="J6894" s="5">
        <v>10500</v>
      </c>
      <c r="K6894" s="6">
        <f t="shared" si="281"/>
        <v>2.6839826839826841</v>
      </c>
    </row>
    <row r="6895" spans="1:11" hidden="1">
      <c r="A6895" s="4">
        <v>2026</v>
      </c>
      <c r="B6895">
        <v>12</v>
      </c>
      <c r="C6895" t="s">
        <v>10</v>
      </c>
      <c r="D6895" t="s">
        <v>11</v>
      </c>
      <c r="E6895" t="s">
        <v>30</v>
      </c>
      <c r="F6895" t="s">
        <v>31</v>
      </c>
      <c r="G6895" t="str">
        <f t="shared" si="282"/>
        <v>017ORANGE STAR</v>
      </c>
      <c r="H6895" s="5">
        <v>1525</v>
      </c>
      <c r="I6895" s="6">
        <v>1029.5999999999999</v>
      </c>
      <c r="J6895" s="5">
        <v>7800</v>
      </c>
      <c r="K6895" s="6">
        <f t="shared" si="281"/>
        <v>1.4811577311577313</v>
      </c>
    </row>
    <row r="6896" spans="1:11" hidden="1">
      <c r="A6896" s="4">
        <v>2026</v>
      </c>
      <c r="B6896">
        <v>12</v>
      </c>
      <c r="C6896" t="s">
        <v>10</v>
      </c>
      <c r="D6896" t="s">
        <v>11</v>
      </c>
      <c r="E6896" t="s">
        <v>32</v>
      </c>
      <c r="F6896" t="s">
        <v>33</v>
      </c>
      <c r="G6896" t="str">
        <f t="shared" si="282"/>
        <v>018COSMO</v>
      </c>
      <c r="H6896" s="5">
        <v>4025</v>
      </c>
      <c r="I6896" s="6">
        <v>2653.2</v>
      </c>
      <c r="J6896" s="5">
        <v>20100</v>
      </c>
      <c r="K6896" s="6">
        <f t="shared" si="281"/>
        <v>1.5170360319614051</v>
      </c>
    </row>
    <row r="6897" spans="1:11" hidden="1">
      <c r="A6897" s="4">
        <v>2026</v>
      </c>
      <c r="B6897">
        <v>12</v>
      </c>
      <c r="C6897" t="s">
        <v>10</v>
      </c>
      <c r="D6897" t="s">
        <v>11</v>
      </c>
      <c r="E6897" t="s">
        <v>32</v>
      </c>
      <c r="F6897" t="s">
        <v>34</v>
      </c>
      <c r="G6897" t="str">
        <f t="shared" si="282"/>
        <v>018RUBICON</v>
      </c>
      <c r="H6897" s="5">
        <v>7080</v>
      </c>
      <c r="I6897" s="6">
        <v>1768.8</v>
      </c>
      <c r="J6897" s="5">
        <v>13400</v>
      </c>
      <c r="K6897" s="6">
        <f t="shared" ref="K6897:K6918" si="283">+H6897/I6897</f>
        <v>4.0027137042062417</v>
      </c>
    </row>
    <row r="6898" spans="1:11" hidden="1">
      <c r="A6898" s="4">
        <v>2026</v>
      </c>
      <c r="B6898">
        <v>12</v>
      </c>
      <c r="C6898" t="s">
        <v>10</v>
      </c>
      <c r="D6898" t="s">
        <v>11</v>
      </c>
      <c r="E6898" t="s">
        <v>35</v>
      </c>
      <c r="F6898" t="s">
        <v>15</v>
      </c>
      <c r="G6898" t="str">
        <f t="shared" si="282"/>
        <v>019BELLINA</v>
      </c>
      <c r="H6898" s="5">
        <v>1875</v>
      </c>
      <c r="I6898" s="6">
        <v>1029.5999999999999</v>
      </c>
      <c r="J6898" s="5">
        <v>7800</v>
      </c>
      <c r="K6898" s="6">
        <f t="shared" si="283"/>
        <v>1.8210955710955712</v>
      </c>
    </row>
    <row r="6899" spans="1:11" hidden="1">
      <c r="A6899" s="4">
        <v>2026</v>
      </c>
      <c r="B6899">
        <v>12</v>
      </c>
      <c r="C6899" t="s">
        <v>10</v>
      </c>
      <c r="D6899" t="s">
        <v>11</v>
      </c>
      <c r="E6899" t="s">
        <v>36</v>
      </c>
      <c r="F6899" t="s">
        <v>37</v>
      </c>
      <c r="G6899" t="str">
        <f t="shared" si="282"/>
        <v>020SUMMER DANCE</v>
      </c>
      <c r="H6899" s="5">
        <v>4500</v>
      </c>
      <c r="I6899" s="6">
        <v>1346.4</v>
      </c>
      <c r="J6899" s="5">
        <v>10200</v>
      </c>
      <c r="K6899" s="6">
        <f t="shared" si="283"/>
        <v>3.3422459893048124</v>
      </c>
    </row>
    <row r="6900" spans="1:11" hidden="1">
      <c r="A6900" s="4">
        <v>2026</v>
      </c>
      <c r="B6900">
        <v>12</v>
      </c>
      <c r="C6900" t="s">
        <v>10</v>
      </c>
      <c r="D6900" t="s">
        <v>11</v>
      </c>
      <c r="E6900" t="s">
        <v>38</v>
      </c>
      <c r="F6900" t="s">
        <v>39</v>
      </c>
      <c r="G6900" t="str">
        <f t="shared" si="282"/>
        <v>021ELEGANT ROSEVER</v>
      </c>
      <c r="H6900" s="5">
        <v>660</v>
      </c>
      <c r="I6900" s="6">
        <v>440.18999062500001</v>
      </c>
      <c r="J6900" s="5">
        <v>3200</v>
      </c>
      <c r="K6900" s="6">
        <f t="shared" si="283"/>
        <v>1.499352584239602</v>
      </c>
    </row>
    <row r="6901" spans="1:11" hidden="1">
      <c r="A6901" s="4">
        <v>2026</v>
      </c>
      <c r="B6901">
        <v>12</v>
      </c>
      <c r="C6901" t="s">
        <v>10</v>
      </c>
      <c r="D6901" t="s">
        <v>11</v>
      </c>
      <c r="E6901" t="s">
        <v>38</v>
      </c>
      <c r="F6901" t="s">
        <v>40</v>
      </c>
      <c r="G6901" t="str">
        <f t="shared" si="282"/>
        <v>021FLAME CLUB</v>
      </c>
      <c r="H6901" s="5">
        <v>2000</v>
      </c>
      <c r="I6901" s="6">
        <v>880.38</v>
      </c>
      <c r="J6901" s="5">
        <v>6400</v>
      </c>
      <c r="K6901" s="6">
        <f t="shared" si="283"/>
        <v>2.2717462913741793</v>
      </c>
    </row>
    <row r="6902" spans="1:11" hidden="1">
      <c r="A6902" s="4">
        <v>2026</v>
      </c>
      <c r="B6902">
        <v>12</v>
      </c>
      <c r="C6902" t="s">
        <v>10</v>
      </c>
      <c r="D6902" t="s">
        <v>11</v>
      </c>
      <c r="E6902" t="s">
        <v>38</v>
      </c>
      <c r="F6902" t="s">
        <v>41</v>
      </c>
      <c r="G6902" t="str">
        <f t="shared" si="282"/>
        <v>021KELLY</v>
      </c>
      <c r="H6902" s="5">
        <v>825</v>
      </c>
      <c r="I6902" s="6">
        <v>330.14249999999998</v>
      </c>
      <c r="J6902" s="5">
        <v>2400</v>
      </c>
      <c r="K6902" s="6">
        <f t="shared" si="283"/>
        <v>2.4989209205115972</v>
      </c>
    </row>
    <row r="6903" spans="1:11" hidden="1">
      <c r="A6903" s="4">
        <v>2026</v>
      </c>
      <c r="B6903">
        <v>12</v>
      </c>
      <c r="C6903" t="s">
        <v>10</v>
      </c>
      <c r="D6903" t="s">
        <v>11</v>
      </c>
      <c r="E6903" t="s">
        <v>38</v>
      </c>
      <c r="F6903" t="s">
        <v>42</v>
      </c>
      <c r="G6903" t="str">
        <f t="shared" si="282"/>
        <v>021LEILA</v>
      </c>
      <c r="H6903" s="5">
        <v>2150</v>
      </c>
      <c r="I6903" s="6">
        <v>1430.6175000000001</v>
      </c>
      <c r="J6903" s="5">
        <v>5600</v>
      </c>
      <c r="K6903" s="6">
        <f t="shared" si="283"/>
        <v>1.5028475466013802</v>
      </c>
    </row>
    <row r="6904" spans="1:11" hidden="1">
      <c r="A6904" s="4">
        <v>2026</v>
      </c>
      <c r="B6904">
        <v>12</v>
      </c>
      <c r="C6904" t="s">
        <v>10</v>
      </c>
      <c r="D6904" t="s">
        <v>11</v>
      </c>
      <c r="E6904" t="s">
        <v>38</v>
      </c>
      <c r="F6904" t="s">
        <v>115</v>
      </c>
      <c r="G6904" t="str">
        <f t="shared" si="282"/>
        <v>021PISTACHIO KISS</v>
      </c>
      <c r="H6904" s="5">
        <v>200</v>
      </c>
      <c r="I6904" s="6">
        <v>220.095</v>
      </c>
      <c r="J6904" s="5">
        <v>6400</v>
      </c>
      <c r="K6904" s="6">
        <f t="shared" si="283"/>
        <v>0.90869851654967171</v>
      </c>
    </row>
    <row r="6905" spans="1:11" hidden="1">
      <c r="A6905" s="4">
        <v>2026</v>
      </c>
      <c r="B6905">
        <v>12</v>
      </c>
      <c r="C6905" t="s">
        <v>10</v>
      </c>
      <c r="D6905" t="s">
        <v>11</v>
      </c>
      <c r="E6905" t="s">
        <v>38</v>
      </c>
      <c r="F6905" t="s">
        <v>21</v>
      </c>
      <c r="G6905" t="str">
        <f t="shared" si="282"/>
        <v>021SNOW BUBBLES</v>
      </c>
      <c r="H6905" s="5">
        <v>2400</v>
      </c>
      <c r="I6905" s="6">
        <v>1287.0000000000018</v>
      </c>
      <c r="J6905" s="5">
        <v>9400</v>
      </c>
      <c r="K6905" s="6">
        <f t="shared" si="283"/>
        <v>1.8648018648018623</v>
      </c>
    </row>
    <row r="6906" spans="1:11" hidden="1">
      <c r="A6906" s="4">
        <v>2026</v>
      </c>
      <c r="B6906">
        <v>12</v>
      </c>
      <c r="C6906" t="s">
        <v>10</v>
      </c>
      <c r="D6906" t="s">
        <v>11</v>
      </c>
      <c r="E6906" t="s">
        <v>43</v>
      </c>
      <c r="F6906" t="s">
        <v>24</v>
      </c>
      <c r="G6906" t="str">
        <f t="shared" si="282"/>
        <v>022FRUITY BUBBLES</v>
      </c>
      <c r="H6906" s="5">
        <v>7325</v>
      </c>
      <c r="I6906" s="6">
        <v>2641.14</v>
      </c>
      <c r="J6906" s="5">
        <v>19200</v>
      </c>
      <c r="K6906" s="6">
        <f t="shared" si="283"/>
        <v>2.7734235973859773</v>
      </c>
    </row>
    <row r="6907" spans="1:11" hidden="1">
      <c r="A6907" s="4">
        <v>2026</v>
      </c>
      <c r="B6907">
        <v>12</v>
      </c>
      <c r="C6907" t="s">
        <v>10</v>
      </c>
      <c r="D6907" t="s">
        <v>11</v>
      </c>
      <c r="E6907" t="s">
        <v>43</v>
      </c>
      <c r="F6907" t="s">
        <v>28</v>
      </c>
      <c r="G6907" t="str">
        <f t="shared" si="282"/>
        <v>022GOOD PEACH</v>
      </c>
      <c r="H6907" s="5">
        <v>2190</v>
      </c>
      <c r="I6907" s="6">
        <v>880.38</v>
      </c>
      <c r="J6907" s="5">
        <v>6400</v>
      </c>
      <c r="K6907" s="6">
        <f t="shared" si="283"/>
        <v>2.4875621890547266</v>
      </c>
    </row>
    <row r="6908" spans="1:11" hidden="1">
      <c r="A6908" s="4">
        <v>2026</v>
      </c>
      <c r="B6908">
        <v>12</v>
      </c>
      <c r="C6908" t="s">
        <v>10</v>
      </c>
      <c r="D6908" t="s">
        <v>11</v>
      </c>
      <c r="E6908" t="s">
        <v>43</v>
      </c>
      <c r="F6908" t="s">
        <v>44</v>
      </c>
      <c r="G6908" t="str">
        <f t="shared" si="282"/>
        <v>022MIRABEL</v>
      </c>
      <c r="H6908" s="5">
        <v>1520</v>
      </c>
      <c r="I6908" s="6">
        <v>880.38</v>
      </c>
      <c r="J6908" s="5">
        <v>6400</v>
      </c>
      <c r="K6908" s="6">
        <f t="shared" si="283"/>
        <v>1.7265271814443763</v>
      </c>
    </row>
    <row r="6909" spans="1:11" hidden="1">
      <c r="A6909" s="4">
        <v>2026</v>
      </c>
      <c r="B6909">
        <v>12</v>
      </c>
      <c r="C6909" t="s">
        <v>10</v>
      </c>
      <c r="D6909" t="s">
        <v>11</v>
      </c>
      <c r="E6909" t="s">
        <v>47</v>
      </c>
      <c r="F6909" t="s">
        <v>44</v>
      </c>
      <c r="G6909" t="str">
        <f t="shared" si="282"/>
        <v>030MIRABEL</v>
      </c>
      <c r="H6909" s="5">
        <v>6220</v>
      </c>
      <c r="I6909" s="6">
        <v>2413.6749943750001</v>
      </c>
      <c r="J6909" s="5">
        <v>17600</v>
      </c>
      <c r="K6909" s="6">
        <f t="shared" si="283"/>
        <v>2.5769832369708143</v>
      </c>
    </row>
    <row r="6910" spans="1:11" hidden="1">
      <c r="A6910" s="4">
        <v>2026</v>
      </c>
      <c r="B6910">
        <v>12</v>
      </c>
      <c r="C6910" t="s">
        <v>10</v>
      </c>
      <c r="D6910" t="s">
        <v>11</v>
      </c>
      <c r="E6910" t="s">
        <v>47</v>
      </c>
      <c r="F6910" t="s">
        <v>13</v>
      </c>
      <c r="G6910" t="str">
        <f t="shared" si="282"/>
        <v>030SOMERSET</v>
      </c>
      <c r="H6910" s="5">
        <v>3980</v>
      </c>
      <c r="I6910" s="6">
        <v>1645.6875</v>
      </c>
      <c r="J6910" s="5">
        <v>12000</v>
      </c>
      <c r="K6910" s="6">
        <f t="shared" si="283"/>
        <v>2.4184421404428242</v>
      </c>
    </row>
    <row r="6911" spans="1:11" hidden="1">
      <c r="A6911" s="4">
        <v>2026</v>
      </c>
      <c r="B6911">
        <v>12</v>
      </c>
      <c r="C6911" t="s">
        <v>10</v>
      </c>
      <c r="D6911" t="s">
        <v>11</v>
      </c>
      <c r="E6911" t="s">
        <v>48</v>
      </c>
      <c r="F6911" t="s">
        <v>49</v>
      </c>
      <c r="G6911" t="str">
        <f t="shared" si="282"/>
        <v>03182989</v>
      </c>
      <c r="H6911" s="5">
        <v>4200</v>
      </c>
      <c r="I6911" s="6">
        <v>726.32013058333712</v>
      </c>
      <c r="J6911" s="5">
        <v>5712</v>
      </c>
      <c r="K6911" s="6">
        <f t="shared" si="283"/>
        <v>5.7825741338420702</v>
      </c>
    </row>
    <row r="6912" spans="1:11" hidden="1">
      <c r="A6912" s="4">
        <v>2026</v>
      </c>
      <c r="B6912">
        <v>12</v>
      </c>
      <c r="C6912" t="s">
        <v>10</v>
      </c>
      <c r="D6912" t="s">
        <v>11</v>
      </c>
      <c r="E6912" t="s">
        <v>48</v>
      </c>
      <c r="F6912" t="s">
        <v>34</v>
      </c>
      <c r="G6912" t="str">
        <f t="shared" si="282"/>
        <v>031RUBICON</v>
      </c>
      <c r="H6912" s="5">
        <v>3180</v>
      </c>
      <c r="I6912" s="6">
        <v>924.39958333667107</v>
      </c>
      <c r="J6912" s="5">
        <v>6720</v>
      </c>
      <c r="K6912" s="6">
        <f t="shared" si="283"/>
        <v>3.4400707846725931</v>
      </c>
    </row>
    <row r="6913" spans="1:11" hidden="1">
      <c r="A6913" s="4">
        <v>2026</v>
      </c>
      <c r="B6913">
        <v>12</v>
      </c>
      <c r="C6913" t="s">
        <v>10</v>
      </c>
      <c r="D6913" t="s">
        <v>11</v>
      </c>
      <c r="E6913" t="s">
        <v>48</v>
      </c>
      <c r="F6913" t="s">
        <v>13</v>
      </c>
      <c r="G6913" t="str">
        <f t="shared" si="282"/>
        <v>031SOMERSET</v>
      </c>
      <c r="H6913" s="5">
        <v>3540</v>
      </c>
      <c r="I6913" s="6">
        <v>1122.485208333339</v>
      </c>
      <c r="J6913" s="5">
        <v>8160</v>
      </c>
      <c r="K6913" s="6">
        <f t="shared" si="283"/>
        <v>3.1537163908432935</v>
      </c>
    </row>
    <row r="6914" spans="1:11" hidden="1">
      <c r="A6914" s="4">
        <v>2026</v>
      </c>
      <c r="B6914">
        <v>12</v>
      </c>
      <c r="C6914" t="s">
        <v>10</v>
      </c>
      <c r="D6914" t="s">
        <v>11</v>
      </c>
      <c r="E6914" t="s">
        <v>48</v>
      </c>
      <c r="F6914" t="s">
        <v>50</v>
      </c>
      <c r="G6914" t="str">
        <f t="shared" si="282"/>
        <v>031VELVET BLOSSOMS</v>
      </c>
      <c r="H6914" s="5">
        <v>660</v>
      </c>
      <c r="I6914" s="6">
        <v>396.17125000000198</v>
      </c>
      <c r="J6914" s="5">
        <v>2880</v>
      </c>
      <c r="K6914" s="6">
        <f t="shared" si="283"/>
        <v>1.6659462290612879</v>
      </c>
    </row>
    <row r="6915" spans="1:11" hidden="1">
      <c r="A6915" s="4">
        <v>2026</v>
      </c>
      <c r="B6915">
        <v>12</v>
      </c>
      <c r="C6915" t="s">
        <v>10</v>
      </c>
      <c r="D6915" t="s">
        <v>11</v>
      </c>
      <c r="E6915" t="s">
        <v>51</v>
      </c>
      <c r="F6915" t="s">
        <v>17</v>
      </c>
      <c r="G6915" t="str">
        <f t="shared" si="282"/>
        <v>032ELBA</v>
      </c>
      <c r="H6915" s="5">
        <v>4470</v>
      </c>
      <c r="I6915" s="6">
        <v>1535.9749999999999</v>
      </c>
      <c r="J6915" s="5">
        <v>11200</v>
      </c>
      <c r="K6915" s="6">
        <f t="shared" si="283"/>
        <v>2.9102036165953225</v>
      </c>
    </row>
    <row r="6916" spans="1:11" hidden="1">
      <c r="A6916" s="4">
        <v>2026</v>
      </c>
      <c r="B6916">
        <v>12</v>
      </c>
      <c r="C6916" t="s">
        <v>10</v>
      </c>
      <c r="D6916" t="s">
        <v>11</v>
      </c>
      <c r="E6916" t="s">
        <v>51</v>
      </c>
      <c r="F6916" t="s">
        <v>44</v>
      </c>
      <c r="G6916" t="str">
        <f t="shared" si="282"/>
        <v>032MIRABEL</v>
      </c>
      <c r="H6916" s="5">
        <v>2740</v>
      </c>
      <c r="I6916" s="6">
        <v>1535.9749999999999</v>
      </c>
      <c r="J6916" s="5">
        <v>11200</v>
      </c>
      <c r="K6916" s="6">
        <f t="shared" si="283"/>
        <v>1.7838832012239783</v>
      </c>
    </row>
    <row r="6917" spans="1:11" hidden="1">
      <c r="A6917" s="4">
        <v>2026</v>
      </c>
      <c r="B6917">
        <v>12</v>
      </c>
      <c r="C6917" t="s">
        <v>10</v>
      </c>
      <c r="D6917" t="s">
        <v>11</v>
      </c>
      <c r="E6917" t="s">
        <v>52</v>
      </c>
      <c r="F6917" t="s">
        <v>53</v>
      </c>
      <c r="G6917" t="str">
        <f t="shared" si="282"/>
        <v>033CREAMY FOLIES</v>
      </c>
      <c r="H6917" s="5">
        <v>1110</v>
      </c>
      <c r="I6917" s="6">
        <v>594.25687500000299</v>
      </c>
      <c r="J6917" s="5">
        <v>4320</v>
      </c>
      <c r="K6917" s="6">
        <f t="shared" si="283"/>
        <v>1.8678791053111408</v>
      </c>
    </row>
    <row r="6918" spans="1:11" hidden="1">
      <c r="A6918" s="4">
        <v>2026</v>
      </c>
      <c r="B6918">
        <v>12</v>
      </c>
      <c r="C6918" t="s">
        <v>10</v>
      </c>
      <c r="D6918" t="s">
        <v>11</v>
      </c>
      <c r="E6918" t="s">
        <v>52</v>
      </c>
      <c r="F6918" t="s">
        <v>18</v>
      </c>
      <c r="G6918" t="str">
        <f t="shared" si="282"/>
        <v>033HOT BUBBLES</v>
      </c>
      <c r="H6918" s="5">
        <v>5280</v>
      </c>
      <c r="I6918" s="6">
        <v>2575.1131250013459</v>
      </c>
      <c r="J6918" s="5">
        <v>18720</v>
      </c>
      <c r="K6918" s="6">
        <f t="shared" si="283"/>
        <v>2.0503953588436006</v>
      </c>
    </row>
    <row r="6919" spans="1:11" hidden="1">
      <c r="A6919" s="4">
        <v>2026</v>
      </c>
      <c r="B6919">
        <v>12</v>
      </c>
      <c r="C6919" t="s">
        <v>54</v>
      </c>
      <c r="D6919" t="s">
        <v>11</v>
      </c>
      <c r="E6919" t="s">
        <v>55</v>
      </c>
      <c r="F6919" t="s">
        <v>56</v>
      </c>
      <c r="G6919" t="str">
        <f t="shared" si="282"/>
        <v>001BELIEVE IN PINK</v>
      </c>
      <c r="H6919" s="5">
        <v>1380</v>
      </c>
      <c r="I6919" s="6">
        <v>528.37931032368999</v>
      </c>
      <c r="J6919" s="5">
        <v>4000</v>
      </c>
      <c r="K6919" s="6">
        <f t="shared" ref="K6919:K6924" si="284">IFERROR(H6919/I6919,"")</f>
        <v>2.6117600993017676</v>
      </c>
    </row>
    <row r="6920" spans="1:11" hidden="1">
      <c r="A6920" s="4">
        <v>2026</v>
      </c>
      <c r="B6920">
        <v>12</v>
      </c>
      <c r="C6920" t="s">
        <v>54</v>
      </c>
      <c r="D6920" t="s">
        <v>11</v>
      </c>
      <c r="E6920" t="s">
        <v>55</v>
      </c>
      <c r="F6920" t="s">
        <v>57</v>
      </c>
      <c r="G6920" t="str">
        <f t="shared" si="282"/>
        <v>001EXPLORER</v>
      </c>
      <c r="H6920" s="5">
        <v>6900</v>
      </c>
      <c r="I6920" s="6">
        <v>2272.0310343918732</v>
      </c>
      <c r="J6920" s="5">
        <v>17200</v>
      </c>
      <c r="K6920" s="6">
        <f t="shared" si="284"/>
        <v>3.0369303480253027</v>
      </c>
    </row>
    <row r="6921" spans="1:11" hidden="1">
      <c r="A6921" s="4">
        <v>2026</v>
      </c>
      <c r="B6921">
        <v>12</v>
      </c>
      <c r="C6921" t="s">
        <v>54</v>
      </c>
      <c r="D6921" t="s">
        <v>11</v>
      </c>
      <c r="E6921" t="s">
        <v>55</v>
      </c>
      <c r="F6921" t="s">
        <v>58</v>
      </c>
      <c r="G6921" t="str">
        <f t="shared" si="282"/>
        <v>001GRACE KELLY</v>
      </c>
      <c r="H6921" s="5">
        <v>2100</v>
      </c>
      <c r="I6921" s="6">
        <v>1162.4344827121224</v>
      </c>
      <c r="J6921" s="5">
        <v>8800</v>
      </c>
      <c r="K6921" s="6">
        <f t="shared" si="284"/>
        <v>1.8065534283707809</v>
      </c>
    </row>
    <row r="6922" spans="1:11" hidden="1">
      <c r="A6922" s="4">
        <v>2026</v>
      </c>
      <c r="B6922">
        <v>12</v>
      </c>
      <c r="C6922" t="s">
        <v>54</v>
      </c>
      <c r="D6922" t="s">
        <v>11</v>
      </c>
      <c r="E6922" t="s">
        <v>55</v>
      </c>
      <c r="F6922" t="s">
        <v>60</v>
      </c>
      <c r="G6922" t="str">
        <f t="shared" si="282"/>
        <v>001LIGHT HOUSE</v>
      </c>
      <c r="H6922" s="5">
        <v>1860</v>
      </c>
      <c r="I6922" s="6">
        <v>1056.7586206473827</v>
      </c>
      <c r="J6922" s="5">
        <v>8000</v>
      </c>
      <c r="K6922" s="6">
        <f t="shared" si="284"/>
        <v>1.7600991973555344</v>
      </c>
    </row>
    <row r="6923" spans="1:11" hidden="1">
      <c r="A6923" s="4">
        <v>2026</v>
      </c>
      <c r="B6923">
        <v>12</v>
      </c>
      <c r="C6923" t="s">
        <v>54</v>
      </c>
      <c r="D6923" t="s">
        <v>11</v>
      </c>
      <c r="E6923" t="s">
        <v>55</v>
      </c>
      <c r="F6923" t="s">
        <v>61</v>
      </c>
      <c r="G6923" t="str">
        <f t="shared" si="282"/>
        <v>001LUMIA</v>
      </c>
      <c r="H6923" s="5">
        <v>1410</v>
      </c>
      <c r="I6923" s="6">
        <v>1109.596551679753</v>
      </c>
      <c r="J6923" s="5">
        <v>8400</v>
      </c>
      <c r="K6923" s="6">
        <f t="shared" si="284"/>
        <v>1.2707321394118285</v>
      </c>
    </row>
    <row r="6924" spans="1:11" hidden="1">
      <c r="A6924" s="4">
        <v>2026</v>
      </c>
      <c r="B6924">
        <v>12</v>
      </c>
      <c r="C6924" t="s">
        <v>54</v>
      </c>
      <c r="D6924" t="s">
        <v>11</v>
      </c>
      <c r="E6924" t="s">
        <v>55</v>
      </c>
      <c r="F6924" t="s">
        <v>62</v>
      </c>
      <c r="G6924" t="str">
        <f t="shared" si="282"/>
        <v>001MOMENTUM</v>
      </c>
      <c r="H6924" s="5">
        <v>3175</v>
      </c>
      <c r="I6924" s="6">
        <v>1902.1655171652881</v>
      </c>
      <c r="J6924" s="5">
        <v>14400</v>
      </c>
      <c r="K6924" s="6">
        <f t="shared" si="284"/>
        <v>1.6691502244933765</v>
      </c>
    </row>
    <row r="6925" spans="1:11" hidden="1">
      <c r="A6925" s="4">
        <v>2026</v>
      </c>
      <c r="B6925">
        <v>12</v>
      </c>
      <c r="C6925" t="s">
        <v>54</v>
      </c>
      <c r="D6925" t="s">
        <v>11</v>
      </c>
      <c r="E6925" t="s">
        <v>12</v>
      </c>
      <c r="F6925" t="s">
        <v>63</v>
      </c>
      <c r="G6925" t="str">
        <f t="shared" si="282"/>
        <v>002SUMMER ROMANCE</v>
      </c>
      <c r="H6925" s="5">
        <v>2075</v>
      </c>
      <c r="I6925" s="6">
        <v>951.10714281909407</v>
      </c>
      <c r="J6925" s="5">
        <v>7200</v>
      </c>
      <c r="K6925" s="6">
        <f t="shared" ref="K6925:K6987" si="285">+H6925/I6925</f>
        <v>2.1816679810117634</v>
      </c>
    </row>
    <row r="6926" spans="1:11" hidden="1">
      <c r="A6926" s="4">
        <v>2026</v>
      </c>
      <c r="B6926">
        <v>12</v>
      </c>
      <c r="C6926" t="s">
        <v>54</v>
      </c>
      <c r="D6926" t="s">
        <v>11</v>
      </c>
      <c r="E6926" t="s">
        <v>12</v>
      </c>
      <c r="F6926" t="s">
        <v>64</v>
      </c>
      <c r="G6926" t="str">
        <f t="shared" si="282"/>
        <v>002SWEETNESS</v>
      </c>
      <c r="H6926" s="5">
        <v>6720</v>
      </c>
      <c r="I6926" s="6">
        <v>3804.4285712763772</v>
      </c>
      <c r="J6926" s="5">
        <v>28800</v>
      </c>
      <c r="K6926" s="6">
        <f t="shared" si="285"/>
        <v>1.7663625099275961</v>
      </c>
    </row>
    <row r="6927" spans="1:11" hidden="1">
      <c r="A6927" s="4">
        <v>2026</v>
      </c>
      <c r="B6927">
        <v>12</v>
      </c>
      <c r="C6927" t="s">
        <v>54</v>
      </c>
      <c r="D6927" t="s">
        <v>11</v>
      </c>
      <c r="E6927" t="s">
        <v>65</v>
      </c>
      <c r="F6927" t="s">
        <v>66</v>
      </c>
      <c r="G6927" t="str">
        <f t="shared" si="282"/>
        <v>003CABARET</v>
      </c>
      <c r="H6927" s="5">
        <v>4980</v>
      </c>
      <c r="I6927" s="6">
        <v>2641.8965516184649</v>
      </c>
      <c r="J6927" s="5">
        <v>20000</v>
      </c>
      <c r="K6927" s="6">
        <f t="shared" si="285"/>
        <v>1.8850094629743086</v>
      </c>
    </row>
    <row r="6928" spans="1:11" hidden="1">
      <c r="A6928" s="4">
        <v>2026</v>
      </c>
      <c r="B6928">
        <v>12</v>
      </c>
      <c r="C6928" t="s">
        <v>54</v>
      </c>
      <c r="D6928" t="s">
        <v>11</v>
      </c>
      <c r="E6928" t="s">
        <v>65</v>
      </c>
      <c r="F6928" t="s">
        <v>67</v>
      </c>
      <c r="G6928" t="str">
        <f t="shared" si="282"/>
        <v>003DEEP PURPLE</v>
      </c>
      <c r="H6928" s="5">
        <v>9690</v>
      </c>
      <c r="I6928" s="6">
        <v>3592.9793102010913</v>
      </c>
      <c r="J6928" s="5">
        <v>26044</v>
      </c>
      <c r="K6928" s="6">
        <f t="shared" si="285"/>
        <v>2.696926189496391</v>
      </c>
    </row>
    <row r="6929" spans="1:11" hidden="1">
      <c r="A6929" s="4">
        <v>2026</v>
      </c>
      <c r="B6929">
        <v>12</v>
      </c>
      <c r="C6929" t="s">
        <v>54</v>
      </c>
      <c r="D6929" t="s">
        <v>11</v>
      </c>
      <c r="E6929" t="s">
        <v>65</v>
      </c>
      <c r="F6929" t="s">
        <v>57</v>
      </c>
      <c r="G6929" t="str">
        <f t="shared" si="282"/>
        <v>003EXPLORER</v>
      </c>
      <c r="H6929" s="5">
        <v>3225</v>
      </c>
      <c r="I6929" s="6">
        <v>1268.1103447768633</v>
      </c>
      <c r="J6929" s="5">
        <v>9600</v>
      </c>
      <c r="K6929" s="6">
        <f t="shared" si="285"/>
        <v>2.543154082200529</v>
      </c>
    </row>
    <row r="6930" spans="1:11" hidden="1">
      <c r="A6930" s="4">
        <v>2026</v>
      </c>
      <c r="B6930">
        <v>12</v>
      </c>
      <c r="C6930" t="s">
        <v>54</v>
      </c>
      <c r="D6930" t="s">
        <v>11</v>
      </c>
      <c r="E6930" t="s">
        <v>65</v>
      </c>
      <c r="F6930" t="s">
        <v>68</v>
      </c>
      <c r="G6930" t="str">
        <f t="shared" si="282"/>
        <v>003JOCKER</v>
      </c>
      <c r="H6930" s="5">
        <v>725</v>
      </c>
      <c r="I6930" s="6">
        <v>528.37931032368999</v>
      </c>
      <c r="J6930" s="5">
        <v>4000</v>
      </c>
      <c r="K6930" s="6">
        <f t="shared" si="285"/>
        <v>1.3721203420244794</v>
      </c>
    </row>
    <row r="6931" spans="1:11" hidden="1">
      <c r="A6931" s="4">
        <v>2026</v>
      </c>
      <c r="B6931">
        <v>12</v>
      </c>
      <c r="C6931" t="s">
        <v>54</v>
      </c>
      <c r="D6931" t="s">
        <v>11</v>
      </c>
      <c r="E6931" t="s">
        <v>65</v>
      </c>
      <c r="F6931" t="s">
        <v>69</v>
      </c>
      <c r="G6931" t="str">
        <f t="shared" si="282"/>
        <v>003QUICKSAND</v>
      </c>
      <c r="H6931" s="5">
        <v>2010</v>
      </c>
      <c r="I6931" s="6">
        <v>1162.4344827121247</v>
      </c>
      <c r="J6931" s="5">
        <v>8800</v>
      </c>
      <c r="K6931" s="6">
        <f t="shared" si="285"/>
        <v>1.7291297100120298</v>
      </c>
    </row>
    <row r="6932" spans="1:11" hidden="1">
      <c r="A6932" s="4">
        <v>2026</v>
      </c>
      <c r="B6932">
        <v>12</v>
      </c>
      <c r="C6932" t="s">
        <v>54</v>
      </c>
      <c r="D6932" t="s">
        <v>11</v>
      </c>
      <c r="E6932" t="s">
        <v>14</v>
      </c>
      <c r="F6932" t="s">
        <v>70</v>
      </c>
      <c r="G6932" t="str">
        <f t="shared" si="282"/>
        <v>004COTOPAXI</v>
      </c>
      <c r="H6932" s="5">
        <v>1680</v>
      </c>
      <c r="I6932" s="6">
        <v>528.3915024419166</v>
      </c>
      <c r="J6932" s="5">
        <v>4000</v>
      </c>
      <c r="K6932" s="6">
        <f t="shared" si="285"/>
        <v>3.1794606692878711</v>
      </c>
    </row>
    <row r="6933" spans="1:11" hidden="1">
      <c r="A6933" s="4">
        <v>2026</v>
      </c>
      <c r="B6933">
        <v>12</v>
      </c>
      <c r="C6933" t="s">
        <v>54</v>
      </c>
      <c r="D6933" t="s">
        <v>11</v>
      </c>
      <c r="E6933" t="s">
        <v>14</v>
      </c>
      <c r="F6933" t="s">
        <v>67</v>
      </c>
      <c r="G6933" t="str">
        <f t="shared" si="282"/>
        <v>004DEEP PURPLE</v>
      </c>
      <c r="H6933" s="5">
        <v>10560</v>
      </c>
      <c r="I6933" s="6">
        <v>3910.1071427007282</v>
      </c>
      <c r="J6933" s="5">
        <v>29260</v>
      </c>
      <c r="K6933" s="6">
        <f t="shared" si="285"/>
        <v>2.7006932584221111</v>
      </c>
    </row>
    <row r="6934" spans="1:11" hidden="1">
      <c r="A6934" s="4">
        <v>2026</v>
      </c>
      <c r="B6934">
        <v>12</v>
      </c>
      <c r="C6934" t="s">
        <v>54</v>
      </c>
      <c r="D6934" t="s">
        <v>11</v>
      </c>
      <c r="E6934" t="s">
        <v>14</v>
      </c>
      <c r="F6934" t="s">
        <v>71</v>
      </c>
      <c r="G6934" t="str">
        <f t="shared" si="282"/>
        <v>004HOT EXPLORER</v>
      </c>
      <c r="H6934" s="5">
        <v>5275</v>
      </c>
      <c r="I6934" s="6">
        <v>1902.2142856381945</v>
      </c>
      <c r="J6934" s="5">
        <v>14400</v>
      </c>
      <c r="K6934" s="6">
        <f t="shared" si="285"/>
        <v>2.7730839999607264</v>
      </c>
    </row>
    <row r="6935" spans="1:11" hidden="1">
      <c r="A6935" s="4">
        <v>2026</v>
      </c>
      <c r="B6935">
        <v>12</v>
      </c>
      <c r="C6935" t="s">
        <v>54</v>
      </c>
      <c r="D6935" t="s">
        <v>11</v>
      </c>
      <c r="E6935" t="s">
        <v>14</v>
      </c>
      <c r="F6935" t="s">
        <v>72</v>
      </c>
      <c r="G6935" t="str">
        <f t="shared" si="282"/>
        <v>004HOT MERENGUE</v>
      </c>
      <c r="H6935" s="5">
        <v>3120</v>
      </c>
      <c r="I6935" s="6">
        <v>1162.4642856677858</v>
      </c>
      <c r="J6935" s="5">
        <v>8800</v>
      </c>
      <c r="K6935" s="6">
        <f t="shared" si="285"/>
        <v>2.6839534241756891</v>
      </c>
    </row>
    <row r="6936" spans="1:11" hidden="1">
      <c r="A6936" s="4">
        <v>2026</v>
      </c>
      <c r="B6936">
        <v>12</v>
      </c>
      <c r="C6936" t="s">
        <v>54</v>
      </c>
      <c r="D6936" t="s">
        <v>11</v>
      </c>
      <c r="E6936" t="s">
        <v>14</v>
      </c>
      <c r="F6936" t="s">
        <v>64</v>
      </c>
      <c r="G6936" t="str">
        <f t="shared" si="282"/>
        <v>004SWEETNESS</v>
      </c>
      <c r="H6936" s="5">
        <v>420</v>
      </c>
      <c r="I6936" s="6">
        <v>317.03571427303262</v>
      </c>
      <c r="J6936" s="5">
        <v>2400</v>
      </c>
      <c r="K6936" s="6">
        <f t="shared" si="285"/>
        <v>1.324771882445692</v>
      </c>
    </row>
    <row r="6937" spans="1:11" hidden="1">
      <c r="A6937" s="4">
        <v>2026</v>
      </c>
      <c r="B6937">
        <v>12</v>
      </c>
      <c r="C6937" t="s">
        <v>54</v>
      </c>
      <c r="D6937" t="s">
        <v>11</v>
      </c>
      <c r="E6937" t="s">
        <v>16</v>
      </c>
      <c r="F6937" t="s">
        <v>57</v>
      </c>
      <c r="G6937" t="str">
        <f t="shared" si="282"/>
        <v>005EXPLORER</v>
      </c>
      <c r="H6937" s="5">
        <v>1725</v>
      </c>
      <c r="I6937" s="6">
        <v>951.10714281875391</v>
      </c>
      <c r="J6937" s="5">
        <v>7200</v>
      </c>
      <c r="K6937" s="6">
        <f t="shared" si="285"/>
        <v>1.813675791444163</v>
      </c>
    </row>
    <row r="6938" spans="1:11" hidden="1">
      <c r="A6938" s="4">
        <v>2026</v>
      </c>
      <c r="B6938">
        <v>12</v>
      </c>
      <c r="C6938" t="s">
        <v>54</v>
      </c>
      <c r="D6938" t="s">
        <v>11</v>
      </c>
      <c r="E6938" t="s">
        <v>16</v>
      </c>
      <c r="F6938" t="s">
        <v>73</v>
      </c>
      <c r="G6938" t="str">
        <f t="shared" si="282"/>
        <v>005GOLDFINCH</v>
      </c>
      <c r="H6938" s="5">
        <v>900</v>
      </c>
      <c r="I6938" s="6">
        <v>898.26785710660101</v>
      </c>
      <c r="J6938" s="5">
        <v>6800</v>
      </c>
      <c r="K6938" s="6">
        <f t="shared" si="285"/>
        <v>1.0019283144550872</v>
      </c>
    </row>
    <row r="6939" spans="1:11" hidden="1">
      <c r="A6939" s="4">
        <v>2026</v>
      </c>
      <c r="B6939">
        <v>12</v>
      </c>
      <c r="C6939" t="s">
        <v>54</v>
      </c>
      <c r="D6939" t="s">
        <v>11</v>
      </c>
      <c r="E6939" t="s">
        <v>16</v>
      </c>
      <c r="F6939" t="s">
        <v>68</v>
      </c>
      <c r="G6939" t="str">
        <f t="shared" si="282"/>
        <v>005JOCKER</v>
      </c>
      <c r="H6939" s="5">
        <v>2050</v>
      </c>
      <c r="I6939" s="6">
        <v>1162.4642856673661</v>
      </c>
      <c r="J6939" s="5">
        <v>8800</v>
      </c>
      <c r="K6939" s="6">
        <f t="shared" si="285"/>
        <v>1.7634950383212016</v>
      </c>
    </row>
    <row r="6940" spans="1:11" hidden="1">
      <c r="A6940" s="4">
        <v>2026</v>
      </c>
      <c r="B6940">
        <v>12</v>
      </c>
      <c r="C6940" t="s">
        <v>54</v>
      </c>
      <c r="D6940" t="s">
        <v>11</v>
      </c>
      <c r="E6940" t="s">
        <v>16</v>
      </c>
      <c r="F6940" t="s">
        <v>74</v>
      </c>
      <c r="G6940" t="str">
        <f t="shared" si="282"/>
        <v>005VENDELA</v>
      </c>
      <c r="H6940" s="5">
        <v>1950</v>
      </c>
      <c r="I6940" s="6">
        <v>686.91071425798896</v>
      </c>
      <c r="J6940" s="5">
        <v>5200</v>
      </c>
      <c r="K6940" s="6">
        <f t="shared" si="285"/>
        <v>2.8387968909560812</v>
      </c>
    </row>
    <row r="6941" spans="1:11" hidden="1">
      <c r="A6941" s="4">
        <v>2026</v>
      </c>
      <c r="B6941">
        <v>12</v>
      </c>
      <c r="C6941" t="s">
        <v>54</v>
      </c>
      <c r="D6941" t="s">
        <v>11</v>
      </c>
      <c r="E6941" t="s">
        <v>75</v>
      </c>
      <c r="F6941" t="s">
        <v>76</v>
      </c>
      <c r="G6941" t="str">
        <f t="shared" si="282"/>
        <v>006ATOMIC</v>
      </c>
      <c r="H6941" s="5">
        <v>875</v>
      </c>
      <c r="I6941" s="6">
        <v>845.428571394752</v>
      </c>
      <c r="J6941" s="5">
        <v>6400</v>
      </c>
      <c r="K6941" s="6">
        <f t="shared" si="285"/>
        <v>1.034978033160699</v>
      </c>
    </row>
    <row r="6942" spans="1:11" hidden="1">
      <c r="A6942" s="4">
        <v>2026</v>
      </c>
      <c r="B6942">
        <v>12</v>
      </c>
      <c r="C6942" t="s">
        <v>54</v>
      </c>
      <c r="D6942" t="s">
        <v>11</v>
      </c>
      <c r="E6942" t="s">
        <v>75</v>
      </c>
      <c r="F6942" t="s">
        <v>57</v>
      </c>
      <c r="G6942" t="str">
        <f t="shared" si="282"/>
        <v>006EXPLORER</v>
      </c>
      <c r="H6942" s="5">
        <v>8725</v>
      </c>
      <c r="I6942" s="6">
        <v>3910.1071427007355</v>
      </c>
      <c r="J6942" s="5">
        <v>29600</v>
      </c>
      <c r="K6942" s="6">
        <f t="shared" si="285"/>
        <v>2.2313966552777345</v>
      </c>
    </row>
    <row r="6943" spans="1:11" hidden="1">
      <c r="A6943" s="4">
        <v>2026</v>
      </c>
      <c r="B6943">
        <v>12</v>
      </c>
      <c r="C6943" t="s">
        <v>54</v>
      </c>
      <c r="D6943" t="s">
        <v>11</v>
      </c>
      <c r="E6943" t="s">
        <v>75</v>
      </c>
      <c r="F6943" t="s">
        <v>77</v>
      </c>
      <c r="G6943" t="str">
        <f t="shared" si="282"/>
        <v>006MONDIAL</v>
      </c>
      <c r="H6943" s="5">
        <v>6475</v>
      </c>
      <c r="I6943" s="6">
        <v>4015.7857141250793</v>
      </c>
      <c r="J6943" s="5">
        <v>30400</v>
      </c>
      <c r="K6943" s="6">
        <f t="shared" si="285"/>
        <v>1.6123868306082438</v>
      </c>
    </row>
    <row r="6944" spans="1:11" hidden="1">
      <c r="A6944" s="4">
        <v>2026</v>
      </c>
      <c r="B6944">
        <v>12</v>
      </c>
      <c r="C6944" t="s">
        <v>54</v>
      </c>
      <c r="D6944" t="s">
        <v>11</v>
      </c>
      <c r="E6944" t="s">
        <v>20</v>
      </c>
      <c r="F6944" t="s">
        <v>70</v>
      </c>
      <c r="G6944" t="str">
        <f t="shared" ref="G6944:G7006" si="286">+E6944&amp;F6944</f>
        <v>007COTOPAXI</v>
      </c>
      <c r="H6944" s="5">
        <v>10470</v>
      </c>
      <c r="I6944" s="6">
        <v>2747.5751230427709</v>
      </c>
      <c r="J6944" s="5">
        <v>20800</v>
      </c>
      <c r="K6944" s="6">
        <f t="shared" si="285"/>
        <v>3.8106328420986419</v>
      </c>
    </row>
    <row r="6945" spans="1:11" hidden="1">
      <c r="A6945" s="4">
        <v>2026</v>
      </c>
      <c r="B6945">
        <v>12</v>
      </c>
      <c r="C6945" t="s">
        <v>54</v>
      </c>
      <c r="D6945" t="s">
        <v>11</v>
      </c>
      <c r="E6945" t="s">
        <v>20</v>
      </c>
      <c r="F6945" t="s">
        <v>78</v>
      </c>
      <c r="G6945" t="str">
        <f t="shared" si="286"/>
        <v>007REDIANT</v>
      </c>
      <c r="H6945" s="5">
        <v>1920</v>
      </c>
      <c r="I6945" s="6">
        <v>1056.75862064738</v>
      </c>
      <c r="J6945" s="5">
        <v>9600</v>
      </c>
      <c r="K6945" s="6">
        <f t="shared" si="285"/>
        <v>1.8168765908186209</v>
      </c>
    </row>
    <row r="6946" spans="1:11" hidden="1">
      <c r="A6946" s="4">
        <v>2026</v>
      </c>
      <c r="B6946">
        <v>12</v>
      </c>
      <c r="C6946" t="s">
        <v>54</v>
      </c>
      <c r="D6946" t="s">
        <v>11</v>
      </c>
      <c r="E6946" t="s">
        <v>20</v>
      </c>
      <c r="F6946" t="s">
        <v>63</v>
      </c>
      <c r="G6946" t="str">
        <f t="shared" si="286"/>
        <v>007SUMMER ROMANCE</v>
      </c>
      <c r="H6946" s="5">
        <v>450</v>
      </c>
      <c r="I6946" s="6">
        <v>369.86551722658481</v>
      </c>
      <c r="J6946" s="5">
        <v>3080</v>
      </c>
      <c r="K6946" s="6">
        <f t="shared" si="285"/>
        <v>1.216658431351749</v>
      </c>
    </row>
    <row r="6947" spans="1:11" hidden="1">
      <c r="A6947" s="4">
        <v>2026</v>
      </c>
      <c r="B6947">
        <v>12</v>
      </c>
      <c r="C6947" t="s">
        <v>54</v>
      </c>
      <c r="D6947" t="s">
        <v>11</v>
      </c>
      <c r="E6947" t="s">
        <v>20</v>
      </c>
      <c r="F6947" t="s">
        <v>74</v>
      </c>
      <c r="G6947" t="str">
        <f t="shared" si="286"/>
        <v>007VENDELA</v>
      </c>
      <c r="H6947" s="5">
        <v>11700</v>
      </c>
      <c r="I6947" s="6">
        <v>3592.9793102011122</v>
      </c>
      <c r="J6947" s="5">
        <v>27820</v>
      </c>
      <c r="K6947" s="6">
        <f t="shared" si="285"/>
        <v>3.2563505074414438</v>
      </c>
    </row>
    <row r="6948" spans="1:11" hidden="1">
      <c r="A6948" s="4">
        <v>2026</v>
      </c>
      <c r="B6948">
        <v>12</v>
      </c>
      <c r="C6948" t="s">
        <v>54</v>
      </c>
      <c r="D6948" t="s">
        <v>11</v>
      </c>
      <c r="E6948" t="s">
        <v>79</v>
      </c>
      <c r="F6948" t="s">
        <v>67</v>
      </c>
      <c r="G6948" t="str">
        <f t="shared" si="286"/>
        <v>008DEEP PURPLE</v>
      </c>
      <c r="H6948" s="5">
        <v>4170</v>
      </c>
      <c r="I6948" s="6">
        <v>1585.2222221588099</v>
      </c>
      <c r="J6948" s="5">
        <v>11490</v>
      </c>
      <c r="K6948" s="6">
        <f t="shared" si="285"/>
        <v>2.6305460153852445</v>
      </c>
    </row>
    <row r="6949" spans="1:11" hidden="1">
      <c r="A6949" s="4">
        <v>2026</v>
      </c>
      <c r="B6949">
        <v>12</v>
      </c>
      <c r="C6949" t="s">
        <v>54</v>
      </c>
      <c r="D6949" t="s">
        <v>11</v>
      </c>
      <c r="E6949" t="s">
        <v>79</v>
      </c>
      <c r="F6949" t="s">
        <v>81</v>
      </c>
      <c r="G6949" t="str">
        <f t="shared" si="286"/>
        <v>008FREEDOM</v>
      </c>
      <c r="H6949" s="5">
        <v>4410</v>
      </c>
      <c r="I6949" s="6">
        <v>2219.311111022334</v>
      </c>
      <c r="J6949" s="5">
        <v>16800</v>
      </c>
      <c r="K6949" s="6">
        <f t="shared" si="285"/>
        <v>1.9871031051471268</v>
      </c>
    </row>
    <row r="6950" spans="1:11" hidden="1">
      <c r="A6950" s="4">
        <v>2026</v>
      </c>
      <c r="B6950">
        <v>12</v>
      </c>
      <c r="C6950" t="s">
        <v>54</v>
      </c>
      <c r="D6950" t="s">
        <v>11</v>
      </c>
      <c r="E6950" t="s">
        <v>79</v>
      </c>
      <c r="F6950" t="s">
        <v>68</v>
      </c>
      <c r="G6950" t="str">
        <f t="shared" si="286"/>
        <v>008JOCKER</v>
      </c>
      <c r="H6950" s="5">
        <v>3975</v>
      </c>
      <c r="I6950" s="6">
        <v>2959.0814813631118</v>
      </c>
      <c r="J6950" s="5">
        <v>22400</v>
      </c>
      <c r="K6950" s="6">
        <f t="shared" si="285"/>
        <v>1.3433222522040527</v>
      </c>
    </row>
    <row r="6951" spans="1:11" hidden="1">
      <c r="A6951" s="4">
        <v>2026</v>
      </c>
      <c r="B6951">
        <v>12</v>
      </c>
      <c r="C6951" t="s">
        <v>54</v>
      </c>
      <c r="D6951" t="s">
        <v>11</v>
      </c>
      <c r="E6951" t="s">
        <v>79</v>
      </c>
      <c r="F6951" t="s">
        <v>61</v>
      </c>
      <c r="G6951" t="str">
        <f t="shared" si="286"/>
        <v>008LUMIA</v>
      </c>
      <c r="H6951" s="5">
        <v>3570</v>
      </c>
      <c r="I6951" s="6">
        <v>1796.5851851133182</v>
      </c>
      <c r="J6951" s="5">
        <v>13600</v>
      </c>
      <c r="K6951" s="6">
        <f t="shared" si="285"/>
        <v>1.9871031051471266</v>
      </c>
    </row>
    <row r="6952" spans="1:11" hidden="1">
      <c r="A6952" s="4">
        <v>2026</v>
      </c>
      <c r="B6952">
        <v>12</v>
      </c>
      <c r="C6952" t="s">
        <v>54</v>
      </c>
      <c r="D6952" t="s">
        <v>11</v>
      </c>
      <c r="E6952" t="s">
        <v>82</v>
      </c>
      <c r="F6952" t="s">
        <v>83</v>
      </c>
      <c r="G6952" t="str">
        <f t="shared" si="286"/>
        <v>010COOLDOWN</v>
      </c>
      <c r="H6952" s="5">
        <v>2300</v>
      </c>
      <c r="I6952" s="6">
        <v>1912.3542857142861</v>
      </c>
      <c r="J6952" s="5">
        <v>16320</v>
      </c>
      <c r="K6952" s="6">
        <f t="shared" si="285"/>
        <v>1.2027060138288779</v>
      </c>
    </row>
    <row r="6953" spans="1:11" hidden="1">
      <c r="A6953" s="4">
        <v>2026</v>
      </c>
      <c r="B6953">
        <v>12</v>
      </c>
      <c r="C6953" t="s">
        <v>54</v>
      </c>
      <c r="D6953" t="s">
        <v>11</v>
      </c>
      <c r="E6953" t="s">
        <v>82</v>
      </c>
      <c r="F6953" t="s">
        <v>84</v>
      </c>
      <c r="G6953" t="str">
        <f t="shared" si="286"/>
        <v>010VIOLET HILL</v>
      </c>
      <c r="H6953" s="5">
        <v>4050</v>
      </c>
      <c r="I6953" s="6">
        <v>2812.2857142428579</v>
      </c>
      <c r="J6953" s="5">
        <v>20000</v>
      </c>
      <c r="K6953" s="6">
        <f t="shared" si="285"/>
        <v>1.4401097226674806</v>
      </c>
    </row>
    <row r="6954" spans="1:11" hidden="1">
      <c r="A6954" s="4">
        <v>2026</v>
      </c>
      <c r="B6954">
        <v>12</v>
      </c>
      <c r="C6954" t="s">
        <v>54</v>
      </c>
      <c r="D6954" t="s">
        <v>11</v>
      </c>
      <c r="E6954" t="s">
        <v>85</v>
      </c>
      <c r="F6954" t="s">
        <v>86</v>
      </c>
      <c r="G6954" t="str">
        <f t="shared" si="286"/>
        <v>011BRIGHTON</v>
      </c>
      <c r="H6954" s="5">
        <v>4075</v>
      </c>
      <c r="I6954" s="6">
        <v>1768.8376470588223</v>
      </c>
      <c r="J6954" s="5">
        <v>12800</v>
      </c>
      <c r="K6954" s="6">
        <f t="shared" si="285"/>
        <v>2.3037727666955785</v>
      </c>
    </row>
    <row r="6955" spans="1:11" hidden="1">
      <c r="A6955" s="4">
        <v>2026</v>
      </c>
      <c r="B6955">
        <v>12</v>
      </c>
      <c r="C6955" t="s">
        <v>54</v>
      </c>
      <c r="D6955" t="s">
        <v>11</v>
      </c>
      <c r="E6955" t="s">
        <v>85</v>
      </c>
      <c r="F6955" t="s">
        <v>87</v>
      </c>
      <c r="G6955" t="str">
        <f t="shared" si="286"/>
        <v>011CANDLELIGHT</v>
      </c>
      <c r="H6955" s="5">
        <v>4340</v>
      </c>
      <c r="I6955" s="6">
        <v>2263.7999998868127</v>
      </c>
      <c r="J6955" s="5">
        <v>17920</v>
      </c>
      <c r="K6955" s="6">
        <f t="shared" si="285"/>
        <v>1.9171304886549143</v>
      </c>
    </row>
    <row r="6956" spans="1:11" hidden="1">
      <c r="A6956" s="4">
        <v>2026</v>
      </c>
      <c r="B6956">
        <v>12</v>
      </c>
      <c r="C6956" t="s">
        <v>54</v>
      </c>
      <c r="D6956" t="s">
        <v>11</v>
      </c>
      <c r="E6956" t="s">
        <v>85</v>
      </c>
      <c r="F6956" t="s">
        <v>88</v>
      </c>
      <c r="G6956" t="str">
        <f t="shared" si="286"/>
        <v>011CAYENNE</v>
      </c>
      <c r="H6956" s="5">
        <v>1290</v>
      </c>
      <c r="I6956" s="6">
        <v>994.97117647058747</v>
      </c>
      <c r="J6956" s="5">
        <v>7200</v>
      </c>
      <c r="K6956" s="6">
        <f t="shared" si="285"/>
        <v>1.2965199701321539</v>
      </c>
    </row>
    <row r="6957" spans="1:11" hidden="1">
      <c r="A6957" s="4">
        <v>2026</v>
      </c>
      <c r="B6957">
        <v>12</v>
      </c>
      <c r="C6957" t="s">
        <v>54</v>
      </c>
      <c r="D6957" t="s">
        <v>11</v>
      </c>
      <c r="E6957" t="s">
        <v>85</v>
      </c>
      <c r="F6957" t="s">
        <v>61</v>
      </c>
      <c r="G6957" t="str">
        <f t="shared" si="286"/>
        <v>011LUMIA</v>
      </c>
      <c r="H6957" s="5">
        <v>1080</v>
      </c>
      <c r="I6957" s="6">
        <v>994.97117647058747</v>
      </c>
      <c r="J6957" s="5">
        <v>7920</v>
      </c>
      <c r="K6957" s="6">
        <f t="shared" si="285"/>
        <v>1.0854585796455241</v>
      </c>
    </row>
    <row r="6958" spans="1:11" hidden="1">
      <c r="A6958" s="4">
        <v>2026</v>
      </c>
      <c r="B6958">
        <v>12</v>
      </c>
      <c r="C6958" t="s">
        <v>54</v>
      </c>
      <c r="D6958" t="s">
        <v>11</v>
      </c>
      <c r="E6958" t="s">
        <v>85</v>
      </c>
      <c r="F6958" t="s">
        <v>89</v>
      </c>
      <c r="G6958" t="str">
        <f t="shared" si="286"/>
        <v>011STARDUST</v>
      </c>
      <c r="H6958" s="5">
        <v>3550</v>
      </c>
      <c r="I6958" s="6">
        <v>2263.7999998868127</v>
      </c>
      <c r="J6958" s="5">
        <v>17920</v>
      </c>
      <c r="K6958" s="6">
        <f t="shared" si="285"/>
        <v>1.5681597315034437</v>
      </c>
    </row>
    <row r="6959" spans="1:11" hidden="1">
      <c r="A6959" s="4">
        <v>2026</v>
      </c>
      <c r="B6959">
        <v>12</v>
      </c>
      <c r="C6959" t="s">
        <v>54</v>
      </c>
      <c r="D6959" t="s">
        <v>11</v>
      </c>
      <c r="E6959" t="s">
        <v>90</v>
      </c>
      <c r="F6959" t="s">
        <v>67</v>
      </c>
      <c r="G6959" t="str">
        <f t="shared" si="286"/>
        <v>012DEEP PURPLE</v>
      </c>
      <c r="H6959" s="5">
        <v>11040</v>
      </c>
      <c r="I6959" s="6">
        <v>6727.0499997982479</v>
      </c>
      <c r="J6959" s="5">
        <v>49210</v>
      </c>
      <c r="K6959" s="6">
        <f t="shared" si="285"/>
        <v>1.6411354160190725</v>
      </c>
    </row>
    <row r="6960" spans="1:11" hidden="1">
      <c r="A6960" s="4">
        <v>2026</v>
      </c>
      <c r="B6960">
        <v>12</v>
      </c>
      <c r="C6960" t="s">
        <v>54</v>
      </c>
      <c r="D6960" t="s">
        <v>11</v>
      </c>
      <c r="E6960" t="s">
        <v>90</v>
      </c>
      <c r="F6960" t="s">
        <v>60</v>
      </c>
      <c r="G6960" t="str">
        <f t="shared" si="286"/>
        <v>012LIGHT HOUSE</v>
      </c>
      <c r="H6960" s="5">
        <v>1440</v>
      </c>
      <c r="I6960" s="6">
        <v>994.95</v>
      </c>
      <c r="J6960" s="5">
        <v>7200</v>
      </c>
      <c r="K6960" s="6">
        <f t="shared" si="285"/>
        <v>1.447308909995477</v>
      </c>
    </row>
    <row r="6961" spans="1:11" hidden="1">
      <c r="A6961" s="4">
        <v>2026</v>
      </c>
      <c r="B6961">
        <v>12</v>
      </c>
      <c r="C6961" t="s">
        <v>54</v>
      </c>
      <c r="D6961" t="s">
        <v>11</v>
      </c>
      <c r="E6961" t="s">
        <v>91</v>
      </c>
      <c r="F6961" t="s">
        <v>92</v>
      </c>
      <c r="G6961" t="str">
        <f t="shared" si="286"/>
        <v>013COUNTRY BLUES</v>
      </c>
      <c r="H6961" s="5">
        <v>1775</v>
      </c>
      <c r="I6961" s="6">
        <v>831.6</v>
      </c>
      <c r="J6961" s="5">
        <v>6300</v>
      </c>
      <c r="K6961" s="6">
        <f t="shared" si="285"/>
        <v>2.1344396344396346</v>
      </c>
    </row>
    <row r="6962" spans="1:11" hidden="1">
      <c r="A6962" s="4">
        <v>2026</v>
      </c>
      <c r="B6962">
        <v>12</v>
      </c>
      <c r="C6962" t="s">
        <v>54</v>
      </c>
      <c r="D6962" t="s">
        <v>11</v>
      </c>
      <c r="E6962" t="s">
        <v>91</v>
      </c>
      <c r="F6962" t="s">
        <v>93</v>
      </c>
      <c r="G6962" t="str">
        <f t="shared" si="286"/>
        <v>013LORRAINE</v>
      </c>
      <c r="H6962" s="5">
        <v>3875</v>
      </c>
      <c r="I6962" s="6">
        <v>1267.2</v>
      </c>
      <c r="J6962" s="5">
        <v>9600</v>
      </c>
      <c r="K6962" s="6">
        <f t="shared" si="285"/>
        <v>3.0579229797979797</v>
      </c>
    </row>
    <row r="6963" spans="1:11" hidden="1">
      <c r="A6963" s="4">
        <v>2026</v>
      </c>
      <c r="B6963">
        <v>12</v>
      </c>
      <c r="C6963" t="s">
        <v>54</v>
      </c>
      <c r="D6963" t="s">
        <v>11</v>
      </c>
      <c r="E6963" t="s">
        <v>91</v>
      </c>
      <c r="F6963" t="s">
        <v>61</v>
      </c>
      <c r="G6963" t="str">
        <f t="shared" si="286"/>
        <v>013LUMIA</v>
      </c>
      <c r="H6963" s="5">
        <v>510</v>
      </c>
      <c r="I6963" s="6">
        <v>316.8</v>
      </c>
      <c r="J6963" s="5">
        <v>2400</v>
      </c>
      <c r="K6963" s="6">
        <f t="shared" si="285"/>
        <v>1.6098484848484849</v>
      </c>
    </row>
    <row r="6964" spans="1:11" hidden="1">
      <c r="A6964" s="4">
        <v>2026</v>
      </c>
      <c r="B6964">
        <v>12</v>
      </c>
      <c r="C6964" t="s">
        <v>54</v>
      </c>
      <c r="D6964" t="s">
        <v>11</v>
      </c>
      <c r="E6964" t="s">
        <v>91</v>
      </c>
      <c r="F6964" t="s">
        <v>74</v>
      </c>
      <c r="G6964" t="str">
        <f t="shared" si="286"/>
        <v>013VENDELA</v>
      </c>
      <c r="H6964" s="5">
        <v>12930</v>
      </c>
      <c r="I6964" s="6">
        <v>3603.6</v>
      </c>
      <c r="J6964" s="5">
        <v>27296</v>
      </c>
      <c r="K6964" s="6">
        <f t="shared" si="285"/>
        <v>3.5880785880785884</v>
      </c>
    </row>
    <row r="6965" spans="1:11" hidden="1">
      <c r="A6965" s="4">
        <v>2026</v>
      </c>
      <c r="B6965">
        <v>12</v>
      </c>
      <c r="C6965" t="s">
        <v>54</v>
      </c>
      <c r="D6965" t="s">
        <v>11</v>
      </c>
      <c r="E6965" t="s">
        <v>23</v>
      </c>
      <c r="F6965" t="s">
        <v>89</v>
      </c>
      <c r="G6965" t="str">
        <f t="shared" si="286"/>
        <v>014STARDUST</v>
      </c>
      <c r="H6965" s="5">
        <v>7000</v>
      </c>
      <c r="I6965" s="6">
        <v>3682.8</v>
      </c>
      <c r="J6965" s="5">
        <v>27900</v>
      </c>
      <c r="K6965" s="6">
        <f t="shared" si="285"/>
        <v>1.90072770717932</v>
      </c>
    </row>
    <row r="6966" spans="1:11" hidden="1">
      <c r="A6966" s="4">
        <v>2026</v>
      </c>
      <c r="B6966">
        <v>12</v>
      </c>
      <c r="C6966" t="s">
        <v>54</v>
      </c>
      <c r="D6966" t="s">
        <v>11</v>
      </c>
      <c r="E6966" t="s">
        <v>25</v>
      </c>
      <c r="F6966" t="s">
        <v>68</v>
      </c>
      <c r="G6966" t="str">
        <f t="shared" si="286"/>
        <v>015JOCKER</v>
      </c>
      <c r="H6966" s="5">
        <v>2675</v>
      </c>
      <c r="I6966" s="6">
        <v>2376</v>
      </c>
      <c r="J6966" s="5">
        <v>18000</v>
      </c>
      <c r="K6966" s="6">
        <f t="shared" si="285"/>
        <v>1.1258417508417509</v>
      </c>
    </row>
    <row r="6967" spans="1:11" hidden="1">
      <c r="A6967" s="4">
        <v>2026</v>
      </c>
      <c r="B6967">
        <v>12</v>
      </c>
      <c r="C6967" t="s">
        <v>54</v>
      </c>
      <c r="D6967" t="s">
        <v>11</v>
      </c>
      <c r="E6967" t="s">
        <v>27</v>
      </c>
      <c r="F6967" t="s">
        <v>94</v>
      </c>
      <c r="G6967" t="str">
        <f t="shared" si="286"/>
        <v>016DREAM IN PEACH</v>
      </c>
      <c r="H6967" s="5">
        <v>1740</v>
      </c>
      <c r="I6967" s="6">
        <v>950.4</v>
      </c>
      <c r="J6967" s="5">
        <v>7200</v>
      </c>
      <c r="K6967" s="6">
        <f t="shared" si="285"/>
        <v>1.8308080808080809</v>
      </c>
    </row>
    <row r="6968" spans="1:11" hidden="1">
      <c r="A6968" s="4">
        <v>2026</v>
      </c>
      <c r="B6968">
        <v>12</v>
      </c>
      <c r="C6968" t="s">
        <v>54</v>
      </c>
      <c r="D6968" t="s">
        <v>11</v>
      </c>
      <c r="E6968" t="s">
        <v>27</v>
      </c>
      <c r="F6968" t="s">
        <v>95</v>
      </c>
      <c r="G6968" t="str">
        <f t="shared" si="286"/>
        <v>016NINA</v>
      </c>
      <c r="H6968" s="5">
        <v>2950</v>
      </c>
      <c r="I6968" s="6">
        <v>1346.4</v>
      </c>
      <c r="J6968" s="5">
        <v>10200</v>
      </c>
      <c r="K6968" s="6">
        <f t="shared" si="285"/>
        <v>2.191027926322044</v>
      </c>
    </row>
    <row r="6969" spans="1:11" hidden="1">
      <c r="A6969" s="4">
        <v>2026</v>
      </c>
      <c r="B6969">
        <v>12</v>
      </c>
      <c r="C6969" t="s">
        <v>54</v>
      </c>
      <c r="D6969" t="s">
        <v>11</v>
      </c>
      <c r="E6969" t="s">
        <v>30</v>
      </c>
      <c r="F6969" t="s">
        <v>81</v>
      </c>
      <c r="G6969" t="str">
        <f t="shared" si="286"/>
        <v>017FREEDOM</v>
      </c>
      <c r="H6969" s="5">
        <v>5160</v>
      </c>
      <c r="I6969" s="6">
        <v>2851.2</v>
      </c>
      <c r="J6969" s="5">
        <v>21600</v>
      </c>
      <c r="K6969" s="6">
        <f t="shared" si="285"/>
        <v>1.8097643097643099</v>
      </c>
    </row>
    <row r="6970" spans="1:11" hidden="1">
      <c r="A6970" s="4">
        <v>2026</v>
      </c>
      <c r="B6970">
        <v>12</v>
      </c>
      <c r="C6970" t="s">
        <v>54</v>
      </c>
      <c r="D6970" t="s">
        <v>11</v>
      </c>
      <c r="E6970" t="s">
        <v>30</v>
      </c>
      <c r="F6970" t="s">
        <v>73</v>
      </c>
      <c r="G6970" t="str">
        <f t="shared" si="286"/>
        <v>017GOLDFINCH</v>
      </c>
      <c r="H6970" s="5">
        <v>2000</v>
      </c>
      <c r="I6970" s="6">
        <v>2138.4</v>
      </c>
      <c r="J6970" s="5">
        <v>16200</v>
      </c>
      <c r="K6970" s="6">
        <f t="shared" si="285"/>
        <v>0.9352787130564908</v>
      </c>
    </row>
    <row r="6971" spans="1:11" hidden="1">
      <c r="A6971" s="4">
        <v>2026</v>
      </c>
      <c r="B6971">
        <v>12</v>
      </c>
      <c r="C6971" t="s">
        <v>54</v>
      </c>
      <c r="D6971" t="s">
        <v>11</v>
      </c>
      <c r="E6971" t="s">
        <v>32</v>
      </c>
      <c r="F6971" t="s">
        <v>86</v>
      </c>
      <c r="G6971" t="str">
        <f t="shared" si="286"/>
        <v>018BRIGHTON</v>
      </c>
      <c r="H6971" s="5">
        <v>2325</v>
      </c>
      <c r="I6971" s="6">
        <v>963.6</v>
      </c>
      <c r="J6971" s="5">
        <v>7570</v>
      </c>
      <c r="K6971" s="6">
        <f t="shared" si="285"/>
        <v>2.4128268991282691</v>
      </c>
    </row>
    <row r="6972" spans="1:11" hidden="1">
      <c r="A6972" s="4">
        <v>2026</v>
      </c>
      <c r="B6972">
        <v>12</v>
      </c>
      <c r="C6972" t="s">
        <v>54</v>
      </c>
      <c r="D6972" t="s">
        <v>11</v>
      </c>
      <c r="E6972" t="s">
        <v>35</v>
      </c>
      <c r="F6972" t="s">
        <v>86</v>
      </c>
      <c r="G6972" t="str">
        <f t="shared" si="286"/>
        <v>019BRIGHTON</v>
      </c>
      <c r="H6972" s="5">
        <v>8825</v>
      </c>
      <c r="I6972" s="6">
        <v>3168</v>
      </c>
      <c r="J6972" s="5">
        <v>24000</v>
      </c>
      <c r="K6972" s="6">
        <f t="shared" si="285"/>
        <v>2.785669191919192</v>
      </c>
    </row>
    <row r="6973" spans="1:11" hidden="1">
      <c r="A6973" s="4">
        <v>2026</v>
      </c>
      <c r="B6973">
        <v>12</v>
      </c>
      <c r="C6973" t="s">
        <v>54</v>
      </c>
      <c r="D6973" t="s">
        <v>11</v>
      </c>
      <c r="E6973" t="s">
        <v>35</v>
      </c>
      <c r="F6973" t="s">
        <v>96</v>
      </c>
      <c r="G6973" t="str">
        <f t="shared" si="286"/>
        <v>019TABATHA</v>
      </c>
      <c r="H6973" s="5">
        <v>1920</v>
      </c>
      <c r="I6973" s="6">
        <v>1188</v>
      </c>
      <c r="J6973" s="5">
        <v>9000</v>
      </c>
      <c r="K6973" s="6">
        <f t="shared" si="285"/>
        <v>1.6161616161616161</v>
      </c>
    </row>
    <row r="6974" spans="1:11" hidden="1">
      <c r="A6974" s="4">
        <v>2026</v>
      </c>
      <c r="B6974">
        <v>12</v>
      </c>
      <c r="C6974" t="s">
        <v>54</v>
      </c>
      <c r="D6974" t="s">
        <v>11</v>
      </c>
      <c r="E6974" t="s">
        <v>36</v>
      </c>
      <c r="F6974" t="s">
        <v>86</v>
      </c>
      <c r="G6974" t="str">
        <f t="shared" si="286"/>
        <v>020BRIGHTON</v>
      </c>
      <c r="H6974" s="5">
        <v>5200</v>
      </c>
      <c r="I6974" s="6">
        <v>2732.4</v>
      </c>
      <c r="J6974" s="5">
        <v>20700</v>
      </c>
      <c r="K6974" s="6">
        <f t="shared" si="285"/>
        <v>1.9030888596105986</v>
      </c>
    </row>
    <row r="6975" spans="1:11" hidden="1">
      <c r="A6975" s="4">
        <v>2026</v>
      </c>
      <c r="B6975">
        <v>12</v>
      </c>
      <c r="C6975" t="s">
        <v>54</v>
      </c>
      <c r="D6975" t="s">
        <v>11</v>
      </c>
      <c r="E6975" t="s">
        <v>36</v>
      </c>
      <c r="F6975" t="s">
        <v>97</v>
      </c>
      <c r="G6975" t="str">
        <f t="shared" si="286"/>
        <v>020TYCOON</v>
      </c>
      <c r="H6975" s="5">
        <v>1500</v>
      </c>
      <c r="I6975" s="6">
        <v>673.2</v>
      </c>
      <c r="J6975" s="5">
        <v>5100</v>
      </c>
      <c r="K6975" s="6">
        <f t="shared" si="285"/>
        <v>2.2281639928698751</v>
      </c>
    </row>
    <row r="6976" spans="1:11" hidden="1">
      <c r="A6976" s="4">
        <v>2026</v>
      </c>
      <c r="B6976">
        <v>12</v>
      </c>
      <c r="C6976" t="s">
        <v>54</v>
      </c>
      <c r="D6976" t="s">
        <v>11</v>
      </c>
      <c r="E6976" t="s">
        <v>38</v>
      </c>
      <c r="F6976" t="s">
        <v>98</v>
      </c>
      <c r="G6976" t="str">
        <f t="shared" si="286"/>
        <v>021SHOW GIRL</v>
      </c>
      <c r="H6976" s="5">
        <v>2025</v>
      </c>
      <c r="I6976" s="6">
        <v>1100.4749999999999</v>
      </c>
      <c r="J6976" s="5">
        <v>8000</v>
      </c>
      <c r="K6976" s="6">
        <f t="shared" si="285"/>
        <v>1.8401144960130855</v>
      </c>
    </row>
    <row r="6977" spans="1:11" hidden="1">
      <c r="A6977" s="4">
        <v>2026</v>
      </c>
      <c r="B6977">
        <v>12</v>
      </c>
      <c r="C6977" t="s">
        <v>54</v>
      </c>
      <c r="D6977" t="s">
        <v>11</v>
      </c>
      <c r="E6977" t="s">
        <v>43</v>
      </c>
      <c r="F6977" t="s">
        <v>99</v>
      </c>
      <c r="G6977" t="str">
        <f t="shared" si="286"/>
        <v>022CORAL REEF</v>
      </c>
      <c r="H6977" s="5">
        <v>3300</v>
      </c>
      <c r="I6977" s="6">
        <v>1287</v>
      </c>
      <c r="J6977" s="5">
        <v>9400</v>
      </c>
      <c r="K6977" s="6">
        <f t="shared" si="285"/>
        <v>2.5641025641025643</v>
      </c>
    </row>
    <row r="6978" spans="1:11" hidden="1">
      <c r="A6978" s="4">
        <v>2026</v>
      </c>
      <c r="B6978">
        <v>12</v>
      </c>
      <c r="C6978" t="s">
        <v>54</v>
      </c>
      <c r="D6978" t="s">
        <v>11</v>
      </c>
      <c r="E6978" t="s">
        <v>100</v>
      </c>
      <c r="F6978" t="s">
        <v>70</v>
      </c>
      <c r="G6978" t="str">
        <f t="shared" si="286"/>
        <v>023COTOPAXI</v>
      </c>
      <c r="H6978" s="5">
        <v>7410</v>
      </c>
      <c r="I6978" s="6">
        <v>2641.14</v>
      </c>
      <c r="J6978" s="5">
        <v>19200</v>
      </c>
      <c r="K6978" s="6">
        <f t="shared" si="285"/>
        <v>2.8056066698471116</v>
      </c>
    </row>
    <row r="6979" spans="1:11" hidden="1">
      <c r="A6979" s="4">
        <v>2026</v>
      </c>
      <c r="B6979">
        <v>12</v>
      </c>
      <c r="C6979" t="s">
        <v>54</v>
      </c>
      <c r="D6979" t="s">
        <v>11</v>
      </c>
      <c r="E6979" t="s">
        <v>100</v>
      </c>
      <c r="F6979" t="s">
        <v>101</v>
      </c>
      <c r="G6979" t="str">
        <f t="shared" si="286"/>
        <v>023FRUTTETO</v>
      </c>
      <c r="H6979" s="5">
        <v>6480</v>
      </c>
      <c r="I6979" s="6">
        <v>2641.14</v>
      </c>
      <c r="J6979" s="5">
        <v>19200</v>
      </c>
      <c r="K6979" s="6">
        <f t="shared" si="285"/>
        <v>2.4534859946841139</v>
      </c>
    </row>
    <row r="6980" spans="1:11" hidden="1">
      <c r="A6980" s="4">
        <v>2026</v>
      </c>
      <c r="B6980">
        <v>12</v>
      </c>
      <c r="C6980" t="s">
        <v>54</v>
      </c>
      <c r="D6980" t="s">
        <v>11</v>
      </c>
      <c r="E6980" t="s">
        <v>102</v>
      </c>
      <c r="F6980" t="s">
        <v>70</v>
      </c>
      <c r="G6980" t="str">
        <f t="shared" si="286"/>
        <v>024COTOPAXI</v>
      </c>
      <c r="H6980" s="5">
        <v>4140</v>
      </c>
      <c r="I6980" s="6">
        <v>1430.6174906250001</v>
      </c>
      <c r="J6980" s="5">
        <v>10400</v>
      </c>
      <c r="K6980" s="6">
        <f t="shared" si="285"/>
        <v>2.8938552947450265</v>
      </c>
    </row>
    <row r="6981" spans="1:11" hidden="1">
      <c r="A6981" s="4">
        <v>2026</v>
      </c>
      <c r="B6981">
        <v>12</v>
      </c>
      <c r="C6981" t="s">
        <v>54</v>
      </c>
      <c r="D6981" t="s">
        <v>11</v>
      </c>
      <c r="E6981" t="s">
        <v>102</v>
      </c>
      <c r="F6981" t="s">
        <v>64</v>
      </c>
      <c r="G6981" t="str">
        <f t="shared" si="286"/>
        <v>024SWEETNESS</v>
      </c>
      <c r="H6981" s="5">
        <v>2070</v>
      </c>
      <c r="I6981" s="6">
        <v>1430.6175000000001</v>
      </c>
      <c r="J6981" s="5">
        <v>10400</v>
      </c>
      <c r="K6981" s="6">
        <f t="shared" si="285"/>
        <v>1.4469276378906311</v>
      </c>
    </row>
    <row r="6982" spans="1:11" hidden="1">
      <c r="A6982" s="4">
        <v>2026</v>
      </c>
      <c r="B6982">
        <v>12</v>
      </c>
      <c r="C6982" t="s">
        <v>54</v>
      </c>
      <c r="D6982" t="s">
        <v>11</v>
      </c>
      <c r="E6982" t="s">
        <v>102</v>
      </c>
      <c r="F6982" t="s">
        <v>97</v>
      </c>
      <c r="G6982" t="str">
        <f t="shared" si="286"/>
        <v>024TYCOON</v>
      </c>
      <c r="H6982" s="5">
        <v>3450</v>
      </c>
      <c r="I6982" s="6">
        <v>2861.2350000000001</v>
      </c>
      <c r="J6982" s="5">
        <v>20800</v>
      </c>
      <c r="K6982" s="6">
        <f t="shared" si="285"/>
        <v>1.205773031575526</v>
      </c>
    </row>
    <row r="6983" spans="1:11" hidden="1">
      <c r="A6983" s="4">
        <v>2026</v>
      </c>
      <c r="B6983">
        <v>12</v>
      </c>
      <c r="C6983" t="s">
        <v>54</v>
      </c>
      <c r="D6983" t="s">
        <v>11</v>
      </c>
      <c r="E6983" t="s">
        <v>103</v>
      </c>
      <c r="F6983" t="s">
        <v>104</v>
      </c>
      <c r="G6983" t="str">
        <f t="shared" si="286"/>
        <v>025PINK MONDIAL</v>
      </c>
      <c r="H6983" s="5">
        <v>4625</v>
      </c>
      <c r="I6983" s="6">
        <v>3071.9505625000002</v>
      </c>
      <c r="J6983" s="5">
        <v>22400</v>
      </c>
      <c r="K6983" s="6">
        <f t="shared" si="285"/>
        <v>1.5055580830168389</v>
      </c>
    </row>
    <row r="6984" spans="1:11" hidden="1">
      <c r="A6984" s="4">
        <v>2026</v>
      </c>
      <c r="B6984">
        <v>12</v>
      </c>
      <c r="C6984" t="s">
        <v>54</v>
      </c>
      <c r="D6984" t="s">
        <v>11</v>
      </c>
      <c r="E6984" t="s">
        <v>45</v>
      </c>
      <c r="F6984" t="s">
        <v>105</v>
      </c>
      <c r="G6984" t="str">
        <f t="shared" si="286"/>
        <v>026LOLA</v>
      </c>
      <c r="H6984" s="5">
        <v>5525</v>
      </c>
      <c r="I6984" s="6">
        <v>1097.125</v>
      </c>
      <c r="J6984" s="5">
        <v>8000</v>
      </c>
      <c r="K6984" s="6">
        <f t="shared" si="285"/>
        <v>5.0358892560100266</v>
      </c>
    </row>
    <row r="6985" spans="1:11" hidden="1">
      <c r="A6985" s="4">
        <v>2026</v>
      </c>
      <c r="B6985">
        <v>12</v>
      </c>
      <c r="C6985" t="s">
        <v>54</v>
      </c>
      <c r="D6985" t="s">
        <v>11</v>
      </c>
      <c r="E6985" t="s">
        <v>45</v>
      </c>
      <c r="F6985" t="s">
        <v>106</v>
      </c>
      <c r="G6985" t="str">
        <f t="shared" si="286"/>
        <v>026PALOMA</v>
      </c>
      <c r="H6985" s="5">
        <v>4750</v>
      </c>
      <c r="I6985" s="6">
        <v>2852.5250000000001</v>
      </c>
      <c r="J6985" s="5">
        <v>20800</v>
      </c>
      <c r="K6985" s="6">
        <f t="shared" si="285"/>
        <v>1.6651913655445614</v>
      </c>
    </row>
    <row r="6986" spans="1:11" hidden="1">
      <c r="A6986" s="4">
        <v>2026</v>
      </c>
      <c r="B6986">
        <v>12</v>
      </c>
      <c r="C6986" t="s">
        <v>54</v>
      </c>
      <c r="D6986" t="s">
        <v>11</v>
      </c>
      <c r="E6986" t="s">
        <v>107</v>
      </c>
      <c r="F6986" t="s">
        <v>108</v>
      </c>
      <c r="G6986" t="str">
        <f t="shared" si="286"/>
        <v>027SATISFACTION</v>
      </c>
      <c r="H6986" s="5">
        <v>3720</v>
      </c>
      <c r="I6986" s="6">
        <v>2633.1</v>
      </c>
      <c r="J6986" s="5">
        <v>19200</v>
      </c>
      <c r="K6986" s="6">
        <f t="shared" si="285"/>
        <v>1.4127834111883333</v>
      </c>
    </row>
    <row r="6987" spans="1:11" hidden="1">
      <c r="A6987" s="4">
        <v>2026</v>
      </c>
      <c r="B6987">
        <v>12</v>
      </c>
      <c r="C6987" t="s">
        <v>54</v>
      </c>
      <c r="D6987" t="s">
        <v>11</v>
      </c>
      <c r="E6987" t="s">
        <v>107</v>
      </c>
      <c r="F6987" t="s">
        <v>109</v>
      </c>
      <c r="G6987" t="str">
        <f t="shared" si="286"/>
        <v>027TIFFANY</v>
      </c>
      <c r="H6987" s="5">
        <v>3420</v>
      </c>
      <c r="I6987" s="6">
        <v>2633.1</v>
      </c>
      <c r="J6987" s="5">
        <v>19200</v>
      </c>
      <c r="K6987" s="6">
        <f t="shared" si="285"/>
        <v>1.2988492651247578</v>
      </c>
    </row>
    <row r="6988" spans="1:11" hidden="1">
      <c r="A6988" s="4">
        <v>2026</v>
      </c>
      <c r="B6988">
        <v>12</v>
      </c>
      <c r="C6988" t="s">
        <v>54</v>
      </c>
      <c r="D6988" t="s">
        <v>11</v>
      </c>
      <c r="E6988" t="s">
        <v>110</v>
      </c>
      <c r="F6988" t="s">
        <v>70</v>
      </c>
      <c r="G6988" t="str">
        <f t="shared" si="286"/>
        <v>028COTOPAXI</v>
      </c>
      <c r="H6988" s="5">
        <v>7500</v>
      </c>
      <c r="I6988" s="6">
        <v>2852.5250000000001</v>
      </c>
      <c r="J6988" s="5">
        <v>20800</v>
      </c>
      <c r="K6988" s="6">
        <f t="shared" ref="K6988:K7049" si="287">+H6988/I6988</f>
        <v>2.6292495245440444</v>
      </c>
    </row>
    <row r="6989" spans="1:11" hidden="1">
      <c r="A6989" s="4">
        <v>2026</v>
      </c>
      <c r="B6989">
        <v>12</v>
      </c>
      <c r="C6989" t="s">
        <v>54</v>
      </c>
      <c r="D6989" t="s">
        <v>11</v>
      </c>
      <c r="E6989" t="s">
        <v>110</v>
      </c>
      <c r="F6989" t="s">
        <v>67</v>
      </c>
      <c r="G6989" t="str">
        <f t="shared" si="286"/>
        <v>028DEEP PURPLE</v>
      </c>
      <c r="H6989" s="5">
        <v>5670</v>
      </c>
      <c r="I6989" s="6">
        <v>2852.5250000000001</v>
      </c>
      <c r="J6989" s="5">
        <v>20800</v>
      </c>
      <c r="K6989" s="6">
        <f t="shared" si="287"/>
        <v>1.9877126405552974</v>
      </c>
    </row>
    <row r="6990" spans="1:11" hidden="1">
      <c r="A6990" s="4">
        <v>2026</v>
      </c>
      <c r="B6990">
        <v>12</v>
      </c>
      <c r="C6990" t="s">
        <v>54</v>
      </c>
      <c r="D6990" t="s">
        <v>11</v>
      </c>
      <c r="E6990" t="s">
        <v>111</v>
      </c>
      <c r="F6990" t="s">
        <v>112</v>
      </c>
      <c r="G6990" t="str">
        <f t="shared" si="286"/>
        <v>029PINK FLOYD</v>
      </c>
      <c r="H6990" s="5">
        <v>5050</v>
      </c>
      <c r="I6990" s="6">
        <v>3071.95</v>
      </c>
      <c r="J6990" s="5">
        <v>22400</v>
      </c>
      <c r="K6990" s="6">
        <f t="shared" si="287"/>
        <v>1.6439069646315858</v>
      </c>
    </row>
    <row r="6991" spans="1:11" hidden="1">
      <c r="A6991" s="4">
        <v>2026</v>
      </c>
      <c r="B6991">
        <v>12</v>
      </c>
      <c r="C6991" t="s">
        <v>54</v>
      </c>
      <c r="D6991" t="s">
        <v>11</v>
      </c>
      <c r="E6991" t="s">
        <v>47</v>
      </c>
      <c r="F6991" t="s">
        <v>57</v>
      </c>
      <c r="G6991" t="str">
        <f t="shared" si="286"/>
        <v>030EXPLORER</v>
      </c>
      <c r="H6991" s="5">
        <v>3300</v>
      </c>
      <c r="I6991" s="6">
        <v>1645.6875</v>
      </c>
      <c r="J6991" s="5">
        <v>12000</v>
      </c>
      <c r="K6991" s="6">
        <f t="shared" si="287"/>
        <v>2.0052409707189245</v>
      </c>
    </row>
    <row r="6992" spans="1:11" hidden="1">
      <c r="A6992" s="4">
        <v>2026</v>
      </c>
      <c r="B6992">
        <v>13</v>
      </c>
      <c r="C6992" t="s">
        <v>10</v>
      </c>
      <c r="D6992" t="s">
        <v>11</v>
      </c>
      <c r="E6992" t="s">
        <v>12</v>
      </c>
      <c r="F6992" t="s">
        <v>13</v>
      </c>
      <c r="G6992" t="str">
        <f t="shared" si="286"/>
        <v>002SOMERSET</v>
      </c>
      <c r="H6992" s="5">
        <v>10360</v>
      </c>
      <c r="I6992" s="6">
        <v>4121.4642855494085</v>
      </c>
      <c r="J6992" s="5">
        <v>31200</v>
      </c>
      <c r="K6992" s="6">
        <f t="shared" si="287"/>
        <v>2.5136697256661944</v>
      </c>
    </row>
    <row r="6993" spans="1:11" hidden="1">
      <c r="A6993" s="4">
        <v>2026</v>
      </c>
      <c r="B6993">
        <v>13</v>
      </c>
      <c r="C6993" t="s">
        <v>10</v>
      </c>
      <c r="D6993" t="s">
        <v>11</v>
      </c>
      <c r="E6993" t="s">
        <v>14</v>
      </c>
      <c r="F6993" t="s">
        <v>15</v>
      </c>
      <c r="G6993" t="str">
        <f t="shared" si="286"/>
        <v>004BELLINA</v>
      </c>
      <c r="H6993" s="5">
        <v>2235</v>
      </c>
      <c r="I6993" s="6">
        <v>1056.7857142434418</v>
      </c>
      <c r="J6993" s="5">
        <v>8000</v>
      </c>
      <c r="K6993" s="6">
        <f t="shared" si="287"/>
        <v>2.1149036837615163</v>
      </c>
    </row>
    <row r="6994" spans="1:11" hidden="1">
      <c r="A6994" s="4">
        <v>2026</v>
      </c>
      <c r="B6994">
        <v>13</v>
      </c>
      <c r="C6994" t="s">
        <v>10</v>
      </c>
      <c r="D6994" t="s">
        <v>11</v>
      </c>
      <c r="E6994" t="s">
        <v>16</v>
      </c>
      <c r="F6994" t="s">
        <v>17</v>
      </c>
      <c r="G6994" t="str">
        <f t="shared" si="286"/>
        <v>005ELBA</v>
      </c>
      <c r="H6994" s="5">
        <v>10530</v>
      </c>
      <c r="I6994" s="6">
        <v>2641.9642856076484</v>
      </c>
      <c r="J6994" s="5">
        <v>19996</v>
      </c>
      <c r="K6994" s="6">
        <f t="shared" si="287"/>
        <v>3.98567083490234</v>
      </c>
    </row>
    <row r="6995" spans="1:11" hidden="1">
      <c r="A6995" s="4">
        <v>2026</v>
      </c>
      <c r="B6995">
        <v>13</v>
      </c>
      <c r="C6995" t="s">
        <v>10</v>
      </c>
      <c r="D6995" t="s">
        <v>11</v>
      </c>
      <c r="E6995" t="s">
        <v>16</v>
      </c>
      <c r="F6995" t="s">
        <v>18</v>
      </c>
      <c r="G6995" t="str">
        <f t="shared" si="286"/>
        <v>005HOT BUBBLES</v>
      </c>
      <c r="H6995" s="5">
        <v>1440</v>
      </c>
      <c r="I6995" s="6">
        <v>528.39285712153003</v>
      </c>
      <c r="J6995" s="5">
        <v>4000</v>
      </c>
      <c r="K6995" s="6">
        <f t="shared" si="287"/>
        <v>2.7252450153178374</v>
      </c>
    </row>
    <row r="6996" spans="1:11" hidden="1">
      <c r="A6996" s="4">
        <v>2026</v>
      </c>
      <c r="B6996">
        <v>13</v>
      </c>
      <c r="C6996" t="s">
        <v>10</v>
      </c>
      <c r="D6996" t="s">
        <v>11</v>
      </c>
      <c r="E6996" t="s">
        <v>16</v>
      </c>
      <c r="F6996" t="s">
        <v>19</v>
      </c>
      <c r="G6996" t="str">
        <f t="shared" si="286"/>
        <v>005SUSPIRO</v>
      </c>
      <c r="H6996" s="5">
        <v>4770</v>
      </c>
      <c r="I6996" s="6">
        <v>1902.2142856375078</v>
      </c>
      <c r="J6996" s="5">
        <v>14400</v>
      </c>
      <c r="K6996" s="6">
        <f t="shared" si="287"/>
        <v>2.5076039203445384</v>
      </c>
    </row>
    <row r="6997" spans="1:11" hidden="1">
      <c r="A6997" s="4">
        <v>2026</v>
      </c>
      <c r="B6997">
        <v>13</v>
      </c>
      <c r="C6997" t="s">
        <v>10</v>
      </c>
      <c r="D6997" t="s">
        <v>11</v>
      </c>
      <c r="E6997" t="s">
        <v>20</v>
      </c>
      <c r="F6997" t="s">
        <v>21</v>
      </c>
      <c r="G6997" t="str">
        <f t="shared" si="286"/>
        <v>007SNOW BUBBLES</v>
      </c>
      <c r="H6997" s="5">
        <v>1100</v>
      </c>
      <c r="I6997" s="6">
        <v>634.05652706821195</v>
      </c>
      <c r="J6997" s="5">
        <v>4800</v>
      </c>
      <c r="K6997" s="6">
        <f t="shared" si="287"/>
        <v>1.7348610936729016</v>
      </c>
    </row>
    <row r="6998" spans="1:11" hidden="1">
      <c r="A6998" s="4">
        <v>2026</v>
      </c>
      <c r="B6998">
        <v>13</v>
      </c>
      <c r="C6998" t="s">
        <v>10</v>
      </c>
      <c r="D6998" t="s">
        <v>11</v>
      </c>
      <c r="E6998" t="s">
        <v>22</v>
      </c>
      <c r="F6998" t="s">
        <v>18</v>
      </c>
      <c r="G6998" t="str">
        <f t="shared" si="286"/>
        <v>009HOT BUBBLES</v>
      </c>
      <c r="H6998" s="5">
        <v>16560</v>
      </c>
      <c r="I6998" s="6">
        <v>4487.9999999102474</v>
      </c>
      <c r="J6998" s="5">
        <v>31740</v>
      </c>
      <c r="K6998" s="6">
        <f t="shared" si="287"/>
        <v>3.6898395722663042</v>
      </c>
    </row>
    <row r="6999" spans="1:11" hidden="1">
      <c r="A6999" s="4">
        <v>2026</v>
      </c>
      <c r="B6999">
        <v>13</v>
      </c>
      <c r="C6999" t="s">
        <v>10</v>
      </c>
      <c r="D6999" t="s">
        <v>11</v>
      </c>
      <c r="E6999" t="s">
        <v>23</v>
      </c>
      <c r="F6999" t="s">
        <v>24</v>
      </c>
      <c r="G6999" t="str">
        <f t="shared" si="286"/>
        <v>014FRUITY BUBBLES</v>
      </c>
      <c r="H6999" s="5">
        <v>4825</v>
      </c>
      <c r="I6999" s="6">
        <v>1702.8</v>
      </c>
      <c r="J6999" s="5">
        <v>12900</v>
      </c>
      <c r="K6999" s="6">
        <f t="shared" si="287"/>
        <v>2.8335682405449849</v>
      </c>
    </row>
    <row r="7000" spans="1:11" hidden="1">
      <c r="A7000" s="4">
        <v>2026</v>
      </c>
      <c r="B7000">
        <v>13</v>
      </c>
      <c r="C7000" t="s">
        <v>10</v>
      </c>
      <c r="D7000" t="s">
        <v>11</v>
      </c>
      <c r="E7000" t="s">
        <v>25</v>
      </c>
      <c r="F7000" t="s">
        <v>26</v>
      </c>
      <c r="G7000" t="str">
        <f t="shared" si="286"/>
        <v>015FELLINI</v>
      </c>
      <c r="H7000" s="5">
        <v>5100</v>
      </c>
      <c r="I7000" s="6">
        <v>3009.6</v>
      </c>
      <c r="J7000" s="5">
        <v>22800</v>
      </c>
      <c r="K7000" s="6">
        <f t="shared" si="287"/>
        <v>1.6945773524720893</v>
      </c>
    </row>
    <row r="7001" spans="1:11" hidden="1">
      <c r="A7001" s="4">
        <v>2026</v>
      </c>
      <c r="B7001">
        <v>13</v>
      </c>
      <c r="C7001" t="s">
        <v>10</v>
      </c>
      <c r="D7001" t="s">
        <v>11</v>
      </c>
      <c r="E7001" t="s">
        <v>27</v>
      </c>
      <c r="F7001" t="s">
        <v>28</v>
      </c>
      <c r="G7001" t="str">
        <f t="shared" si="286"/>
        <v>016GOOD PEACH</v>
      </c>
      <c r="H7001" s="5">
        <v>4290</v>
      </c>
      <c r="I7001" s="6">
        <v>1386</v>
      </c>
      <c r="J7001" s="5">
        <v>10500</v>
      </c>
      <c r="K7001" s="6">
        <f t="shared" si="287"/>
        <v>3.0952380952380953</v>
      </c>
    </row>
    <row r="7002" spans="1:11" hidden="1">
      <c r="A7002" s="4">
        <v>2026</v>
      </c>
      <c r="B7002">
        <v>13</v>
      </c>
      <c r="C7002" t="s">
        <v>10</v>
      </c>
      <c r="D7002" t="s">
        <v>11</v>
      </c>
      <c r="E7002" t="s">
        <v>27</v>
      </c>
      <c r="F7002" t="s">
        <v>29</v>
      </c>
      <c r="G7002" t="str">
        <f t="shared" si="286"/>
        <v>016GOOD YELLOW</v>
      </c>
      <c r="H7002" s="5">
        <v>4530</v>
      </c>
      <c r="I7002" s="6">
        <v>1386</v>
      </c>
      <c r="J7002" s="5">
        <v>10500</v>
      </c>
      <c r="K7002" s="6">
        <f t="shared" si="287"/>
        <v>3.2683982683982684</v>
      </c>
    </row>
    <row r="7003" spans="1:11" hidden="1">
      <c r="A7003" s="4">
        <v>2026</v>
      </c>
      <c r="B7003">
        <v>13</v>
      </c>
      <c r="C7003" t="s">
        <v>10</v>
      </c>
      <c r="D7003" t="s">
        <v>11</v>
      </c>
      <c r="E7003" t="s">
        <v>30</v>
      </c>
      <c r="F7003" t="s">
        <v>31</v>
      </c>
      <c r="G7003" t="str">
        <f t="shared" si="286"/>
        <v>017ORANGE STAR</v>
      </c>
      <c r="H7003" s="5">
        <v>1750</v>
      </c>
      <c r="I7003" s="6">
        <v>1029.5999999999999</v>
      </c>
      <c r="J7003" s="5">
        <v>7800</v>
      </c>
      <c r="K7003" s="6">
        <f t="shared" si="287"/>
        <v>1.6996891996891998</v>
      </c>
    </row>
    <row r="7004" spans="1:11" hidden="1">
      <c r="A7004" s="4">
        <v>2026</v>
      </c>
      <c r="B7004">
        <v>13</v>
      </c>
      <c r="C7004" t="s">
        <v>10</v>
      </c>
      <c r="D7004" t="s">
        <v>11</v>
      </c>
      <c r="E7004" t="s">
        <v>32</v>
      </c>
      <c r="F7004" t="s">
        <v>33</v>
      </c>
      <c r="G7004" t="str">
        <f t="shared" si="286"/>
        <v>018COSMO</v>
      </c>
      <c r="H7004" s="5">
        <v>4075</v>
      </c>
      <c r="I7004" s="6">
        <v>2653.2</v>
      </c>
      <c r="J7004" s="5">
        <v>20100</v>
      </c>
      <c r="K7004" s="6">
        <f t="shared" si="287"/>
        <v>1.5358812000603046</v>
      </c>
    </row>
    <row r="7005" spans="1:11" hidden="1">
      <c r="A7005" s="4">
        <v>2026</v>
      </c>
      <c r="B7005">
        <v>13</v>
      </c>
      <c r="C7005" t="s">
        <v>10</v>
      </c>
      <c r="D7005" t="s">
        <v>11</v>
      </c>
      <c r="E7005" t="s">
        <v>32</v>
      </c>
      <c r="F7005" t="s">
        <v>34</v>
      </c>
      <c r="G7005" t="str">
        <f t="shared" si="286"/>
        <v>018RUBICON</v>
      </c>
      <c r="H7005" s="5">
        <v>7380</v>
      </c>
      <c r="I7005" s="6">
        <v>1768.8</v>
      </c>
      <c r="J7005" s="5">
        <v>13400</v>
      </c>
      <c r="K7005" s="6">
        <f t="shared" si="287"/>
        <v>4.1723202170963365</v>
      </c>
    </row>
    <row r="7006" spans="1:11" hidden="1">
      <c r="A7006" s="4">
        <v>2026</v>
      </c>
      <c r="B7006">
        <v>13</v>
      </c>
      <c r="C7006" t="s">
        <v>10</v>
      </c>
      <c r="D7006" t="s">
        <v>11</v>
      </c>
      <c r="E7006" t="s">
        <v>35</v>
      </c>
      <c r="F7006" t="s">
        <v>15</v>
      </c>
      <c r="G7006" t="str">
        <f t="shared" si="286"/>
        <v>019BELLINA</v>
      </c>
      <c r="H7006" s="5">
        <v>2070</v>
      </c>
      <c r="I7006" s="6">
        <v>1029.5999999999999</v>
      </c>
      <c r="J7006" s="5">
        <v>7800</v>
      </c>
      <c r="K7006" s="6">
        <f t="shared" si="287"/>
        <v>2.0104895104895109</v>
      </c>
    </row>
    <row r="7007" spans="1:11" hidden="1">
      <c r="A7007" s="4">
        <v>2026</v>
      </c>
      <c r="B7007">
        <v>13</v>
      </c>
      <c r="C7007" t="s">
        <v>10</v>
      </c>
      <c r="D7007" t="s">
        <v>11</v>
      </c>
      <c r="E7007" t="s">
        <v>36</v>
      </c>
      <c r="F7007" t="s">
        <v>37</v>
      </c>
      <c r="G7007" t="str">
        <f t="shared" ref="G7007:G7067" si="288">+E7007&amp;F7007</f>
        <v>020SUMMER DANCE</v>
      </c>
      <c r="H7007" s="5">
        <v>4100</v>
      </c>
      <c r="I7007" s="6">
        <v>1346.4</v>
      </c>
      <c r="J7007" s="5">
        <v>10200</v>
      </c>
      <c r="K7007" s="6">
        <f t="shared" si="287"/>
        <v>3.0451574569221624</v>
      </c>
    </row>
    <row r="7008" spans="1:11" hidden="1">
      <c r="A7008" s="4">
        <v>2026</v>
      </c>
      <c r="B7008">
        <v>13</v>
      </c>
      <c r="C7008" t="s">
        <v>10</v>
      </c>
      <c r="D7008" t="s">
        <v>11</v>
      </c>
      <c r="E7008" t="s">
        <v>38</v>
      </c>
      <c r="F7008" t="s">
        <v>39</v>
      </c>
      <c r="G7008" t="str">
        <f t="shared" si="288"/>
        <v>021ELEGANT ROSEVER</v>
      </c>
      <c r="H7008" s="5">
        <v>1230</v>
      </c>
      <c r="I7008" s="6">
        <v>440.18999062500001</v>
      </c>
      <c r="J7008" s="5">
        <v>3200</v>
      </c>
      <c r="K7008" s="6">
        <f t="shared" si="287"/>
        <v>2.7942479979010768</v>
      </c>
    </row>
    <row r="7009" spans="1:11" hidden="1">
      <c r="A7009" s="4">
        <v>2026</v>
      </c>
      <c r="B7009">
        <v>13</v>
      </c>
      <c r="C7009" t="s">
        <v>10</v>
      </c>
      <c r="D7009" t="s">
        <v>11</v>
      </c>
      <c r="E7009" t="s">
        <v>38</v>
      </c>
      <c r="F7009" t="s">
        <v>40</v>
      </c>
      <c r="G7009" t="str">
        <f t="shared" si="288"/>
        <v>021FLAME CLUB</v>
      </c>
      <c r="H7009" s="5">
        <v>1550</v>
      </c>
      <c r="I7009" s="6">
        <v>880.38</v>
      </c>
      <c r="J7009" s="5">
        <v>6400</v>
      </c>
      <c r="K7009" s="6">
        <f t="shared" si="287"/>
        <v>1.760603375814989</v>
      </c>
    </row>
    <row r="7010" spans="1:11" hidden="1">
      <c r="A7010" s="4">
        <v>2026</v>
      </c>
      <c r="B7010">
        <v>13</v>
      </c>
      <c r="C7010" t="s">
        <v>10</v>
      </c>
      <c r="D7010" t="s">
        <v>11</v>
      </c>
      <c r="E7010" t="s">
        <v>38</v>
      </c>
      <c r="F7010" t="s">
        <v>41</v>
      </c>
      <c r="G7010" t="str">
        <f t="shared" si="288"/>
        <v>021KELLY</v>
      </c>
      <c r="H7010" s="5">
        <v>900</v>
      </c>
      <c r="I7010" s="6">
        <v>330.14249999999998</v>
      </c>
      <c r="J7010" s="5">
        <v>2400</v>
      </c>
      <c r="K7010" s="6">
        <f t="shared" si="287"/>
        <v>2.7260955496490151</v>
      </c>
    </row>
    <row r="7011" spans="1:11" hidden="1">
      <c r="A7011" s="4">
        <v>2026</v>
      </c>
      <c r="B7011">
        <v>13</v>
      </c>
      <c r="C7011" t="s">
        <v>10</v>
      </c>
      <c r="D7011" t="s">
        <v>11</v>
      </c>
      <c r="E7011" t="s">
        <v>38</v>
      </c>
      <c r="F7011" t="s">
        <v>42</v>
      </c>
      <c r="G7011" t="str">
        <f t="shared" si="288"/>
        <v>021LEILA</v>
      </c>
      <c r="H7011" s="5">
        <v>1675</v>
      </c>
      <c r="I7011" s="6">
        <v>1430.6175000000001</v>
      </c>
      <c r="J7011" s="5">
        <v>5600</v>
      </c>
      <c r="K7011" s="6">
        <f t="shared" si="287"/>
        <v>1.1708230886313078</v>
      </c>
    </row>
    <row r="7012" spans="1:11" hidden="1">
      <c r="A7012" s="4">
        <v>2026</v>
      </c>
      <c r="B7012">
        <v>13</v>
      </c>
      <c r="C7012" t="s">
        <v>10</v>
      </c>
      <c r="D7012" t="s">
        <v>11</v>
      </c>
      <c r="E7012" t="s">
        <v>38</v>
      </c>
      <c r="F7012" t="s">
        <v>115</v>
      </c>
      <c r="G7012" t="str">
        <f t="shared" si="288"/>
        <v>021PISTACHIO KISS</v>
      </c>
      <c r="H7012" s="5">
        <v>125</v>
      </c>
      <c r="I7012" s="6">
        <v>220.095</v>
      </c>
      <c r="J7012" s="5">
        <v>6400</v>
      </c>
      <c r="K7012" s="6">
        <f t="shared" si="287"/>
        <v>0.56793657284354482</v>
      </c>
    </row>
    <row r="7013" spans="1:11" hidden="1">
      <c r="A7013" s="4">
        <v>2026</v>
      </c>
      <c r="B7013">
        <v>13</v>
      </c>
      <c r="C7013" t="s">
        <v>10</v>
      </c>
      <c r="D7013" t="s">
        <v>11</v>
      </c>
      <c r="E7013" t="s">
        <v>38</v>
      </c>
      <c r="F7013" t="s">
        <v>21</v>
      </c>
      <c r="G7013" t="str">
        <f t="shared" si="288"/>
        <v>021SNOW BUBBLES</v>
      </c>
      <c r="H7013" s="5">
        <v>1780</v>
      </c>
      <c r="I7013" s="6">
        <v>1287.0000000000018</v>
      </c>
      <c r="J7013" s="5">
        <v>9400</v>
      </c>
      <c r="K7013" s="6">
        <f t="shared" si="287"/>
        <v>1.3830613830613812</v>
      </c>
    </row>
    <row r="7014" spans="1:11" hidden="1">
      <c r="A7014" s="4">
        <v>2026</v>
      </c>
      <c r="B7014">
        <v>13</v>
      </c>
      <c r="C7014" t="s">
        <v>10</v>
      </c>
      <c r="D7014" t="s">
        <v>11</v>
      </c>
      <c r="E7014" t="s">
        <v>43</v>
      </c>
      <c r="F7014" t="s">
        <v>24</v>
      </c>
      <c r="G7014" t="str">
        <f t="shared" si="288"/>
        <v>022FRUITY BUBBLES</v>
      </c>
      <c r="H7014" s="5">
        <v>5725</v>
      </c>
      <c r="I7014" s="6">
        <v>2641.14</v>
      </c>
      <c r="J7014" s="5">
        <v>19200</v>
      </c>
      <c r="K7014" s="6">
        <f t="shared" si="287"/>
        <v>2.1676245863528627</v>
      </c>
    </row>
    <row r="7015" spans="1:11" hidden="1">
      <c r="A7015" s="4">
        <v>2026</v>
      </c>
      <c r="B7015">
        <v>13</v>
      </c>
      <c r="C7015" t="s">
        <v>10</v>
      </c>
      <c r="D7015" t="s">
        <v>11</v>
      </c>
      <c r="E7015" t="s">
        <v>43</v>
      </c>
      <c r="F7015" t="s">
        <v>28</v>
      </c>
      <c r="G7015" t="str">
        <f t="shared" si="288"/>
        <v>022GOOD PEACH</v>
      </c>
      <c r="H7015" s="5">
        <v>2370</v>
      </c>
      <c r="I7015" s="6">
        <v>880.38</v>
      </c>
      <c r="J7015" s="5">
        <v>6400</v>
      </c>
      <c r="K7015" s="6">
        <f t="shared" si="287"/>
        <v>2.6920193552784024</v>
      </c>
    </row>
    <row r="7016" spans="1:11" hidden="1">
      <c r="A7016" s="4">
        <v>2026</v>
      </c>
      <c r="B7016">
        <v>13</v>
      </c>
      <c r="C7016" t="s">
        <v>10</v>
      </c>
      <c r="D7016" t="s">
        <v>11</v>
      </c>
      <c r="E7016" t="s">
        <v>43</v>
      </c>
      <c r="F7016" t="s">
        <v>44</v>
      </c>
      <c r="G7016" t="str">
        <f t="shared" si="288"/>
        <v>022MIRABEL</v>
      </c>
      <c r="H7016" s="5">
        <v>1480</v>
      </c>
      <c r="I7016" s="6">
        <v>880.38</v>
      </c>
      <c r="J7016" s="5">
        <v>6400</v>
      </c>
      <c r="K7016" s="6">
        <f t="shared" si="287"/>
        <v>1.6810922556168928</v>
      </c>
    </row>
    <row r="7017" spans="1:11" hidden="1">
      <c r="A7017" s="4">
        <v>2026</v>
      </c>
      <c r="B7017">
        <v>13</v>
      </c>
      <c r="C7017" t="s">
        <v>10</v>
      </c>
      <c r="D7017" t="s">
        <v>11</v>
      </c>
      <c r="E7017" t="s">
        <v>47</v>
      </c>
      <c r="F7017" t="s">
        <v>44</v>
      </c>
      <c r="G7017" t="str">
        <f t="shared" si="288"/>
        <v>030MIRABEL</v>
      </c>
      <c r="H7017" s="5">
        <v>7640</v>
      </c>
      <c r="I7017" s="6">
        <v>2413.6749943750001</v>
      </c>
      <c r="J7017" s="5">
        <v>17600</v>
      </c>
      <c r="K7017" s="6">
        <f t="shared" si="287"/>
        <v>3.1652977380155982</v>
      </c>
    </row>
    <row r="7018" spans="1:11" hidden="1">
      <c r="A7018" s="4">
        <v>2026</v>
      </c>
      <c r="B7018">
        <v>13</v>
      </c>
      <c r="C7018" t="s">
        <v>10</v>
      </c>
      <c r="D7018" t="s">
        <v>11</v>
      </c>
      <c r="E7018" t="s">
        <v>47</v>
      </c>
      <c r="F7018" t="s">
        <v>13</v>
      </c>
      <c r="G7018" t="str">
        <f t="shared" si="288"/>
        <v>030SOMERSET</v>
      </c>
      <c r="H7018" s="5">
        <v>3880</v>
      </c>
      <c r="I7018" s="6">
        <v>1645.6875</v>
      </c>
      <c r="J7018" s="5">
        <v>12000</v>
      </c>
      <c r="K7018" s="6">
        <f t="shared" si="287"/>
        <v>2.3576772625422504</v>
      </c>
    </row>
    <row r="7019" spans="1:11" hidden="1">
      <c r="A7019" s="4">
        <v>2026</v>
      </c>
      <c r="B7019">
        <v>13</v>
      </c>
      <c r="C7019" t="s">
        <v>10</v>
      </c>
      <c r="D7019" t="s">
        <v>11</v>
      </c>
      <c r="E7019" t="s">
        <v>48</v>
      </c>
      <c r="F7019" t="s">
        <v>49</v>
      </c>
      <c r="G7019" t="str">
        <f t="shared" si="288"/>
        <v>03182989</v>
      </c>
      <c r="H7019" s="5">
        <v>4420</v>
      </c>
      <c r="I7019" s="6">
        <v>726.32013058333712</v>
      </c>
      <c r="J7019" s="5">
        <v>5712</v>
      </c>
      <c r="K7019" s="6">
        <f t="shared" si="287"/>
        <v>6.0854708741861785</v>
      </c>
    </row>
    <row r="7020" spans="1:11" hidden="1">
      <c r="A7020" s="4">
        <v>2026</v>
      </c>
      <c r="B7020">
        <v>13</v>
      </c>
      <c r="C7020" t="s">
        <v>10</v>
      </c>
      <c r="D7020" t="s">
        <v>11</v>
      </c>
      <c r="E7020" t="s">
        <v>48</v>
      </c>
      <c r="F7020" t="s">
        <v>34</v>
      </c>
      <c r="G7020" t="str">
        <f t="shared" si="288"/>
        <v>031RUBICON</v>
      </c>
      <c r="H7020" s="5">
        <v>3720</v>
      </c>
      <c r="I7020" s="6">
        <v>924.39958333667107</v>
      </c>
      <c r="J7020" s="5">
        <v>6720</v>
      </c>
      <c r="K7020" s="6">
        <f t="shared" si="287"/>
        <v>4.0242337481075614</v>
      </c>
    </row>
    <row r="7021" spans="1:11" hidden="1">
      <c r="A7021" s="4">
        <v>2026</v>
      </c>
      <c r="B7021">
        <v>13</v>
      </c>
      <c r="C7021" t="s">
        <v>10</v>
      </c>
      <c r="D7021" t="s">
        <v>11</v>
      </c>
      <c r="E7021" t="s">
        <v>48</v>
      </c>
      <c r="F7021" t="s">
        <v>13</v>
      </c>
      <c r="G7021" t="str">
        <f t="shared" si="288"/>
        <v>031SOMERSET</v>
      </c>
      <c r="H7021" s="5">
        <v>980</v>
      </c>
      <c r="I7021" s="6">
        <v>1122.485208333339</v>
      </c>
      <c r="J7021" s="5">
        <v>8160</v>
      </c>
      <c r="K7021" s="6">
        <f t="shared" si="287"/>
        <v>0.87306272966848231</v>
      </c>
    </row>
    <row r="7022" spans="1:11" hidden="1">
      <c r="A7022" s="4">
        <v>2026</v>
      </c>
      <c r="B7022">
        <v>13</v>
      </c>
      <c r="C7022" t="s">
        <v>10</v>
      </c>
      <c r="D7022" t="s">
        <v>11</v>
      </c>
      <c r="E7022" t="s">
        <v>48</v>
      </c>
      <c r="F7022" t="s">
        <v>50</v>
      </c>
      <c r="G7022" t="str">
        <f t="shared" si="288"/>
        <v>031VELVET BLOSSOMS</v>
      </c>
      <c r="H7022" s="5">
        <v>960</v>
      </c>
      <c r="I7022" s="6">
        <v>396.17125000000198</v>
      </c>
      <c r="J7022" s="5">
        <v>2880</v>
      </c>
      <c r="K7022" s="6">
        <f t="shared" si="287"/>
        <v>2.4231945149982366</v>
      </c>
    </row>
    <row r="7023" spans="1:11" hidden="1">
      <c r="A7023" s="4">
        <v>2026</v>
      </c>
      <c r="B7023">
        <v>13</v>
      </c>
      <c r="C7023" t="s">
        <v>10</v>
      </c>
      <c r="D7023" t="s">
        <v>11</v>
      </c>
      <c r="E7023" t="s">
        <v>51</v>
      </c>
      <c r="F7023" t="s">
        <v>17</v>
      </c>
      <c r="G7023" t="str">
        <f t="shared" si="288"/>
        <v>032ELBA</v>
      </c>
      <c r="H7023" s="5">
        <v>5340</v>
      </c>
      <c r="I7023" s="6">
        <v>1535.9749999999999</v>
      </c>
      <c r="J7023" s="5">
        <v>11200</v>
      </c>
      <c r="K7023" s="6">
        <f t="shared" si="287"/>
        <v>3.4766190855970964</v>
      </c>
    </row>
    <row r="7024" spans="1:11" hidden="1">
      <c r="A7024" s="4">
        <v>2026</v>
      </c>
      <c r="B7024">
        <v>13</v>
      </c>
      <c r="C7024" t="s">
        <v>10</v>
      </c>
      <c r="D7024" t="s">
        <v>11</v>
      </c>
      <c r="E7024" t="s">
        <v>51</v>
      </c>
      <c r="F7024" t="s">
        <v>44</v>
      </c>
      <c r="G7024" t="str">
        <f t="shared" si="288"/>
        <v>032MIRABEL</v>
      </c>
      <c r="H7024" s="5">
        <v>3280</v>
      </c>
      <c r="I7024" s="6">
        <v>1535.9749999999999</v>
      </c>
      <c r="J7024" s="5">
        <v>11200</v>
      </c>
      <c r="K7024" s="6">
        <f t="shared" si="287"/>
        <v>2.1354514233630106</v>
      </c>
    </row>
    <row r="7025" spans="1:11" hidden="1">
      <c r="A7025" s="4">
        <v>2026</v>
      </c>
      <c r="B7025">
        <v>13</v>
      </c>
      <c r="C7025" t="s">
        <v>10</v>
      </c>
      <c r="D7025" t="s">
        <v>11</v>
      </c>
      <c r="E7025" t="s">
        <v>52</v>
      </c>
      <c r="F7025" t="s">
        <v>53</v>
      </c>
      <c r="G7025" t="str">
        <f t="shared" si="288"/>
        <v>033CREAMY FOLIES</v>
      </c>
      <c r="H7025" s="5">
        <v>1320</v>
      </c>
      <c r="I7025" s="6">
        <v>594.25687500000299</v>
      </c>
      <c r="J7025" s="5">
        <v>4320</v>
      </c>
      <c r="K7025" s="6">
        <f t="shared" si="287"/>
        <v>2.2212616387483837</v>
      </c>
    </row>
    <row r="7026" spans="1:11" hidden="1">
      <c r="A7026" s="4">
        <v>2026</v>
      </c>
      <c r="B7026">
        <v>13</v>
      </c>
      <c r="C7026" t="s">
        <v>10</v>
      </c>
      <c r="D7026" t="s">
        <v>11</v>
      </c>
      <c r="E7026" t="s">
        <v>52</v>
      </c>
      <c r="F7026" t="s">
        <v>18</v>
      </c>
      <c r="G7026" t="str">
        <f t="shared" si="288"/>
        <v>033HOT BUBBLES</v>
      </c>
      <c r="H7026" s="5">
        <v>6020</v>
      </c>
      <c r="I7026" s="6">
        <v>2575.1131250013459</v>
      </c>
      <c r="J7026" s="5">
        <v>18720</v>
      </c>
      <c r="K7026" s="6">
        <f t="shared" si="287"/>
        <v>2.3377613750451656</v>
      </c>
    </row>
    <row r="7027" spans="1:11" hidden="1">
      <c r="A7027" s="4">
        <v>2026</v>
      </c>
      <c r="B7027">
        <v>13</v>
      </c>
      <c r="C7027" t="s">
        <v>54</v>
      </c>
      <c r="D7027" t="s">
        <v>11</v>
      </c>
      <c r="E7027" t="s">
        <v>55</v>
      </c>
      <c r="F7027" t="s">
        <v>56</v>
      </c>
      <c r="G7027" t="str">
        <f t="shared" si="288"/>
        <v>001BELIEVE IN PINK</v>
      </c>
      <c r="H7027" s="5">
        <v>990</v>
      </c>
      <c r="I7027" s="6">
        <v>528.37931032368999</v>
      </c>
      <c r="J7027" s="5">
        <v>4000</v>
      </c>
      <c r="K7027" s="6">
        <f t="shared" ref="K7027:K7032" si="289">IFERROR(H7027/I7027,"")</f>
        <v>1.8736539842817028</v>
      </c>
    </row>
    <row r="7028" spans="1:11" hidden="1">
      <c r="A7028" s="4">
        <v>2026</v>
      </c>
      <c r="B7028">
        <v>13</v>
      </c>
      <c r="C7028" t="s">
        <v>54</v>
      </c>
      <c r="D7028" t="s">
        <v>11</v>
      </c>
      <c r="E7028" t="s">
        <v>55</v>
      </c>
      <c r="F7028" t="s">
        <v>57</v>
      </c>
      <c r="G7028" t="str">
        <f t="shared" si="288"/>
        <v>001EXPLORER</v>
      </c>
      <c r="H7028" s="5">
        <v>6100</v>
      </c>
      <c r="I7028" s="6">
        <v>2272.0310343918732</v>
      </c>
      <c r="J7028" s="5">
        <v>17200</v>
      </c>
      <c r="K7028" s="6">
        <f t="shared" si="289"/>
        <v>2.6848224815875863</v>
      </c>
    </row>
    <row r="7029" spans="1:11" hidden="1">
      <c r="A7029" s="4">
        <v>2026</v>
      </c>
      <c r="B7029">
        <v>13</v>
      </c>
      <c r="C7029" t="s">
        <v>54</v>
      </c>
      <c r="D7029" t="s">
        <v>11</v>
      </c>
      <c r="E7029" t="s">
        <v>55</v>
      </c>
      <c r="F7029" t="s">
        <v>58</v>
      </c>
      <c r="G7029" t="str">
        <f t="shared" si="288"/>
        <v>001GRACE KELLY</v>
      </c>
      <c r="H7029" s="5">
        <v>2490</v>
      </c>
      <c r="I7029" s="6">
        <v>1162.4344827121224</v>
      </c>
      <c r="J7029" s="5">
        <v>8800</v>
      </c>
      <c r="K7029" s="6">
        <f t="shared" si="289"/>
        <v>2.1420562079253544</v>
      </c>
    </row>
    <row r="7030" spans="1:11" hidden="1">
      <c r="A7030" s="4">
        <v>2026</v>
      </c>
      <c r="B7030">
        <v>13</v>
      </c>
      <c r="C7030" t="s">
        <v>54</v>
      </c>
      <c r="D7030" t="s">
        <v>11</v>
      </c>
      <c r="E7030" t="s">
        <v>55</v>
      </c>
      <c r="F7030" t="s">
        <v>60</v>
      </c>
      <c r="G7030" t="str">
        <f t="shared" si="288"/>
        <v>001LIGHT HOUSE</v>
      </c>
      <c r="H7030" s="5">
        <v>2310</v>
      </c>
      <c r="I7030" s="6">
        <v>1056.7586206473827</v>
      </c>
      <c r="J7030" s="5">
        <v>8000</v>
      </c>
      <c r="K7030" s="6">
        <f t="shared" si="289"/>
        <v>2.1859296483286474</v>
      </c>
    </row>
    <row r="7031" spans="1:11" hidden="1">
      <c r="A7031" s="4">
        <v>2026</v>
      </c>
      <c r="B7031">
        <v>13</v>
      </c>
      <c r="C7031" t="s">
        <v>54</v>
      </c>
      <c r="D7031" t="s">
        <v>11</v>
      </c>
      <c r="E7031" t="s">
        <v>55</v>
      </c>
      <c r="F7031" t="s">
        <v>61</v>
      </c>
      <c r="G7031" t="str">
        <f t="shared" si="288"/>
        <v>001LUMIA</v>
      </c>
      <c r="H7031" s="5">
        <v>1830</v>
      </c>
      <c r="I7031" s="6">
        <v>1109.596551679753</v>
      </c>
      <c r="J7031" s="5">
        <v>8400</v>
      </c>
      <c r="K7031" s="6">
        <f t="shared" si="289"/>
        <v>1.649248095832373</v>
      </c>
    </row>
    <row r="7032" spans="1:11" hidden="1">
      <c r="A7032" s="4">
        <v>2026</v>
      </c>
      <c r="B7032">
        <v>13</v>
      </c>
      <c r="C7032" t="s">
        <v>54</v>
      </c>
      <c r="D7032" t="s">
        <v>11</v>
      </c>
      <c r="E7032" t="s">
        <v>55</v>
      </c>
      <c r="F7032" t="s">
        <v>62</v>
      </c>
      <c r="G7032" t="str">
        <f t="shared" si="288"/>
        <v>001MOMENTUM</v>
      </c>
      <c r="H7032" s="5">
        <v>3125</v>
      </c>
      <c r="I7032" s="6">
        <v>1902.1655171652881</v>
      </c>
      <c r="J7032" s="5">
        <v>14400</v>
      </c>
      <c r="K7032" s="6">
        <f t="shared" si="289"/>
        <v>1.6428643941863941</v>
      </c>
    </row>
    <row r="7033" spans="1:11" hidden="1">
      <c r="A7033" s="4">
        <v>2026</v>
      </c>
      <c r="B7033">
        <v>13</v>
      </c>
      <c r="C7033" t="s">
        <v>54</v>
      </c>
      <c r="D7033" t="s">
        <v>11</v>
      </c>
      <c r="E7033" t="s">
        <v>12</v>
      </c>
      <c r="F7033" t="s">
        <v>63</v>
      </c>
      <c r="G7033" t="str">
        <f t="shared" si="288"/>
        <v>002SUMMER ROMANCE</v>
      </c>
      <c r="H7033" s="5">
        <v>1700</v>
      </c>
      <c r="I7033" s="6">
        <v>951.10714281909407</v>
      </c>
      <c r="J7033" s="5">
        <v>7200</v>
      </c>
      <c r="K7033" s="6">
        <f t="shared" si="287"/>
        <v>1.7873906350457822</v>
      </c>
    </row>
    <row r="7034" spans="1:11" hidden="1">
      <c r="A7034" s="4">
        <v>2026</v>
      </c>
      <c r="B7034">
        <v>13</v>
      </c>
      <c r="C7034" t="s">
        <v>54</v>
      </c>
      <c r="D7034" t="s">
        <v>11</v>
      </c>
      <c r="E7034" t="s">
        <v>12</v>
      </c>
      <c r="F7034" t="s">
        <v>64</v>
      </c>
      <c r="G7034" t="str">
        <f t="shared" si="288"/>
        <v>002SWEETNESS</v>
      </c>
      <c r="H7034" s="5">
        <v>8520</v>
      </c>
      <c r="I7034" s="6">
        <v>3804.4285712763772</v>
      </c>
      <c r="J7034" s="5">
        <v>28800</v>
      </c>
      <c r="K7034" s="6">
        <f t="shared" si="287"/>
        <v>2.2394953250867737</v>
      </c>
    </row>
    <row r="7035" spans="1:11" hidden="1">
      <c r="A7035" s="4">
        <v>2026</v>
      </c>
      <c r="B7035">
        <v>13</v>
      </c>
      <c r="C7035" t="s">
        <v>54</v>
      </c>
      <c r="D7035" t="s">
        <v>11</v>
      </c>
      <c r="E7035" t="s">
        <v>65</v>
      </c>
      <c r="F7035" t="s">
        <v>66</v>
      </c>
      <c r="G7035" t="str">
        <f t="shared" si="288"/>
        <v>003CABARET</v>
      </c>
      <c r="H7035" s="5">
        <v>7440</v>
      </c>
      <c r="I7035" s="6">
        <v>2641.8965516184649</v>
      </c>
      <c r="J7035" s="5">
        <v>20000</v>
      </c>
      <c r="K7035" s="6">
        <f t="shared" si="287"/>
        <v>2.8161587157688466</v>
      </c>
    </row>
    <row r="7036" spans="1:11" hidden="1">
      <c r="A7036" s="4">
        <v>2026</v>
      </c>
      <c r="B7036">
        <v>13</v>
      </c>
      <c r="C7036" t="s">
        <v>54</v>
      </c>
      <c r="D7036" t="s">
        <v>11</v>
      </c>
      <c r="E7036" t="s">
        <v>65</v>
      </c>
      <c r="F7036" t="s">
        <v>67</v>
      </c>
      <c r="G7036" t="str">
        <f t="shared" si="288"/>
        <v>003DEEP PURPLE</v>
      </c>
      <c r="H7036" s="5">
        <v>14280</v>
      </c>
      <c r="I7036" s="6">
        <v>3592.9793102010913</v>
      </c>
      <c r="J7036" s="5">
        <v>26044</v>
      </c>
      <c r="K7036" s="6">
        <f t="shared" si="287"/>
        <v>3.974417542415734</v>
      </c>
    </row>
    <row r="7037" spans="1:11" hidden="1">
      <c r="A7037" s="4">
        <v>2026</v>
      </c>
      <c r="B7037">
        <v>13</v>
      </c>
      <c r="C7037" t="s">
        <v>54</v>
      </c>
      <c r="D7037" t="s">
        <v>11</v>
      </c>
      <c r="E7037" t="s">
        <v>65</v>
      </c>
      <c r="F7037" t="s">
        <v>57</v>
      </c>
      <c r="G7037" t="str">
        <f t="shared" si="288"/>
        <v>003EXPLORER</v>
      </c>
      <c r="H7037" s="5">
        <v>4050</v>
      </c>
      <c r="I7037" s="6">
        <v>1268.1103447768633</v>
      </c>
      <c r="J7037" s="5">
        <v>9600</v>
      </c>
      <c r="K7037" s="6">
        <f t="shared" si="287"/>
        <v>3.1937283822983389</v>
      </c>
    </row>
    <row r="7038" spans="1:11" hidden="1">
      <c r="A7038" s="4">
        <v>2026</v>
      </c>
      <c r="B7038">
        <v>13</v>
      </c>
      <c r="C7038" t="s">
        <v>54</v>
      </c>
      <c r="D7038" t="s">
        <v>11</v>
      </c>
      <c r="E7038" t="s">
        <v>65</v>
      </c>
      <c r="F7038" t="s">
        <v>68</v>
      </c>
      <c r="G7038" t="str">
        <f t="shared" si="288"/>
        <v>003JOCKER</v>
      </c>
      <c r="H7038" s="5">
        <v>950</v>
      </c>
      <c r="I7038" s="6">
        <v>528.37931032368999</v>
      </c>
      <c r="J7038" s="5">
        <v>4000</v>
      </c>
      <c r="K7038" s="6">
        <f t="shared" si="287"/>
        <v>1.7979507929975935</v>
      </c>
    </row>
    <row r="7039" spans="1:11" hidden="1">
      <c r="A7039" s="4">
        <v>2026</v>
      </c>
      <c r="B7039">
        <v>13</v>
      </c>
      <c r="C7039" t="s">
        <v>54</v>
      </c>
      <c r="D7039" t="s">
        <v>11</v>
      </c>
      <c r="E7039" t="s">
        <v>65</v>
      </c>
      <c r="F7039" t="s">
        <v>69</v>
      </c>
      <c r="G7039" t="str">
        <f t="shared" si="288"/>
        <v>003QUICKSAND</v>
      </c>
      <c r="H7039" s="5">
        <v>2070</v>
      </c>
      <c r="I7039" s="6">
        <v>1162.4344827121247</v>
      </c>
      <c r="J7039" s="5">
        <v>8800</v>
      </c>
      <c r="K7039" s="6">
        <f t="shared" si="287"/>
        <v>1.7807455222511948</v>
      </c>
    </row>
    <row r="7040" spans="1:11" hidden="1">
      <c r="A7040" s="4">
        <v>2026</v>
      </c>
      <c r="B7040">
        <v>13</v>
      </c>
      <c r="C7040" t="s">
        <v>54</v>
      </c>
      <c r="D7040" t="s">
        <v>11</v>
      </c>
      <c r="E7040" t="s">
        <v>14</v>
      </c>
      <c r="F7040" t="s">
        <v>70</v>
      </c>
      <c r="G7040" t="str">
        <f t="shared" si="288"/>
        <v>004COTOPAXI</v>
      </c>
      <c r="H7040" s="5">
        <v>2400</v>
      </c>
      <c r="I7040" s="6">
        <v>528.3915024419166</v>
      </c>
      <c r="J7040" s="5">
        <v>4000</v>
      </c>
      <c r="K7040" s="6">
        <f t="shared" si="287"/>
        <v>4.542086670411245</v>
      </c>
    </row>
    <row r="7041" spans="1:11" hidden="1">
      <c r="A7041" s="4">
        <v>2026</v>
      </c>
      <c r="B7041">
        <v>13</v>
      </c>
      <c r="C7041" t="s">
        <v>54</v>
      </c>
      <c r="D7041" t="s">
        <v>11</v>
      </c>
      <c r="E7041" t="s">
        <v>14</v>
      </c>
      <c r="F7041" t="s">
        <v>67</v>
      </c>
      <c r="G7041" t="str">
        <f t="shared" si="288"/>
        <v>004DEEP PURPLE</v>
      </c>
      <c r="H7041" s="5">
        <v>17670</v>
      </c>
      <c r="I7041" s="6">
        <v>3910.1071427007282</v>
      </c>
      <c r="J7041" s="5">
        <v>29260</v>
      </c>
      <c r="K7041" s="6">
        <f t="shared" si="287"/>
        <v>4.5190577534392711</v>
      </c>
    </row>
    <row r="7042" spans="1:11" hidden="1">
      <c r="A7042" s="4">
        <v>2026</v>
      </c>
      <c r="B7042">
        <v>13</v>
      </c>
      <c r="C7042" t="s">
        <v>54</v>
      </c>
      <c r="D7042" t="s">
        <v>11</v>
      </c>
      <c r="E7042" t="s">
        <v>14</v>
      </c>
      <c r="F7042" t="s">
        <v>71</v>
      </c>
      <c r="G7042" t="str">
        <f t="shared" si="288"/>
        <v>004HOT EXPLORER</v>
      </c>
      <c r="H7042" s="5">
        <v>6525</v>
      </c>
      <c r="I7042" s="6">
        <v>1902.2142856381945</v>
      </c>
      <c r="J7042" s="5">
        <v>14400</v>
      </c>
      <c r="K7042" s="6">
        <f t="shared" si="287"/>
        <v>3.4302129099040264</v>
      </c>
    </row>
    <row r="7043" spans="1:11" hidden="1">
      <c r="A7043" s="4">
        <v>2026</v>
      </c>
      <c r="B7043">
        <v>13</v>
      </c>
      <c r="C7043" t="s">
        <v>54</v>
      </c>
      <c r="D7043" t="s">
        <v>11</v>
      </c>
      <c r="E7043" t="s">
        <v>14</v>
      </c>
      <c r="F7043" t="s">
        <v>72</v>
      </c>
      <c r="G7043" t="str">
        <f t="shared" si="288"/>
        <v>004HOT MERENGUE</v>
      </c>
      <c r="H7043" s="5">
        <v>4440</v>
      </c>
      <c r="I7043" s="6">
        <v>1162.4642856677858</v>
      </c>
      <c r="J7043" s="5">
        <v>8800</v>
      </c>
      <c r="K7043" s="6">
        <f t="shared" si="287"/>
        <v>3.8194721805577112</v>
      </c>
    </row>
    <row r="7044" spans="1:11" hidden="1">
      <c r="A7044" s="4">
        <v>2026</v>
      </c>
      <c r="B7044">
        <v>13</v>
      </c>
      <c r="C7044" t="s">
        <v>54</v>
      </c>
      <c r="D7044" t="s">
        <v>11</v>
      </c>
      <c r="E7044" t="s">
        <v>14</v>
      </c>
      <c r="F7044" t="s">
        <v>64</v>
      </c>
      <c r="G7044" t="str">
        <f t="shared" si="288"/>
        <v>004SWEETNESS</v>
      </c>
      <c r="H7044" s="5">
        <v>720</v>
      </c>
      <c r="I7044" s="6">
        <v>317.03571427303262</v>
      </c>
      <c r="J7044" s="5">
        <v>2400</v>
      </c>
      <c r="K7044" s="6">
        <f t="shared" si="287"/>
        <v>2.2710375127640434</v>
      </c>
    </row>
    <row r="7045" spans="1:11" hidden="1">
      <c r="A7045" s="4">
        <v>2026</v>
      </c>
      <c r="B7045">
        <v>13</v>
      </c>
      <c r="C7045" t="s">
        <v>54</v>
      </c>
      <c r="D7045" t="s">
        <v>11</v>
      </c>
      <c r="E7045" t="s">
        <v>16</v>
      </c>
      <c r="F7045" t="s">
        <v>57</v>
      </c>
      <c r="G7045" t="str">
        <f t="shared" si="288"/>
        <v>005EXPLORER</v>
      </c>
      <c r="H7045" s="5">
        <v>1975</v>
      </c>
      <c r="I7045" s="6">
        <v>951.10714281875391</v>
      </c>
      <c r="J7045" s="5">
        <v>7200</v>
      </c>
      <c r="K7045" s="6">
        <f t="shared" si="287"/>
        <v>2.076527355421578</v>
      </c>
    </row>
    <row r="7046" spans="1:11" hidden="1">
      <c r="A7046" s="4">
        <v>2026</v>
      </c>
      <c r="B7046">
        <v>13</v>
      </c>
      <c r="C7046" t="s">
        <v>54</v>
      </c>
      <c r="D7046" t="s">
        <v>11</v>
      </c>
      <c r="E7046" t="s">
        <v>16</v>
      </c>
      <c r="F7046" t="s">
        <v>73</v>
      </c>
      <c r="G7046" t="str">
        <f t="shared" si="288"/>
        <v>005GOLDFINCH</v>
      </c>
      <c r="H7046" s="5">
        <v>900</v>
      </c>
      <c r="I7046" s="6">
        <v>898.26785710660101</v>
      </c>
      <c r="J7046" s="5">
        <v>6800</v>
      </c>
      <c r="K7046" s="6">
        <f t="shared" si="287"/>
        <v>1.0019283144550872</v>
      </c>
    </row>
    <row r="7047" spans="1:11" hidden="1">
      <c r="A7047" s="4">
        <v>2026</v>
      </c>
      <c r="B7047">
        <v>13</v>
      </c>
      <c r="C7047" t="s">
        <v>54</v>
      </c>
      <c r="D7047" t="s">
        <v>11</v>
      </c>
      <c r="E7047" t="s">
        <v>16</v>
      </c>
      <c r="F7047" t="s">
        <v>68</v>
      </c>
      <c r="G7047" t="str">
        <f t="shared" si="288"/>
        <v>005JOCKER</v>
      </c>
      <c r="H7047" s="5">
        <v>2250</v>
      </c>
      <c r="I7047" s="6">
        <v>1162.4642856673661</v>
      </c>
      <c r="J7047" s="5">
        <v>8800</v>
      </c>
      <c r="K7047" s="6">
        <f t="shared" si="287"/>
        <v>1.9355433347427822</v>
      </c>
    </row>
    <row r="7048" spans="1:11" hidden="1">
      <c r="A7048" s="4">
        <v>2026</v>
      </c>
      <c r="B7048">
        <v>13</v>
      </c>
      <c r="C7048" t="s">
        <v>54</v>
      </c>
      <c r="D7048" t="s">
        <v>11</v>
      </c>
      <c r="E7048" t="s">
        <v>16</v>
      </c>
      <c r="F7048" t="s">
        <v>74</v>
      </c>
      <c r="G7048" t="str">
        <f t="shared" si="288"/>
        <v>005VENDELA</v>
      </c>
      <c r="H7048" s="5">
        <v>1650</v>
      </c>
      <c r="I7048" s="6">
        <v>686.91071425798896</v>
      </c>
      <c r="J7048" s="5">
        <v>5200</v>
      </c>
      <c r="K7048" s="6">
        <f t="shared" si="287"/>
        <v>2.4020589077320684</v>
      </c>
    </row>
    <row r="7049" spans="1:11" hidden="1">
      <c r="A7049" s="4">
        <v>2026</v>
      </c>
      <c r="B7049">
        <v>13</v>
      </c>
      <c r="C7049" t="s">
        <v>54</v>
      </c>
      <c r="D7049" t="s">
        <v>11</v>
      </c>
      <c r="E7049" t="s">
        <v>75</v>
      </c>
      <c r="F7049" t="s">
        <v>76</v>
      </c>
      <c r="G7049" t="str">
        <f t="shared" si="288"/>
        <v>006ATOMIC</v>
      </c>
      <c r="H7049" s="5">
        <v>1000</v>
      </c>
      <c r="I7049" s="6">
        <v>845.428571394752</v>
      </c>
      <c r="J7049" s="5">
        <v>6400</v>
      </c>
      <c r="K7049" s="6">
        <f t="shared" si="287"/>
        <v>1.1828320378979418</v>
      </c>
    </row>
    <row r="7050" spans="1:11" hidden="1">
      <c r="A7050" s="4">
        <v>2026</v>
      </c>
      <c r="B7050">
        <v>13</v>
      </c>
      <c r="C7050" t="s">
        <v>54</v>
      </c>
      <c r="D7050" t="s">
        <v>11</v>
      </c>
      <c r="E7050" t="s">
        <v>75</v>
      </c>
      <c r="F7050" t="s">
        <v>57</v>
      </c>
      <c r="G7050" t="str">
        <f t="shared" si="288"/>
        <v>006EXPLORER</v>
      </c>
      <c r="H7050" s="5">
        <v>9725</v>
      </c>
      <c r="I7050" s="6">
        <v>3910.1071427007355</v>
      </c>
      <c r="J7050" s="5">
        <v>29600</v>
      </c>
      <c r="K7050" s="6">
        <f t="shared" ref="K7050:K7112" si="290">+H7050/I7050</f>
        <v>2.4871441229313427</v>
      </c>
    </row>
    <row r="7051" spans="1:11" hidden="1">
      <c r="A7051" s="4">
        <v>2026</v>
      </c>
      <c r="B7051">
        <v>13</v>
      </c>
      <c r="C7051" t="s">
        <v>54</v>
      </c>
      <c r="D7051" t="s">
        <v>11</v>
      </c>
      <c r="E7051" t="s">
        <v>75</v>
      </c>
      <c r="F7051" t="s">
        <v>77</v>
      </c>
      <c r="G7051" t="str">
        <f t="shared" si="288"/>
        <v>006MONDIAL</v>
      </c>
      <c r="H7051" s="5">
        <v>6900</v>
      </c>
      <c r="I7051" s="6">
        <v>4015.7857141250793</v>
      </c>
      <c r="J7051" s="5">
        <v>30400</v>
      </c>
      <c r="K7051" s="6">
        <f t="shared" si="290"/>
        <v>1.7182191708412176</v>
      </c>
    </row>
    <row r="7052" spans="1:11" hidden="1">
      <c r="A7052" s="4">
        <v>2026</v>
      </c>
      <c r="B7052">
        <v>13</v>
      </c>
      <c r="C7052" t="s">
        <v>54</v>
      </c>
      <c r="D7052" t="s">
        <v>11</v>
      </c>
      <c r="E7052" t="s">
        <v>20</v>
      </c>
      <c r="F7052" t="s">
        <v>70</v>
      </c>
      <c r="G7052" t="str">
        <f t="shared" si="288"/>
        <v>007COTOPAXI</v>
      </c>
      <c r="H7052" s="5">
        <v>9780</v>
      </c>
      <c r="I7052" s="6">
        <v>2747.5751230427709</v>
      </c>
      <c r="J7052" s="5">
        <v>20800</v>
      </c>
      <c r="K7052" s="6">
        <f t="shared" si="290"/>
        <v>3.5595023109574706</v>
      </c>
    </row>
    <row r="7053" spans="1:11" hidden="1">
      <c r="A7053" s="4">
        <v>2026</v>
      </c>
      <c r="B7053">
        <v>13</v>
      </c>
      <c r="C7053" t="s">
        <v>54</v>
      </c>
      <c r="D7053" t="s">
        <v>11</v>
      </c>
      <c r="E7053" t="s">
        <v>20</v>
      </c>
      <c r="F7053" t="s">
        <v>78</v>
      </c>
      <c r="G7053" t="str">
        <f t="shared" si="288"/>
        <v>007REDIANT</v>
      </c>
      <c r="H7053" s="5">
        <v>2760</v>
      </c>
      <c r="I7053" s="6">
        <v>1056.75862064738</v>
      </c>
      <c r="J7053" s="5">
        <v>9600</v>
      </c>
      <c r="K7053" s="6">
        <f t="shared" si="290"/>
        <v>2.6117600993017676</v>
      </c>
    </row>
    <row r="7054" spans="1:11" hidden="1">
      <c r="A7054" s="4">
        <v>2026</v>
      </c>
      <c r="B7054">
        <v>13</v>
      </c>
      <c r="C7054" t="s">
        <v>54</v>
      </c>
      <c r="D7054" t="s">
        <v>11</v>
      </c>
      <c r="E7054" t="s">
        <v>20</v>
      </c>
      <c r="F7054" t="s">
        <v>63</v>
      </c>
      <c r="G7054" t="str">
        <f t="shared" si="288"/>
        <v>007SUMMER ROMANCE</v>
      </c>
      <c r="H7054" s="5">
        <v>375</v>
      </c>
      <c r="I7054" s="6">
        <v>369.86551722658481</v>
      </c>
      <c r="J7054" s="5">
        <v>3080</v>
      </c>
      <c r="K7054" s="6">
        <f t="shared" si="290"/>
        <v>1.0138820261264576</v>
      </c>
    </row>
    <row r="7055" spans="1:11" hidden="1">
      <c r="A7055" s="4">
        <v>2026</v>
      </c>
      <c r="B7055">
        <v>13</v>
      </c>
      <c r="C7055" t="s">
        <v>54</v>
      </c>
      <c r="D7055" t="s">
        <v>11</v>
      </c>
      <c r="E7055" t="s">
        <v>20</v>
      </c>
      <c r="F7055" t="s">
        <v>74</v>
      </c>
      <c r="G7055" t="str">
        <f t="shared" si="288"/>
        <v>007VENDELA</v>
      </c>
      <c r="H7055" s="5">
        <v>11280</v>
      </c>
      <c r="I7055" s="6">
        <v>3592.9793102011122</v>
      </c>
      <c r="J7055" s="5">
        <v>27820</v>
      </c>
      <c r="K7055" s="6">
        <f t="shared" si="290"/>
        <v>3.1394558738409817</v>
      </c>
    </row>
    <row r="7056" spans="1:11" hidden="1">
      <c r="A7056" s="4">
        <v>2026</v>
      </c>
      <c r="B7056">
        <v>13</v>
      </c>
      <c r="C7056" t="s">
        <v>54</v>
      </c>
      <c r="D7056" t="s">
        <v>11</v>
      </c>
      <c r="E7056" t="s">
        <v>79</v>
      </c>
      <c r="F7056" t="s">
        <v>67</v>
      </c>
      <c r="G7056" t="str">
        <f t="shared" si="288"/>
        <v>008DEEP PURPLE</v>
      </c>
      <c r="H7056" s="5">
        <v>6240</v>
      </c>
      <c r="I7056" s="6">
        <v>1585.2222221588099</v>
      </c>
      <c r="J7056" s="5">
        <v>11490</v>
      </c>
      <c r="K7056" s="6">
        <f t="shared" si="290"/>
        <v>3.9363566273390704</v>
      </c>
    </row>
    <row r="7057" spans="1:11" hidden="1">
      <c r="A7057" s="4">
        <v>2026</v>
      </c>
      <c r="B7057">
        <v>13</v>
      </c>
      <c r="C7057" t="s">
        <v>54</v>
      </c>
      <c r="D7057" t="s">
        <v>11</v>
      </c>
      <c r="E7057" t="s">
        <v>79</v>
      </c>
      <c r="F7057" t="s">
        <v>81</v>
      </c>
      <c r="G7057" t="str">
        <f t="shared" si="288"/>
        <v>008FREEDOM</v>
      </c>
      <c r="H7057" s="5">
        <v>3930</v>
      </c>
      <c r="I7057" s="6">
        <v>2219.311111022334</v>
      </c>
      <c r="J7057" s="5">
        <v>16800</v>
      </c>
      <c r="K7057" s="6">
        <f t="shared" si="290"/>
        <v>1.7708197739746505</v>
      </c>
    </row>
    <row r="7058" spans="1:11" hidden="1">
      <c r="A7058" s="4">
        <v>2026</v>
      </c>
      <c r="B7058">
        <v>13</v>
      </c>
      <c r="C7058" t="s">
        <v>54</v>
      </c>
      <c r="D7058" t="s">
        <v>11</v>
      </c>
      <c r="E7058" t="s">
        <v>79</v>
      </c>
      <c r="F7058" t="s">
        <v>68</v>
      </c>
      <c r="G7058" t="str">
        <f t="shared" si="288"/>
        <v>008JOCKER</v>
      </c>
      <c r="H7058" s="5">
        <v>4275</v>
      </c>
      <c r="I7058" s="6">
        <v>2959.0814813631118</v>
      </c>
      <c r="J7058" s="5">
        <v>22400</v>
      </c>
      <c r="K7058" s="6">
        <f t="shared" si="290"/>
        <v>1.4447050636911509</v>
      </c>
    </row>
    <row r="7059" spans="1:11" hidden="1">
      <c r="A7059" s="4">
        <v>2026</v>
      </c>
      <c r="B7059">
        <v>13</v>
      </c>
      <c r="C7059" t="s">
        <v>54</v>
      </c>
      <c r="D7059" t="s">
        <v>11</v>
      </c>
      <c r="E7059" t="s">
        <v>79</v>
      </c>
      <c r="F7059" t="s">
        <v>61</v>
      </c>
      <c r="G7059" t="str">
        <f t="shared" si="288"/>
        <v>008LUMIA</v>
      </c>
      <c r="H7059" s="5">
        <v>7710</v>
      </c>
      <c r="I7059" s="6">
        <v>1796.5851851133182</v>
      </c>
      <c r="J7059" s="5">
        <v>13600</v>
      </c>
      <c r="K7059" s="6">
        <f t="shared" si="290"/>
        <v>4.291474773300938</v>
      </c>
    </row>
    <row r="7060" spans="1:11" hidden="1">
      <c r="A7060" s="4">
        <v>2026</v>
      </c>
      <c r="B7060">
        <v>13</v>
      </c>
      <c r="C7060" t="s">
        <v>54</v>
      </c>
      <c r="D7060" t="s">
        <v>11</v>
      </c>
      <c r="E7060" t="s">
        <v>82</v>
      </c>
      <c r="F7060" t="s">
        <v>83</v>
      </c>
      <c r="G7060" t="str">
        <f t="shared" si="288"/>
        <v>010COOLDOWN</v>
      </c>
      <c r="H7060" s="5">
        <v>3075</v>
      </c>
      <c r="I7060" s="6">
        <v>1912.3542857142861</v>
      </c>
      <c r="J7060" s="5">
        <v>16320</v>
      </c>
      <c r="K7060" s="6">
        <f t="shared" si="290"/>
        <v>1.6079656489233911</v>
      </c>
    </row>
    <row r="7061" spans="1:11" hidden="1">
      <c r="A7061" s="4">
        <v>2026</v>
      </c>
      <c r="B7061">
        <v>13</v>
      </c>
      <c r="C7061" t="s">
        <v>54</v>
      </c>
      <c r="D7061" t="s">
        <v>11</v>
      </c>
      <c r="E7061" t="s">
        <v>82</v>
      </c>
      <c r="F7061" t="s">
        <v>84</v>
      </c>
      <c r="G7061" t="str">
        <f t="shared" si="288"/>
        <v>010VIOLET HILL</v>
      </c>
      <c r="H7061" s="5">
        <v>4320</v>
      </c>
      <c r="I7061" s="6">
        <v>2812.2857142428579</v>
      </c>
      <c r="J7061" s="5">
        <v>20000</v>
      </c>
      <c r="K7061" s="6">
        <f t="shared" si="290"/>
        <v>1.5361170375119795</v>
      </c>
    </row>
    <row r="7062" spans="1:11" hidden="1">
      <c r="A7062" s="4">
        <v>2026</v>
      </c>
      <c r="B7062">
        <v>13</v>
      </c>
      <c r="C7062" t="s">
        <v>54</v>
      </c>
      <c r="D7062" t="s">
        <v>11</v>
      </c>
      <c r="E7062" t="s">
        <v>85</v>
      </c>
      <c r="F7062" t="s">
        <v>86</v>
      </c>
      <c r="G7062" t="str">
        <f t="shared" si="288"/>
        <v>011BRIGHTON</v>
      </c>
      <c r="H7062" s="5">
        <v>4175</v>
      </c>
      <c r="I7062" s="6">
        <v>1768.8376470588223</v>
      </c>
      <c r="J7062" s="5">
        <v>12800</v>
      </c>
      <c r="K7062" s="6">
        <f t="shared" si="290"/>
        <v>2.3603070677187827</v>
      </c>
    </row>
    <row r="7063" spans="1:11" hidden="1">
      <c r="A7063" s="4">
        <v>2026</v>
      </c>
      <c r="B7063">
        <v>13</v>
      </c>
      <c r="C7063" t="s">
        <v>54</v>
      </c>
      <c r="D7063" t="s">
        <v>11</v>
      </c>
      <c r="E7063" t="s">
        <v>85</v>
      </c>
      <c r="F7063" t="s">
        <v>87</v>
      </c>
      <c r="G7063" t="str">
        <f t="shared" si="288"/>
        <v>011CANDLELIGHT</v>
      </c>
      <c r="H7063" s="5">
        <v>5720</v>
      </c>
      <c r="I7063" s="6">
        <v>2263.7999998868127</v>
      </c>
      <c r="J7063" s="5">
        <v>17920</v>
      </c>
      <c r="K7063" s="6">
        <f t="shared" si="290"/>
        <v>2.5267249758309007</v>
      </c>
    </row>
    <row r="7064" spans="1:11" hidden="1">
      <c r="A7064" s="4">
        <v>2026</v>
      </c>
      <c r="B7064">
        <v>13</v>
      </c>
      <c r="C7064" t="s">
        <v>54</v>
      </c>
      <c r="D7064" t="s">
        <v>11</v>
      </c>
      <c r="E7064" t="s">
        <v>85</v>
      </c>
      <c r="F7064" t="s">
        <v>88</v>
      </c>
      <c r="G7064" t="str">
        <f t="shared" si="288"/>
        <v>011CAYENNE</v>
      </c>
      <c r="H7064" s="5">
        <v>1470</v>
      </c>
      <c r="I7064" s="6">
        <v>994.97117647058747</v>
      </c>
      <c r="J7064" s="5">
        <v>7200</v>
      </c>
      <c r="K7064" s="6">
        <f t="shared" si="290"/>
        <v>1.4774297334064079</v>
      </c>
    </row>
    <row r="7065" spans="1:11" hidden="1">
      <c r="A7065" s="4">
        <v>2026</v>
      </c>
      <c r="B7065">
        <v>13</v>
      </c>
      <c r="C7065" t="s">
        <v>54</v>
      </c>
      <c r="D7065" t="s">
        <v>11</v>
      </c>
      <c r="E7065" t="s">
        <v>85</v>
      </c>
      <c r="F7065" t="s">
        <v>61</v>
      </c>
      <c r="G7065" t="str">
        <f t="shared" si="288"/>
        <v>011LUMIA</v>
      </c>
      <c r="H7065" s="5">
        <v>1830</v>
      </c>
      <c r="I7065" s="6">
        <v>994.97117647058747</v>
      </c>
      <c r="J7065" s="5">
        <v>7920</v>
      </c>
      <c r="K7065" s="6">
        <f t="shared" si="290"/>
        <v>1.8392492599549159</v>
      </c>
    </row>
    <row r="7066" spans="1:11" hidden="1">
      <c r="A7066" s="4">
        <v>2026</v>
      </c>
      <c r="B7066">
        <v>13</v>
      </c>
      <c r="C7066" t="s">
        <v>54</v>
      </c>
      <c r="D7066" t="s">
        <v>11</v>
      </c>
      <c r="E7066" t="s">
        <v>85</v>
      </c>
      <c r="F7066" t="s">
        <v>89</v>
      </c>
      <c r="G7066" t="str">
        <f t="shared" si="288"/>
        <v>011STARDUST</v>
      </c>
      <c r="H7066" s="5">
        <v>3225</v>
      </c>
      <c r="I7066" s="6">
        <v>2263.7999998868127</v>
      </c>
      <c r="J7066" s="5">
        <v>17920</v>
      </c>
      <c r="K7066" s="6">
        <f t="shared" si="290"/>
        <v>1.4245958124221425</v>
      </c>
    </row>
    <row r="7067" spans="1:11" hidden="1">
      <c r="A7067" s="4">
        <v>2026</v>
      </c>
      <c r="B7067">
        <v>13</v>
      </c>
      <c r="C7067" t="s">
        <v>54</v>
      </c>
      <c r="D7067" t="s">
        <v>11</v>
      </c>
      <c r="E7067" t="s">
        <v>90</v>
      </c>
      <c r="F7067" t="s">
        <v>67</v>
      </c>
      <c r="G7067" t="str">
        <f t="shared" si="288"/>
        <v>012DEEP PURPLE</v>
      </c>
      <c r="H7067" s="5">
        <v>16980</v>
      </c>
      <c r="I7067" s="6">
        <v>6727.0499997982479</v>
      </c>
      <c r="J7067" s="5">
        <v>49210</v>
      </c>
      <c r="K7067" s="6">
        <f t="shared" si="290"/>
        <v>2.5241376235510735</v>
      </c>
    </row>
    <row r="7068" spans="1:11" hidden="1">
      <c r="A7068" s="4">
        <v>2026</v>
      </c>
      <c r="B7068">
        <v>13</v>
      </c>
      <c r="C7068" t="s">
        <v>54</v>
      </c>
      <c r="D7068" t="s">
        <v>11</v>
      </c>
      <c r="E7068" t="s">
        <v>90</v>
      </c>
      <c r="F7068" t="s">
        <v>60</v>
      </c>
      <c r="G7068" t="str">
        <f t="shared" ref="G7068:G7131" si="291">+E7068&amp;F7068</f>
        <v>012LIGHT HOUSE</v>
      </c>
      <c r="H7068" s="5">
        <v>1650</v>
      </c>
      <c r="I7068" s="6">
        <v>994.95</v>
      </c>
      <c r="J7068" s="5">
        <v>7200</v>
      </c>
      <c r="K7068" s="6">
        <f t="shared" si="290"/>
        <v>1.6583747927031509</v>
      </c>
    </row>
    <row r="7069" spans="1:11" hidden="1">
      <c r="A7069" s="4">
        <v>2026</v>
      </c>
      <c r="B7069">
        <v>13</v>
      </c>
      <c r="C7069" t="s">
        <v>54</v>
      </c>
      <c r="D7069" t="s">
        <v>11</v>
      </c>
      <c r="E7069" t="s">
        <v>91</v>
      </c>
      <c r="F7069" t="s">
        <v>92</v>
      </c>
      <c r="G7069" t="str">
        <f t="shared" si="291"/>
        <v>013COUNTRY BLUES</v>
      </c>
      <c r="H7069" s="5">
        <v>1640</v>
      </c>
      <c r="I7069" s="6">
        <v>831.6</v>
      </c>
      <c r="J7069" s="5">
        <v>6300</v>
      </c>
      <c r="K7069" s="6">
        <f t="shared" si="290"/>
        <v>1.9721019721019721</v>
      </c>
    </row>
    <row r="7070" spans="1:11" hidden="1">
      <c r="A7070" s="4">
        <v>2026</v>
      </c>
      <c r="B7070">
        <v>13</v>
      </c>
      <c r="C7070" t="s">
        <v>54</v>
      </c>
      <c r="D7070" t="s">
        <v>11</v>
      </c>
      <c r="E7070" t="s">
        <v>91</v>
      </c>
      <c r="F7070" t="s">
        <v>93</v>
      </c>
      <c r="G7070" t="str">
        <f t="shared" si="291"/>
        <v>013LORRAINE</v>
      </c>
      <c r="H7070" s="5">
        <v>4000</v>
      </c>
      <c r="I7070" s="6">
        <v>1267.2</v>
      </c>
      <c r="J7070" s="5">
        <v>9600</v>
      </c>
      <c r="K7070" s="6">
        <f t="shared" si="290"/>
        <v>3.1565656565656566</v>
      </c>
    </row>
    <row r="7071" spans="1:11" hidden="1">
      <c r="A7071" s="4">
        <v>2026</v>
      </c>
      <c r="B7071">
        <v>13</v>
      </c>
      <c r="C7071" t="s">
        <v>54</v>
      </c>
      <c r="D7071" t="s">
        <v>11</v>
      </c>
      <c r="E7071" t="s">
        <v>91</v>
      </c>
      <c r="F7071" t="s">
        <v>61</v>
      </c>
      <c r="G7071" t="str">
        <f t="shared" si="291"/>
        <v>013LUMIA</v>
      </c>
      <c r="H7071" s="5">
        <v>750</v>
      </c>
      <c r="I7071" s="6">
        <v>316.8</v>
      </c>
      <c r="J7071" s="5">
        <v>2400</v>
      </c>
      <c r="K7071" s="6">
        <f t="shared" si="290"/>
        <v>2.3674242424242422</v>
      </c>
    </row>
    <row r="7072" spans="1:11" hidden="1">
      <c r="A7072" s="4">
        <v>2026</v>
      </c>
      <c r="B7072">
        <v>13</v>
      </c>
      <c r="C7072" t="s">
        <v>54</v>
      </c>
      <c r="D7072" t="s">
        <v>11</v>
      </c>
      <c r="E7072" t="s">
        <v>91</v>
      </c>
      <c r="F7072" t="s">
        <v>74</v>
      </c>
      <c r="G7072" t="str">
        <f t="shared" si="291"/>
        <v>013VENDELA</v>
      </c>
      <c r="H7072" s="5">
        <v>14730</v>
      </c>
      <c r="I7072" s="6">
        <v>3603.6</v>
      </c>
      <c r="J7072" s="5">
        <v>27296</v>
      </c>
      <c r="K7072" s="6">
        <f t="shared" si="290"/>
        <v>4.0875790875790878</v>
      </c>
    </row>
    <row r="7073" spans="1:11" hidden="1">
      <c r="A7073" s="4">
        <v>2026</v>
      </c>
      <c r="B7073">
        <v>13</v>
      </c>
      <c r="C7073" t="s">
        <v>54</v>
      </c>
      <c r="D7073" t="s">
        <v>11</v>
      </c>
      <c r="E7073" t="s">
        <v>23</v>
      </c>
      <c r="F7073" t="s">
        <v>89</v>
      </c>
      <c r="G7073" t="str">
        <f t="shared" si="291"/>
        <v>014STARDUST</v>
      </c>
      <c r="H7073" s="5">
        <v>5525</v>
      </c>
      <c r="I7073" s="6">
        <v>3682.8</v>
      </c>
      <c r="J7073" s="5">
        <v>27900</v>
      </c>
      <c r="K7073" s="6">
        <f t="shared" si="290"/>
        <v>1.5002172260236775</v>
      </c>
    </row>
    <row r="7074" spans="1:11" hidden="1">
      <c r="A7074" s="4">
        <v>2026</v>
      </c>
      <c r="B7074">
        <v>13</v>
      </c>
      <c r="C7074" t="s">
        <v>54</v>
      </c>
      <c r="D7074" t="s">
        <v>11</v>
      </c>
      <c r="E7074" t="s">
        <v>25</v>
      </c>
      <c r="F7074" t="s">
        <v>68</v>
      </c>
      <c r="G7074" t="str">
        <f t="shared" si="291"/>
        <v>015JOCKER</v>
      </c>
      <c r="H7074" s="5">
        <v>3950</v>
      </c>
      <c r="I7074" s="6">
        <v>2376</v>
      </c>
      <c r="J7074" s="5">
        <v>18000</v>
      </c>
      <c r="K7074" s="6">
        <f t="shared" si="290"/>
        <v>1.6624579124579124</v>
      </c>
    </row>
    <row r="7075" spans="1:11" hidden="1">
      <c r="A7075" s="4">
        <v>2026</v>
      </c>
      <c r="B7075">
        <v>13</v>
      </c>
      <c r="C7075" t="s">
        <v>54</v>
      </c>
      <c r="D7075" t="s">
        <v>11</v>
      </c>
      <c r="E7075" t="s">
        <v>27</v>
      </c>
      <c r="F7075" t="s">
        <v>94</v>
      </c>
      <c r="G7075" t="str">
        <f t="shared" si="291"/>
        <v>016DREAM IN PEACH</v>
      </c>
      <c r="H7075" s="5">
        <v>2220</v>
      </c>
      <c r="I7075" s="6">
        <v>950.4</v>
      </c>
      <c r="J7075" s="5">
        <v>7200</v>
      </c>
      <c r="K7075" s="6">
        <f t="shared" si="290"/>
        <v>2.3358585858585861</v>
      </c>
    </row>
    <row r="7076" spans="1:11" hidden="1">
      <c r="A7076" s="4">
        <v>2026</v>
      </c>
      <c r="B7076">
        <v>13</v>
      </c>
      <c r="C7076" t="s">
        <v>54</v>
      </c>
      <c r="D7076" t="s">
        <v>11</v>
      </c>
      <c r="E7076" t="s">
        <v>27</v>
      </c>
      <c r="F7076" t="s">
        <v>95</v>
      </c>
      <c r="G7076" t="str">
        <f t="shared" si="291"/>
        <v>016NINA</v>
      </c>
      <c r="H7076" s="5">
        <v>4325</v>
      </c>
      <c r="I7076" s="6">
        <v>1346.4</v>
      </c>
      <c r="J7076" s="5">
        <v>10200</v>
      </c>
      <c r="K7076" s="6">
        <f t="shared" si="290"/>
        <v>3.2122697563874034</v>
      </c>
    </row>
    <row r="7077" spans="1:11" hidden="1">
      <c r="A7077" s="4">
        <v>2026</v>
      </c>
      <c r="B7077">
        <v>13</v>
      </c>
      <c r="C7077" t="s">
        <v>54</v>
      </c>
      <c r="D7077" t="s">
        <v>11</v>
      </c>
      <c r="E7077" t="s">
        <v>30</v>
      </c>
      <c r="F7077" t="s">
        <v>81</v>
      </c>
      <c r="G7077" t="str">
        <f t="shared" si="291"/>
        <v>017FREEDOM</v>
      </c>
      <c r="H7077" s="5">
        <v>5790</v>
      </c>
      <c r="I7077" s="6">
        <v>2851.2</v>
      </c>
      <c r="J7077" s="5">
        <v>21600</v>
      </c>
      <c r="K7077" s="6">
        <f t="shared" si="290"/>
        <v>2.0307239057239057</v>
      </c>
    </row>
    <row r="7078" spans="1:11" hidden="1">
      <c r="A7078" s="4">
        <v>2026</v>
      </c>
      <c r="B7078">
        <v>13</v>
      </c>
      <c r="C7078" t="s">
        <v>54</v>
      </c>
      <c r="D7078" t="s">
        <v>11</v>
      </c>
      <c r="E7078" t="s">
        <v>30</v>
      </c>
      <c r="F7078" t="s">
        <v>73</v>
      </c>
      <c r="G7078" t="str">
        <f t="shared" si="291"/>
        <v>017GOLDFINCH</v>
      </c>
      <c r="H7078" s="5">
        <v>2500</v>
      </c>
      <c r="I7078" s="6">
        <v>2138.4</v>
      </c>
      <c r="J7078" s="5">
        <v>16200</v>
      </c>
      <c r="K7078" s="6">
        <f t="shared" si="290"/>
        <v>1.1690983913206134</v>
      </c>
    </row>
    <row r="7079" spans="1:11" hidden="1">
      <c r="A7079" s="4">
        <v>2026</v>
      </c>
      <c r="B7079">
        <v>13</v>
      </c>
      <c r="C7079" t="s">
        <v>54</v>
      </c>
      <c r="D7079" t="s">
        <v>11</v>
      </c>
      <c r="E7079" t="s">
        <v>32</v>
      </c>
      <c r="F7079" t="s">
        <v>86</v>
      </c>
      <c r="G7079" t="str">
        <f t="shared" si="291"/>
        <v>018BRIGHTON</v>
      </c>
      <c r="H7079" s="5">
        <v>2600</v>
      </c>
      <c r="I7079" s="6">
        <v>963.6</v>
      </c>
      <c r="J7079" s="5">
        <v>7570</v>
      </c>
      <c r="K7079" s="6">
        <f t="shared" si="290"/>
        <v>2.6982150269821501</v>
      </c>
    </row>
    <row r="7080" spans="1:11" hidden="1">
      <c r="A7080" s="4">
        <v>2026</v>
      </c>
      <c r="B7080">
        <v>13</v>
      </c>
      <c r="C7080" t="s">
        <v>54</v>
      </c>
      <c r="D7080" t="s">
        <v>11</v>
      </c>
      <c r="E7080" t="s">
        <v>35</v>
      </c>
      <c r="F7080" t="s">
        <v>86</v>
      </c>
      <c r="G7080" t="str">
        <f t="shared" si="291"/>
        <v>019BRIGHTON</v>
      </c>
      <c r="H7080" s="5">
        <v>8125</v>
      </c>
      <c r="I7080" s="6">
        <v>3168</v>
      </c>
      <c r="J7080" s="5">
        <v>24000</v>
      </c>
      <c r="K7080" s="6">
        <f t="shared" si="290"/>
        <v>2.564709595959596</v>
      </c>
    </row>
    <row r="7081" spans="1:11" hidden="1">
      <c r="A7081" s="4">
        <v>2026</v>
      </c>
      <c r="B7081">
        <v>13</v>
      </c>
      <c r="C7081" t="s">
        <v>54</v>
      </c>
      <c r="D7081" t="s">
        <v>11</v>
      </c>
      <c r="E7081" t="s">
        <v>35</v>
      </c>
      <c r="F7081" t="s">
        <v>96</v>
      </c>
      <c r="G7081" t="str">
        <f t="shared" si="291"/>
        <v>019TABATHA</v>
      </c>
      <c r="H7081" s="5">
        <v>2580</v>
      </c>
      <c r="I7081" s="6">
        <v>1188</v>
      </c>
      <c r="J7081" s="5">
        <v>9000</v>
      </c>
      <c r="K7081" s="6">
        <f t="shared" si="290"/>
        <v>2.1717171717171717</v>
      </c>
    </row>
    <row r="7082" spans="1:11" hidden="1">
      <c r="A7082" s="4">
        <v>2026</v>
      </c>
      <c r="B7082">
        <v>13</v>
      </c>
      <c r="C7082" t="s">
        <v>54</v>
      </c>
      <c r="D7082" t="s">
        <v>11</v>
      </c>
      <c r="E7082" t="s">
        <v>36</v>
      </c>
      <c r="F7082" t="s">
        <v>86</v>
      </c>
      <c r="G7082" t="str">
        <f t="shared" si="291"/>
        <v>020BRIGHTON</v>
      </c>
      <c r="H7082" s="5">
        <v>5075</v>
      </c>
      <c r="I7082" s="6">
        <v>2732.4</v>
      </c>
      <c r="J7082" s="5">
        <v>20700</v>
      </c>
      <c r="K7082" s="6">
        <f t="shared" si="290"/>
        <v>1.8573415312545747</v>
      </c>
    </row>
    <row r="7083" spans="1:11" hidden="1">
      <c r="A7083" s="4">
        <v>2026</v>
      </c>
      <c r="B7083">
        <v>13</v>
      </c>
      <c r="C7083" t="s">
        <v>54</v>
      </c>
      <c r="D7083" t="s">
        <v>11</v>
      </c>
      <c r="E7083" t="s">
        <v>36</v>
      </c>
      <c r="F7083" t="s">
        <v>97</v>
      </c>
      <c r="G7083" t="str">
        <f t="shared" si="291"/>
        <v>020TYCOON</v>
      </c>
      <c r="H7083" s="5">
        <v>1680</v>
      </c>
      <c r="I7083" s="6">
        <v>673.2</v>
      </c>
      <c r="J7083" s="5">
        <v>5100</v>
      </c>
      <c r="K7083" s="6">
        <f t="shared" si="290"/>
        <v>2.4955436720142599</v>
      </c>
    </row>
    <row r="7084" spans="1:11" hidden="1">
      <c r="A7084" s="4">
        <v>2026</v>
      </c>
      <c r="B7084">
        <v>13</v>
      </c>
      <c r="C7084" t="s">
        <v>54</v>
      </c>
      <c r="D7084" t="s">
        <v>11</v>
      </c>
      <c r="E7084" t="s">
        <v>38</v>
      </c>
      <c r="F7084" t="s">
        <v>98</v>
      </c>
      <c r="G7084" t="str">
        <f t="shared" si="291"/>
        <v>021SHOW GIRL</v>
      </c>
      <c r="H7084" s="5">
        <v>1525</v>
      </c>
      <c r="I7084" s="6">
        <v>1100.4749999999999</v>
      </c>
      <c r="J7084" s="5">
        <v>8000</v>
      </c>
      <c r="K7084" s="6">
        <f t="shared" si="290"/>
        <v>1.3857652377382494</v>
      </c>
    </row>
    <row r="7085" spans="1:11" hidden="1">
      <c r="A7085" s="4">
        <v>2026</v>
      </c>
      <c r="B7085">
        <v>13</v>
      </c>
      <c r="C7085" t="s">
        <v>54</v>
      </c>
      <c r="D7085" t="s">
        <v>11</v>
      </c>
      <c r="E7085" t="s">
        <v>43</v>
      </c>
      <c r="F7085" t="s">
        <v>99</v>
      </c>
      <c r="G7085" t="str">
        <f t="shared" si="291"/>
        <v>022CORAL REEF</v>
      </c>
      <c r="H7085" s="5">
        <v>3725</v>
      </c>
      <c r="I7085" s="6">
        <v>1287</v>
      </c>
      <c r="J7085" s="5">
        <v>9400</v>
      </c>
      <c r="K7085" s="6">
        <f t="shared" si="290"/>
        <v>2.8943278943278945</v>
      </c>
    </row>
    <row r="7086" spans="1:11" hidden="1">
      <c r="A7086" s="4">
        <v>2026</v>
      </c>
      <c r="B7086">
        <v>13</v>
      </c>
      <c r="C7086" t="s">
        <v>54</v>
      </c>
      <c r="D7086" t="s">
        <v>11</v>
      </c>
      <c r="E7086" t="s">
        <v>100</v>
      </c>
      <c r="F7086" t="s">
        <v>70</v>
      </c>
      <c r="G7086" t="str">
        <f t="shared" si="291"/>
        <v>023COTOPAXI</v>
      </c>
      <c r="H7086" s="5">
        <v>8670</v>
      </c>
      <c r="I7086" s="6">
        <v>2641.14</v>
      </c>
      <c r="J7086" s="5">
        <v>19200</v>
      </c>
      <c r="K7086" s="6">
        <f t="shared" si="290"/>
        <v>3.2826733910356891</v>
      </c>
    </row>
    <row r="7087" spans="1:11" hidden="1">
      <c r="A7087" s="4">
        <v>2026</v>
      </c>
      <c r="B7087">
        <v>13</v>
      </c>
      <c r="C7087" t="s">
        <v>54</v>
      </c>
      <c r="D7087" t="s">
        <v>11</v>
      </c>
      <c r="E7087" t="s">
        <v>100</v>
      </c>
      <c r="F7087" t="s">
        <v>101</v>
      </c>
      <c r="G7087" t="str">
        <f t="shared" si="291"/>
        <v>023FRUTTETO</v>
      </c>
      <c r="H7087" s="5">
        <v>8880</v>
      </c>
      <c r="I7087" s="6">
        <v>2641.14</v>
      </c>
      <c r="J7087" s="5">
        <v>19200</v>
      </c>
      <c r="K7087" s="6">
        <f t="shared" si="290"/>
        <v>3.3621845112337856</v>
      </c>
    </row>
    <row r="7088" spans="1:11" hidden="1">
      <c r="A7088" s="4">
        <v>2026</v>
      </c>
      <c r="B7088">
        <v>13</v>
      </c>
      <c r="C7088" t="s">
        <v>54</v>
      </c>
      <c r="D7088" t="s">
        <v>11</v>
      </c>
      <c r="E7088" t="s">
        <v>102</v>
      </c>
      <c r="F7088" t="s">
        <v>70</v>
      </c>
      <c r="G7088" t="str">
        <f t="shared" si="291"/>
        <v>024COTOPAXI</v>
      </c>
      <c r="H7088" s="5">
        <v>4440</v>
      </c>
      <c r="I7088" s="6">
        <v>1430.6174906250001</v>
      </c>
      <c r="J7088" s="5">
        <v>10400</v>
      </c>
      <c r="K7088" s="6">
        <f t="shared" si="290"/>
        <v>3.1035549537845215</v>
      </c>
    </row>
    <row r="7089" spans="1:11" hidden="1">
      <c r="A7089" s="4">
        <v>2026</v>
      </c>
      <c r="B7089">
        <v>13</v>
      </c>
      <c r="C7089" t="s">
        <v>54</v>
      </c>
      <c r="D7089" t="s">
        <v>11</v>
      </c>
      <c r="E7089" t="s">
        <v>102</v>
      </c>
      <c r="F7089" t="s">
        <v>64</v>
      </c>
      <c r="G7089" t="str">
        <f t="shared" si="291"/>
        <v>024SWEETNESS</v>
      </c>
      <c r="H7089" s="5">
        <v>2820</v>
      </c>
      <c r="I7089" s="6">
        <v>1430.6175000000001</v>
      </c>
      <c r="J7089" s="5">
        <v>10400</v>
      </c>
      <c r="K7089" s="6">
        <f t="shared" si="290"/>
        <v>1.9711767820539032</v>
      </c>
    </row>
    <row r="7090" spans="1:11" hidden="1">
      <c r="A7090" s="4">
        <v>2026</v>
      </c>
      <c r="B7090">
        <v>13</v>
      </c>
      <c r="C7090" t="s">
        <v>54</v>
      </c>
      <c r="D7090" t="s">
        <v>11</v>
      </c>
      <c r="E7090" t="s">
        <v>102</v>
      </c>
      <c r="F7090" t="s">
        <v>97</v>
      </c>
      <c r="G7090" t="str">
        <f t="shared" si="291"/>
        <v>024TYCOON</v>
      </c>
      <c r="H7090" s="5">
        <v>4110</v>
      </c>
      <c r="I7090" s="6">
        <v>2861.2350000000001</v>
      </c>
      <c r="J7090" s="5">
        <v>20800</v>
      </c>
      <c r="K7090" s="6">
        <f t="shared" si="290"/>
        <v>1.4364426550073657</v>
      </c>
    </row>
    <row r="7091" spans="1:11" hidden="1">
      <c r="A7091" s="4">
        <v>2026</v>
      </c>
      <c r="B7091">
        <v>13</v>
      </c>
      <c r="C7091" t="s">
        <v>54</v>
      </c>
      <c r="D7091" t="s">
        <v>11</v>
      </c>
      <c r="E7091" t="s">
        <v>103</v>
      </c>
      <c r="F7091" t="s">
        <v>104</v>
      </c>
      <c r="G7091" t="str">
        <f t="shared" si="291"/>
        <v>025PINK MONDIAL</v>
      </c>
      <c r="H7091" s="5">
        <v>5575</v>
      </c>
      <c r="I7091" s="6">
        <v>3071.9505625000002</v>
      </c>
      <c r="J7091" s="5">
        <v>22400</v>
      </c>
      <c r="K7091" s="6">
        <f t="shared" si="290"/>
        <v>1.8148078514202977</v>
      </c>
    </row>
    <row r="7092" spans="1:11" hidden="1">
      <c r="A7092" s="4">
        <v>2026</v>
      </c>
      <c r="B7092">
        <v>13</v>
      </c>
      <c r="C7092" t="s">
        <v>54</v>
      </c>
      <c r="D7092" t="s">
        <v>11</v>
      </c>
      <c r="E7092" t="s">
        <v>45</v>
      </c>
      <c r="F7092" t="s">
        <v>105</v>
      </c>
      <c r="G7092" t="str">
        <f t="shared" si="291"/>
        <v>026LOLA</v>
      </c>
      <c r="H7092" s="5">
        <v>8750</v>
      </c>
      <c r="I7092" s="6">
        <v>1097.125</v>
      </c>
      <c r="J7092" s="5">
        <v>8000</v>
      </c>
      <c r="K7092" s="6">
        <f t="shared" si="290"/>
        <v>7.9753902244502681</v>
      </c>
    </row>
    <row r="7093" spans="1:11" hidden="1">
      <c r="A7093" s="4">
        <v>2026</v>
      </c>
      <c r="B7093">
        <v>13</v>
      </c>
      <c r="C7093" t="s">
        <v>54</v>
      </c>
      <c r="D7093" t="s">
        <v>11</v>
      </c>
      <c r="E7093" t="s">
        <v>45</v>
      </c>
      <c r="F7093" t="s">
        <v>106</v>
      </c>
      <c r="G7093" t="str">
        <f t="shared" si="291"/>
        <v>026PALOMA</v>
      </c>
      <c r="H7093" s="5">
        <v>8550</v>
      </c>
      <c r="I7093" s="6">
        <v>2852.5250000000001</v>
      </c>
      <c r="J7093" s="5">
        <v>20800</v>
      </c>
      <c r="K7093" s="6">
        <f t="shared" si="290"/>
        <v>2.9973444579802102</v>
      </c>
    </row>
    <row r="7094" spans="1:11" hidden="1">
      <c r="A7094" s="4">
        <v>2026</v>
      </c>
      <c r="B7094">
        <v>13</v>
      </c>
      <c r="C7094" t="s">
        <v>54</v>
      </c>
      <c r="D7094" t="s">
        <v>11</v>
      </c>
      <c r="E7094" t="s">
        <v>107</v>
      </c>
      <c r="F7094" t="s">
        <v>108</v>
      </c>
      <c r="G7094" t="str">
        <f t="shared" si="291"/>
        <v>027SATISFACTION</v>
      </c>
      <c r="H7094" s="5">
        <v>6570</v>
      </c>
      <c r="I7094" s="6">
        <v>2633.1</v>
      </c>
      <c r="J7094" s="5">
        <v>19200</v>
      </c>
      <c r="K7094" s="6">
        <f t="shared" si="290"/>
        <v>2.4951577987922979</v>
      </c>
    </row>
    <row r="7095" spans="1:11" hidden="1">
      <c r="A7095" s="4">
        <v>2026</v>
      </c>
      <c r="B7095">
        <v>13</v>
      </c>
      <c r="C7095" t="s">
        <v>54</v>
      </c>
      <c r="D7095" t="s">
        <v>11</v>
      </c>
      <c r="E7095" t="s">
        <v>107</v>
      </c>
      <c r="F7095" t="s">
        <v>109</v>
      </c>
      <c r="G7095" t="str">
        <f t="shared" si="291"/>
        <v>027TIFFANY</v>
      </c>
      <c r="H7095" s="5">
        <v>5790</v>
      </c>
      <c r="I7095" s="6">
        <v>2633.1</v>
      </c>
      <c r="J7095" s="5">
        <v>19200</v>
      </c>
      <c r="K7095" s="6">
        <f t="shared" si="290"/>
        <v>2.1989290190270023</v>
      </c>
    </row>
    <row r="7096" spans="1:11" hidden="1">
      <c r="A7096" s="4">
        <v>2026</v>
      </c>
      <c r="B7096">
        <v>13</v>
      </c>
      <c r="C7096" t="s">
        <v>54</v>
      </c>
      <c r="D7096" t="s">
        <v>11</v>
      </c>
      <c r="E7096" t="s">
        <v>110</v>
      </c>
      <c r="F7096" t="s">
        <v>70</v>
      </c>
      <c r="G7096" t="str">
        <f t="shared" si="291"/>
        <v>028COTOPAXI</v>
      </c>
      <c r="H7096" s="5">
        <v>8700</v>
      </c>
      <c r="I7096" s="6">
        <v>2852.5250000000001</v>
      </c>
      <c r="J7096" s="5">
        <v>20800</v>
      </c>
      <c r="K7096" s="6">
        <f t="shared" si="290"/>
        <v>3.0499294484710915</v>
      </c>
    </row>
    <row r="7097" spans="1:11" hidden="1">
      <c r="A7097" s="4">
        <v>2026</v>
      </c>
      <c r="B7097">
        <v>13</v>
      </c>
      <c r="C7097" t="s">
        <v>54</v>
      </c>
      <c r="D7097" t="s">
        <v>11</v>
      </c>
      <c r="E7097" t="s">
        <v>110</v>
      </c>
      <c r="F7097" t="s">
        <v>67</v>
      </c>
      <c r="G7097" t="str">
        <f t="shared" si="291"/>
        <v>028DEEP PURPLE</v>
      </c>
      <c r="H7097" s="5">
        <v>9570</v>
      </c>
      <c r="I7097" s="6">
        <v>2852.5250000000001</v>
      </c>
      <c r="J7097" s="5">
        <v>20800</v>
      </c>
      <c r="K7097" s="6">
        <f t="shared" si="290"/>
        <v>3.3549223933182004</v>
      </c>
    </row>
    <row r="7098" spans="1:11" hidden="1">
      <c r="A7098" s="4">
        <v>2026</v>
      </c>
      <c r="B7098">
        <v>13</v>
      </c>
      <c r="C7098" t="s">
        <v>54</v>
      </c>
      <c r="D7098" t="s">
        <v>11</v>
      </c>
      <c r="E7098" t="s">
        <v>111</v>
      </c>
      <c r="F7098" t="s">
        <v>112</v>
      </c>
      <c r="G7098" t="str">
        <f t="shared" si="291"/>
        <v>029PINK FLOYD</v>
      </c>
      <c r="H7098" s="5">
        <v>5250</v>
      </c>
      <c r="I7098" s="6">
        <v>3071.95</v>
      </c>
      <c r="J7098" s="5">
        <v>22400</v>
      </c>
      <c r="K7098" s="6">
        <f t="shared" si="290"/>
        <v>1.7090121909536289</v>
      </c>
    </row>
    <row r="7099" spans="1:11" hidden="1">
      <c r="A7099" s="4">
        <v>2026</v>
      </c>
      <c r="B7099">
        <v>13</v>
      </c>
      <c r="C7099" t="s">
        <v>54</v>
      </c>
      <c r="D7099" t="s">
        <v>11</v>
      </c>
      <c r="E7099" t="s">
        <v>47</v>
      </c>
      <c r="F7099" t="s">
        <v>57</v>
      </c>
      <c r="G7099" t="str">
        <f t="shared" si="291"/>
        <v>030EXPLORER</v>
      </c>
      <c r="H7099" s="5">
        <v>4600</v>
      </c>
      <c r="I7099" s="6">
        <v>1645.6875</v>
      </c>
      <c r="J7099" s="5">
        <v>12000</v>
      </c>
      <c r="K7099" s="6">
        <f t="shared" si="290"/>
        <v>2.7951843834263794</v>
      </c>
    </row>
    <row r="7100" spans="1:11" hidden="1">
      <c r="A7100" s="4">
        <v>2026</v>
      </c>
      <c r="B7100">
        <v>14</v>
      </c>
      <c r="C7100" t="s">
        <v>10</v>
      </c>
      <c r="D7100" t="s">
        <v>11</v>
      </c>
      <c r="E7100" t="s">
        <v>12</v>
      </c>
      <c r="F7100" t="s">
        <v>13</v>
      </c>
      <c r="G7100" t="str">
        <f t="shared" si="291"/>
        <v>002SOMERSET</v>
      </c>
      <c r="H7100" s="5">
        <v>7360</v>
      </c>
      <c r="I7100" s="6">
        <v>4121.4642855494085</v>
      </c>
      <c r="J7100" s="5">
        <v>31200</v>
      </c>
      <c r="K7100" s="6">
        <f t="shared" si="290"/>
        <v>1.7857730869597674</v>
      </c>
    </row>
    <row r="7101" spans="1:11" hidden="1">
      <c r="A7101" s="4">
        <v>2026</v>
      </c>
      <c r="B7101">
        <v>14</v>
      </c>
      <c r="C7101" t="s">
        <v>10</v>
      </c>
      <c r="D7101" t="s">
        <v>11</v>
      </c>
      <c r="E7101" t="s">
        <v>14</v>
      </c>
      <c r="F7101" t="s">
        <v>15</v>
      </c>
      <c r="G7101" t="str">
        <f t="shared" si="291"/>
        <v>004BELLINA</v>
      </c>
      <c r="H7101" s="5">
        <v>1860</v>
      </c>
      <c r="I7101" s="6">
        <v>1056.7857142434418</v>
      </c>
      <c r="J7101" s="5">
        <v>8000</v>
      </c>
      <c r="K7101" s="6">
        <f t="shared" si="290"/>
        <v>1.7600540723921343</v>
      </c>
    </row>
    <row r="7102" spans="1:11" hidden="1">
      <c r="A7102" s="4">
        <v>2026</v>
      </c>
      <c r="B7102">
        <v>14</v>
      </c>
      <c r="C7102" t="s">
        <v>10</v>
      </c>
      <c r="D7102" t="s">
        <v>11</v>
      </c>
      <c r="E7102" t="s">
        <v>16</v>
      </c>
      <c r="F7102" t="s">
        <v>17</v>
      </c>
      <c r="G7102" t="str">
        <f t="shared" si="291"/>
        <v>005ELBA</v>
      </c>
      <c r="H7102" s="5">
        <v>7080</v>
      </c>
      <c r="I7102" s="6">
        <v>2641.9642856076484</v>
      </c>
      <c r="J7102" s="5">
        <v>19996</v>
      </c>
      <c r="K7102" s="6">
        <f t="shared" si="290"/>
        <v>2.6798242650625417</v>
      </c>
    </row>
    <row r="7103" spans="1:11" hidden="1">
      <c r="A7103" s="4">
        <v>2026</v>
      </c>
      <c r="B7103">
        <v>14</v>
      </c>
      <c r="C7103" t="s">
        <v>10</v>
      </c>
      <c r="D7103" t="s">
        <v>11</v>
      </c>
      <c r="E7103" t="s">
        <v>16</v>
      </c>
      <c r="F7103" t="s">
        <v>18</v>
      </c>
      <c r="G7103" t="str">
        <f t="shared" si="291"/>
        <v>005HOT BUBBLES</v>
      </c>
      <c r="H7103" s="5">
        <v>1500</v>
      </c>
      <c r="I7103" s="6">
        <v>528.39285712153003</v>
      </c>
      <c r="J7103" s="5">
        <v>4000</v>
      </c>
      <c r="K7103" s="6">
        <f t="shared" si="290"/>
        <v>2.8387968909560808</v>
      </c>
    </row>
    <row r="7104" spans="1:11" hidden="1">
      <c r="A7104" s="4">
        <v>2026</v>
      </c>
      <c r="B7104">
        <v>14</v>
      </c>
      <c r="C7104" t="s">
        <v>10</v>
      </c>
      <c r="D7104" t="s">
        <v>11</v>
      </c>
      <c r="E7104" t="s">
        <v>16</v>
      </c>
      <c r="F7104" t="s">
        <v>19</v>
      </c>
      <c r="G7104" t="str">
        <f t="shared" si="291"/>
        <v>005SUSPIRO</v>
      </c>
      <c r="H7104" s="5">
        <v>3930</v>
      </c>
      <c r="I7104" s="6">
        <v>1902.2142856375078</v>
      </c>
      <c r="J7104" s="5">
        <v>14400</v>
      </c>
      <c r="K7104" s="6">
        <f t="shared" si="290"/>
        <v>2.0660132928624813</v>
      </c>
    </row>
    <row r="7105" spans="1:11" hidden="1">
      <c r="A7105" s="4">
        <v>2026</v>
      </c>
      <c r="B7105">
        <v>14</v>
      </c>
      <c r="C7105" t="s">
        <v>10</v>
      </c>
      <c r="D7105" t="s">
        <v>11</v>
      </c>
      <c r="E7105" t="s">
        <v>20</v>
      </c>
      <c r="F7105" t="s">
        <v>21</v>
      </c>
      <c r="G7105" t="str">
        <f t="shared" si="291"/>
        <v>007SNOW BUBBLES</v>
      </c>
      <c r="H7105" s="5">
        <v>800</v>
      </c>
      <c r="I7105" s="6">
        <v>634.05652706821195</v>
      </c>
      <c r="J7105" s="5">
        <v>4800</v>
      </c>
      <c r="K7105" s="6">
        <f t="shared" si="290"/>
        <v>1.2617171590348377</v>
      </c>
    </row>
    <row r="7106" spans="1:11" hidden="1">
      <c r="A7106" s="4">
        <v>2026</v>
      </c>
      <c r="B7106">
        <v>14</v>
      </c>
      <c r="C7106" t="s">
        <v>10</v>
      </c>
      <c r="D7106" t="s">
        <v>11</v>
      </c>
      <c r="E7106" t="s">
        <v>22</v>
      </c>
      <c r="F7106" t="s">
        <v>18</v>
      </c>
      <c r="G7106" t="str">
        <f t="shared" si="291"/>
        <v>009HOT BUBBLES</v>
      </c>
      <c r="H7106" s="5">
        <v>12380</v>
      </c>
      <c r="I7106" s="6">
        <v>4487.9999999102474</v>
      </c>
      <c r="J7106" s="5">
        <v>31740</v>
      </c>
      <c r="K7106" s="6">
        <f t="shared" si="290"/>
        <v>2.7584670232280701</v>
      </c>
    </row>
    <row r="7107" spans="1:11" hidden="1">
      <c r="A7107" s="4">
        <v>2026</v>
      </c>
      <c r="B7107">
        <v>14</v>
      </c>
      <c r="C7107" t="s">
        <v>10</v>
      </c>
      <c r="D7107" t="s">
        <v>11</v>
      </c>
      <c r="E7107" t="s">
        <v>23</v>
      </c>
      <c r="F7107" t="s">
        <v>24</v>
      </c>
      <c r="G7107" t="str">
        <f t="shared" si="291"/>
        <v>014FRUITY BUBBLES</v>
      </c>
      <c r="H7107" s="5">
        <v>4625</v>
      </c>
      <c r="I7107" s="6">
        <v>1702.8</v>
      </c>
      <c r="J7107" s="5">
        <v>12900</v>
      </c>
      <c r="K7107" s="6">
        <f t="shared" si="290"/>
        <v>2.7161146347192862</v>
      </c>
    </row>
    <row r="7108" spans="1:11" hidden="1">
      <c r="A7108" s="4">
        <v>2026</v>
      </c>
      <c r="B7108">
        <v>14</v>
      </c>
      <c r="C7108" t="s">
        <v>10</v>
      </c>
      <c r="D7108" t="s">
        <v>11</v>
      </c>
      <c r="E7108" t="s">
        <v>25</v>
      </c>
      <c r="F7108" t="s">
        <v>26</v>
      </c>
      <c r="G7108" t="str">
        <f t="shared" si="291"/>
        <v>015FELLINI</v>
      </c>
      <c r="H7108" s="5">
        <v>4840</v>
      </c>
      <c r="I7108" s="6">
        <v>3009.6</v>
      </c>
      <c r="J7108" s="5">
        <v>22800</v>
      </c>
      <c r="K7108" s="6">
        <f t="shared" si="290"/>
        <v>1.6081871345029239</v>
      </c>
    </row>
    <row r="7109" spans="1:11" hidden="1">
      <c r="A7109" s="4">
        <v>2026</v>
      </c>
      <c r="B7109">
        <v>14</v>
      </c>
      <c r="C7109" t="s">
        <v>10</v>
      </c>
      <c r="D7109" t="s">
        <v>11</v>
      </c>
      <c r="E7109" t="s">
        <v>27</v>
      </c>
      <c r="F7109" t="s">
        <v>28</v>
      </c>
      <c r="G7109" t="str">
        <f t="shared" si="291"/>
        <v>016GOOD PEACH</v>
      </c>
      <c r="H7109" s="5">
        <v>4470</v>
      </c>
      <c r="I7109" s="6">
        <v>1386</v>
      </c>
      <c r="J7109" s="5">
        <v>10500</v>
      </c>
      <c r="K7109" s="6">
        <f t="shared" si="290"/>
        <v>3.225108225108225</v>
      </c>
    </row>
    <row r="7110" spans="1:11" hidden="1">
      <c r="A7110" s="4">
        <v>2026</v>
      </c>
      <c r="B7110">
        <v>14</v>
      </c>
      <c r="C7110" t="s">
        <v>10</v>
      </c>
      <c r="D7110" t="s">
        <v>11</v>
      </c>
      <c r="E7110" t="s">
        <v>27</v>
      </c>
      <c r="F7110" t="s">
        <v>29</v>
      </c>
      <c r="G7110" t="str">
        <f t="shared" si="291"/>
        <v>016GOOD YELLOW</v>
      </c>
      <c r="H7110" s="5">
        <v>4770</v>
      </c>
      <c r="I7110" s="6">
        <v>1386</v>
      </c>
      <c r="J7110" s="5">
        <v>10500</v>
      </c>
      <c r="K7110" s="6">
        <f t="shared" si="290"/>
        <v>3.4415584415584415</v>
      </c>
    </row>
    <row r="7111" spans="1:11" hidden="1">
      <c r="A7111" s="4">
        <v>2026</v>
      </c>
      <c r="B7111">
        <v>14</v>
      </c>
      <c r="C7111" t="s">
        <v>10</v>
      </c>
      <c r="D7111" t="s">
        <v>11</v>
      </c>
      <c r="E7111" t="s">
        <v>30</v>
      </c>
      <c r="F7111" t="s">
        <v>31</v>
      </c>
      <c r="G7111" t="str">
        <f t="shared" si="291"/>
        <v>017ORANGE STAR</v>
      </c>
      <c r="H7111" s="5">
        <v>1800</v>
      </c>
      <c r="I7111" s="6">
        <v>1029.5999999999999</v>
      </c>
      <c r="J7111" s="5">
        <v>7800</v>
      </c>
      <c r="K7111" s="6">
        <f t="shared" si="290"/>
        <v>1.7482517482517483</v>
      </c>
    </row>
    <row r="7112" spans="1:11" hidden="1">
      <c r="A7112" s="4">
        <v>2026</v>
      </c>
      <c r="B7112">
        <v>14</v>
      </c>
      <c r="C7112" t="s">
        <v>10</v>
      </c>
      <c r="D7112" t="s">
        <v>11</v>
      </c>
      <c r="E7112" t="s">
        <v>32</v>
      </c>
      <c r="F7112" t="s">
        <v>33</v>
      </c>
      <c r="G7112" t="str">
        <f t="shared" si="291"/>
        <v>018COSMO</v>
      </c>
      <c r="H7112" s="5">
        <v>3400</v>
      </c>
      <c r="I7112" s="6">
        <v>2653.2</v>
      </c>
      <c r="J7112" s="5">
        <v>20100</v>
      </c>
      <c r="K7112" s="6">
        <f t="shared" si="290"/>
        <v>1.2814714307251622</v>
      </c>
    </row>
    <row r="7113" spans="1:11" hidden="1">
      <c r="A7113" s="4">
        <v>2026</v>
      </c>
      <c r="B7113">
        <v>14</v>
      </c>
      <c r="C7113" t="s">
        <v>10</v>
      </c>
      <c r="D7113" t="s">
        <v>11</v>
      </c>
      <c r="E7113" t="s">
        <v>32</v>
      </c>
      <c r="F7113" t="s">
        <v>34</v>
      </c>
      <c r="G7113" t="str">
        <f t="shared" si="291"/>
        <v>018RUBICON</v>
      </c>
      <c r="H7113" s="5">
        <v>4380</v>
      </c>
      <c r="I7113" s="6">
        <v>1768.8</v>
      </c>
      <c r="J7113" s="5">
        <v>13400</v>
      </c>
      <c r="K7113" s="6">
        <f t="shared" ref="K7113:K7174" si="292">+H7113/I7113</f>
        <v>2.4762550881953866</v>
      </c>
    </row>
    <row r="7114" spans="1:11" hidden="1">
      <c r="A7114" s="4">
        <v>2026</v>
      </c>
      <c r="B7114">
        <v>14</v>
      </c>
      <c r="C7114" t="s">
        <v>10</v>
      </c>
      <c r="D7114" t="s">
        <v>11</v>
      </c>
      <c r="E7114" t="s">
        <v>35</v>
      </c>
      <c r="F7114" t="s">
        <v>15</v>
      </c>
      <c r="G7114" t="str">
        <f t="shared" si="291"/>
        <v>019BELLINA</v>
      </c>
      <c r="H7114" s="5">
        <v>1560</v>
      </c>
      <c r="I7114" s="6">
        <v>1029.5999999999999</v>
      </c>
      <c r="J7114" s="5">
        <v>7800</v>
      </c>
      <c r="K7114" s="6">
        <f t="shared" si="292"/>
        <v>1.5151515151515154</v>
      </c>
    </row>
    <row r="7115" spans="1:11" hidden="1">
      <c r="A7115" s="4">
        <v>2026</v>
      </c>
      <c r="B7115">
        <v>14</v>
      </c>
      <c r="C7115" t="s">
        <v>10</v>
      </c>
      <c r="D7115" t="s">
        <v>11</v>
      </c>
      <c r="E7115" t="s">
        <v>36</v>
      </c>
      <c r="F7115" t="s">
        <v>37</v>
      </c>
      <c r="G7115" t="str">
        <f t="shared" si="291"/>
        <v>020SUMMER DANCE</v>
      </c>
      <c r="H7115" s="5">
        <v>3450</v>
      </c>
      <c r="I7115" s="6">
        <v>1346.4</v>
      </c>
      <c r="J7115" s="5">
        <v>10200</v>
      </c>
      <c r="K7115" s="6">
        <f t="shared" si="292"/>
        <v>2.5623885918003562</v>
      </c>
    </row>
    <row r="7116" spans="1:11" hidden="1">
      <c r="A7116" s="4">
        <v>2026</v>
      </c>
      <c r="B7116">
        <v>14</v>
      </c>
      <c r="C7116" t="s">
        <v>10</v>
      </c>
      <c r="D7116" t="s">
        <v>11</v>
      </c>
      <c r="E7116" t="s">
        <v>38</v>
      </c>
      <c r="F7116" t="s">
        <v>39</v>
      </c>
      <c r="G7116" t="str">
        <f t="shared" si="291"/>
        <v>021ELEGANT ROSEVER</v>
      </c>
      <c r="H7116" s="5">
        <v>1110</v>
      </c>
      <c r="I7116" s="6">
        <v>440.18999062500001</v>
      </c>
      <c r="J7116" s="5">
        <v>3200</v>
      </c>
      <c r="K7116" s="6">
        <f t="shared" si="292"/>
        <v>2.5216384371302398</v>
      </c>
    </row>
    <row r="7117" spans="1:11" hidden="1">
      <c r="A7117" s="4">
        <v>2026</v>
      </c>
      <c r="B7117">
        <v>14</v>
      </c>
      <c r="C7117" t="s">
        <v>10</v>
      </c>
      <c r="D7117" t="s">
        <v>11</v>
      </c>
      <c r="E7117" t="s">
        <v>38</v>
      </c>
      <c r="F7117" t="s">
        <v>40</v>
      </c>
      <c r="G7117" t="str">
        <f t="shared" si="291"/>
        <v>021FLAME CLUB</v>
      </c>
      <c r="H7117" s="5">
        <v>1275</v>
      </c>
      <c r="I7117" s="6">
        <v>880.38</v>
      </c>
      <c r="J7117" s="5">
        <v>6400</v>
      </c>
      <c r="K7117" s="6">
        <f t="shared" si="292"/>
        <v>1.4482382607510393</v>
      </c>
    </row>
    <row r="7118" spans="1:11" hidden="1">
      <c r="A7118" s="4">
        <v>2026</v>
      </c>
      <c r="B7118">
        <v>14</v>
      </c>
      <c r="C7118" t="s">
        <v>10</v>
      </c>
      <c r="D7118" t="s">
        <v>11</v>
      </c>
      <c r="E7118" t="s">
        <v>38</v>
      </c>
      <c r="F7118" t="s">
        <v>41</v>
      </c>
      <c r="G7118" t="str">
        <f t="shared" si="291"/>
        <v>021KELLY</v>
      </c>
      <c r="H7118" s="5">
        <v>700</v>
      </c>
      <c r="I7118" s="6">
        <v>330.14249999999998</v>
      </c>
      <c r="J7118" s="5">
        <v>2400</v>
      </c>
      <c r="K7118" s="6">
        <f t="shared" si="292"/>
        <v>2.1202965386159009</v>
      </c>
    </row>
    <row r="7119" spans="1:11" hidden="1">
      <c r="A7119" s="4">
        <v>2026</v>
      </c>
      <c r="B7119">
        <v>14</v>
      </c>
      <c r="C7119" t="s">
        <v>10</v>
      </c>
      <c r="D7119" t="s">
        <v>11</v>
      </c>
      <c r="E7119" t="s">
        <v>38</v>
      </c>
      <c r="F7119" t="s">
        <v>42</v>
      </c>
      <c r="G7119" t="str">
        <f t="shared" si="291"/>
        <v>021LEILA</v>
      </c>
      <c r="H7119" s="5">
        <v>1200</v>
      </c>
      <c r="I7119" s="6">
        <v>770.33249999999998</v>
      </c>
      <c r="J7119" s="5">
        <v>5600</v>
      </c>
      <c r="K7119" s="6">
        <f t="shared" si="292"/>
        <v>1.5577688855137231</v>
      </c>
    </row>
    <row r="7120" spans="1:11" hidden="1">
      <c r="A7120" s="4">
        <v>2026</v>
      </c>
      <c r="B7120">
        <v>14</v>
      </c>
      <c r="C7120" t="s">
        <v>10</v>
      </c>
      <c r="D7120" t="s">
        <v>11</v>
      </c>
      <c r="E7120" t="s">
        <v>38</v>
      </c>
      <c r="F7120" t="s">
        <v>115</v>
      </c>
      <c r="G7120" t="str">
        <f t="shared" si="291"/>
        <v>021PISTACHIO KISS</v>
      </c>
      <c r="H7120" s="5">
        <v>25</v>
      </c>
      <c r="I7120" s="6">
        <v>880.38</v>
      </c>
      <c r="J7120" s="5">
        <v>6400</v>
      </c>
      <c r="K7120" s="6">
        <f t="shared" si="292"/>
        <v>2.8396828642177241E-2</v>
      </c>
    </row>
    <row r="7121" spans="1:11" hidden="1">
      <c r="A7121" s="4">
        <v>2026</v>
      </c>
      <c r="B7121">
        <v>14</v>
      </c>
      <c r="C7121" t="s">
        <v>10</v>
      </c>
      <c r="D7121" t="s">
        <v>11</v>
      </c>
      <c r="E7121" t="s">
        <v>38</v>
      </c>
      <c r="F7121" t="s">
        <v>21</v>
      </c>
      <c r="G7121" t="str">
        <f t="shared" si="291"/>
        <v>021SNOW BUBBLES</v>
      </c>
      <c r="H7121" s="5">
        <v>1480</v>
      </c>
      <c r="I7121" s="6">
        <v>1287.0000000000018</v>
      </c>
      <c r="J7121" s="5">
        <v>9400</v>
      </c>
      <c r="K7121" s="6">
        <f t="shared" si="292"/>
        <v>1.1499611499611484</v>
      </c>
    </row>
    <row r="7122" spans="1:11" hidden="1">
      <c r="A7122" s="4">
        <v>2026</v>
      </c>
      <c r="B7122">
        <v>14</v>
      </c>
      <c r="C7122" t="s">
        <v>10</v>
      </c>
      <c r="D7122" t="s">
        <v>11</v>
      </c>
      <c r="E7122" t="s">
        <v>43</v>
      </c>
      <c r="F7122" t="s">
        <v>24</v>
      </c>
      <c r="G7122" t="str">
        <f t="shared" si="291"/>
        <v>022FRUITY BUBBLES</v>
      </c>
      <c r="H7122" s="5">
        <v>6075</v>
      </c>
      <c r="I7122" s="6">
        <v>2641.14</v>
      </c>
      <c r="J7122" s="5">
        <v>19200</v>
      </c>
      <c r="K7122" s="6">
        <f t="shared" si="292"/>
        <v>2.3001431200163567</v>
      </c>
    </row>
    <row r="7123" spans="1:11" hidden="1">
      <c r="A7123" s="4">
        <v>2026</v>
      </c>
      <c r="B7123">
        <v>14</v>
      </c>
      <c r="C7123" t="s">
        <v>10</v>
      </c>
      <c r="D7123" t="s">
        <v>11</v>
      </c>
      <c r="E7123" t="s">
        <v>43</v>
      </c>
      <c r="F7123" t="s">
        <v>28</v>
      </c>
      <c r="G7123" t="str">
        <f t="shared" si="291"/>
        <v>022GOOD PEACH</v>
      </c>
      <c r="H7123" s="5">
        <v>2550</v>
      </c>
      <c r="I7123" s="6">
        <v>880.38</v>
      </c>
      <c r="J7123" s="5">
        <v>6400</v>
      </c>
      <c r="K7123" s="6">
        <f t="shared" si="292"/>
        <v>2.8964765215020787</v>
      </c>
    </row>
    <row r="7124" spans="1:11" hidden="1">
      <c r="A7124" s="4">
        <v>2026</v>
      </c>
      <c r="B7124">
        <v>14</v>
      </c>
      <c r="C7124" t="s">
        <v>10</v>
      </c>
      <c r="D7124" t="s">
        <v>11</v>
      </c>
      <c r="E7124" t="s">
        <v>43</v>
      </c>
      <c r="F7124" t="s">
        <v>44</v>
      </c>
      <c r="G7124" t="str">
        <f t="shared" si="291"/>
        <v>022MIRABEL</v>
      </c>
      <c r="H7124" s="5">
        <v>2040</v>
      </c>
      <c r="I7124" s="6">
        <v>880.38</v>
      </c>
      <c r="J7124" s="5">
        <v>6400</v>
      </c>
      <c r="K7124" s="6">
        <f t="shared" si="292"/>
        <v>2.317181217201663</v>
      </c>
    </row>
    <row r="7125" spans="1:11" hidden="1">
      <c r="A7125" s="4">
        <v>2026</v>
      </c>
      <c r="B7125">
        <v>14</v>
      </c>
      <c r="C7125" t="s">
        <v>10</v>
      </c>
      <c r="D7125" t="s">
        <v>11</v>
      </c>
      <c r="E7125" t="s">
        <v>47</v>
      </c>
      <c r="F7125" t="s">
        <v>44</v>
      </c>
      <c r="G7125" t="str">
        <f t="shared" si="291"/>
        <v>030MIRABEL</v>
      </c>
      <c r="H7125" s="5">
        <v>7960</v>
      </c>
      <c r="I7125" s="6">
        <v>2413.6749943750001</v>
      </c>
      <c r="J7125" s="5">
        <v>17600</v>
      </c>
      <c r="K7125" s="6">
        <f t="shared" si="292"/>
        <v>3.2978756537440006</v>
      </c>
    </row>
    <row r="7126" spans="1:11" hidden="1">
      <c r="A7126" s="4">
        <v>2026</v>
      </c>
      <c r="B7126">
        <v>14</v>
      </c>
      <c r="C7126" t="s">
        <v>10</v>
      </c>
      <c r="D7126" t="s">
        <v>11</v>
      </c>
      <c r="E7126" t="s">
        <v>47</v>
      </c>
      <c r="F7126" t="s">
        <v>13</v>
      </c>
      <c r="G7126" t="str">
        <f t="shared" si="291"/>
        <v>030SOMERSET</v>
      </c>
      <c r="H7126" s="5">
        <v>2820</v>
      </c>
      <c r="I7126" s="6">
        <v>1645.6875</v>
      </c>
      <c r="J7126" s="5">
        <v>12000</v>
      </c>
      <c r="K7126" s="6">
        <f t="shared" si="292"/>
        <v>1.7135695567961717</v>
      </c>
    </row>
    <row r="7127" spans="1:11" hidden="1">
      <c r="A7127" s="4">
        <v>2026</v>
      </c>
      <c r="B7127">
        <v>14</v>
      </c>
      <c r="C7127" t="s">
        <v>10</v>
      </c>
      <c r="D7127" t="s">
        <v>11</v>
      </c>
      <c r="E7127" t="s">
        <v>48</v>
      </c>
      <c r="F7127" t="s">
        <v>49</v>
      </c>
      <c r="G7127" t="str">
        <f t="shared" si="291"/>
        <v>03182989</v>
      </c>
      <c r="H7127" s="5">
        <v>2300</v>
      </c>
      <c r="I7127" s="6">
        <v>726.32013058333712</v>
      </c>
      <c r="J7127" s="5">
        <v>5712</v>
      </c>
      <c r="K7127" s="6">
        <f t="shared" si="292"/>
        <v>3.1666477399611339</v>
      </c>
    </row>
    <row r="7128" spans="1:11" hidden="1">
      <c r="A7128" s="4">
        <v>2026</v>
      </c>
      <c r="B7128">
        <v>14</v>
      </c>
      <c r="C7128" t="s">
        <v>10</v>
      </c>
      <c r="D7128" t="s">
        <v>11</v>
      </c>
      <c r="E7128" t="s">
        <v>48</v>
      </c>
      <c r="F7128" t="s">
        <v>34</v>
      </c>
      <c r="G7128" t="str">
        <f t="shared" si="291"/>
        <v>031RUBICON</v>
      </c>
      <c r="H7128" s="5">
        <v>2760</v>
      </c>
      <c r="I7128" s="6">
        <v>924.39958333667107</v>
      </c>
      <c r="J7128" s="5">
        <v>6720</v>
      </c>
      <c r="K7128" s="6">
        <f t="shared" si="292"/>
        <v>2.985721813112062</v>
      </c>
    </row>
    <row r="7129" spans="1:11" hidden="1">
      <c r="A7129" s="4">
        <v>2026</v>
      </c>
      <c r="B7129">
        <v>14</v>
      </c>
      <c r="C7129" t="s">
        <v>10</v>
      </c>
      <c r="D7129" t="s">
        <v>11</v>
      </c>
      <c r="E7129" t="s">
        <v>48</v>
      </c>
      <c r="F7129" t="s">
        <v>13</v>
      </c>
      <c r="G7129" t="str">
        <f t="shared" si="291"/>
        <v>031SOMERSET</v>
      </c>
      <c r="H7129" s="5">
        <v>240</v>
      </c>
      <c r="I7129" s="6">
        <v>1122.485208333339</v>
      </c>
      <c r="J7129" s="5">
        <v>8160</v>
      </c>
      <c r="K7129" s="6">
        <f t="shared" si="292"/>
        <v>0.21381128073513853</v>
      </c>
    </row>
    <row r="7130" spans="1:11" hidden="1">
      <c r="A7130" s="4">
        <v>2026</v>
      </c>
      <c r="B7130">
        <v>14</v>
      </c>
      <c r="C7130" t="s">
        <v>10</v>
      </c>
      <c r="D7130" t="s">
        <v>11</v>
      </c>
      <c r="E7130" t="s">
        <v>48</v>
      </c>
      <c r="F7130" t="s">
        <v>50</v>
      </c>
      <c r="G7130" t="str">
        <f t="shared" si="291"/>
        <v>031VELVET BLOSSOMS</v>
      </c>
      <c r="H7130" s="5">
        <v>680</v>
      </c>
      <c r="I7130" s="6">
        <v>396.17125000000198</v>
      </c>
      <c r="J7130" s="5">
        <v>2880</v>
      </c>
      <c r="K7130" s="6">
        <f t="shared" si="292"/>
        <v>1.716429448123751</v>
      </c>
    </row>
    <row r="7131" spans="1:11" hidden="1">
      <c r="A7131" s="4">
        <v>2026</v>
      </c>
      <c r="B7131">
        <v>14</v>
      </c>
      <c r="C7131" t="s">
        <v>10</v>
      </c>
      <c r="D7131" t="s">
        <v>11</v>
      </c>
      <c r="E7131" t="s">
        <v>51</v>
      </c>
      <c r="F7131" t="s">
        <v>17</v>
      </c>
      <c r="G7131" t="str">
        <f t="shared" si="291"/>
        <v>032ELBA</v>
      </c>
      <c r="H7131" s="5">
        <v>4620</v>
      </c>
      <c r="I7131" s="6">
        <v>1535.9749999999999</v>
      </c>
      <c r="J7131" s="5">
        <v>11200</v>
      </c>
      <c r="K7131" s="6">
        <f t="shared" si="292"/>
        <v>3.0078614560783867</v>
      </c>
    </row>
    <row r="7132" spans="1:11" hidden="1">
      <c r="A7132" s="4">
        <v>2026</v>
      </c>
      <c r="B7132">
        <v>14</v>
      </c>
      <c r="C7132" t="s">
        <v>10</v>
      </c>
      <c r="D7132" t="s">
        <v>11</v>
      </c>
      <c r="E7132" t="s">
        <v>51</v>
      </c>
      <c r="F7132" t="s">
        <v>44</v>
      </c>
      <c r="G7132" t="str">
        <f t="shared" ref="G7132:G7193" si="293">+E7132&amp;F7132</f>
        <v>032MIRABEL</v>
      </c>
      <c r="H7132" s="5">
        <v>3660</v>
      </c>
      <c r="I7132" s="6">
        <v>1535.9749999999999</v>
      </c>
      <c r="J7132" s="5">
        <v>11200</v>
      </c>
      <c r="K7132" s="6">
        <f t="shared" si="292"/>
        <v>2.3828512833867741</v>
      </c>
    </row>
    <row r="7133" spans="1:11" hidden="1">
      <c r="A7133" s="4">
        <v>2026</v>
      </c>
      <c r="B7133">
        <v>14</v>
      </c>
      <c r="C7133" t="s">
        <v>10</v>
      </c>
      <c r="D7133" t="s">
        <v>11</v>
      </c>
      <c r="E7133" t="s">
        <v>52</v>
      </c>
      <c r="F7133" t="s">
        <v>53</v>
      </c>
      <c r="G7133" t="str">
        <f t="shared" si="293"/>
        <v>033CREAMY FOLIES</v>
      </c>
      <c r="H7133" s="5">
        <v>1290</v>
      </c>
      <c r="I7133" s="6">
        <v>594.25687500000299</v>
      </c>
      <c r="J7133" s="5">
        <v>4320</v>
      </c>
      <c r="K7133" s="6">
        <f t="shared" si="292"/>
        <v>2.1707784196859206</v>
      </c>
    </row>
    <row r="7134" spans="1:11" hidden="1">
      <c r="A7134" s="4">
        <v>2026</v>
      </c>
      <c r="B7134">
        <v>14</v>
      </c>
      <c r="C7134" t="s">
        <v>10</v>
      </c>
      <c r="D7134" t="s">
        <v>11</v>
      </c>
      <c r="E7134" t="s">
        <v>52</v>
      </c>
      <c r="F7134" t="s">
        <v>18</v>
      </c>
      <c r="G7134" t="str">
        <f t="shared" si="293"/>
        <v>033HOT BUBBLES</v>
      </c>
      <c r="H7134" s="5">
        <v>6640</v>
      </c>
      <c r="I7134" s="6">
        <v>2575.1131250013459</v>
      </c>
      <c r="J7134" s="5">
        <v>18720</v>
      </c>
      <c r="K7134" s="6">
        <f t="shared" si="292"/>
        <v>2.578527496727558</v>
      </c>
    </row>
    <row r="7135" spans="1:11" hidden="1">
      <c r="A7135" s="4">
        <v>2026</v>
      </c>
      <c r="B7135">
        <v>14</v>
      </c>
      <c r="C7135" t="s">
        <v>54</v>
      </c>
      <c r="D7135" t="s">
        <v>11</v>
      </c>
      <c r="E7135" t="s">
        <v>55</v>
      </c>
      <c r="F7135" t="s">
        <v>56</v>
      </c>
      <c r="G7135" t="str">
        <f t="shared" si="293"/>
        <v>001BELIEVE IN PINK</v>
      </c>
      <c r="H7135" s="5">
        <v>1350</v>
      </c>
      <c r="I7135" s="6">
        <v>528.37931032368999</v>
      </c>
      <c r="J7135" s="5">
        <v>4000</v>
      </c>
      <c r="K7135" s="6">
        <f t="shared" ref="K7135:K7140" si="294">IFERROR(H7135/I7135,"")</f>
        <v>2.5549827058386856</v>
      </c>
    </row>
    <row r="7136" spans="1:11" hidden="1">
      <c r="A7136" s="4">
        <v>2026</v>
      </c>
      <c r="B7136">
        <v>14</v>
      </c>
      <c r="C7136" t="s">
        <v>54</v>
      </c>
      <c r="D7136" t="s">
        <v>11</v>
      </c>
      <c r="E7136" t="s">
        <v>55</v>
      </c>
      <c r="F7136" t="s">
        <v>57</v>
      </c>
      <c r="G7136" t="str">
        <f t="shared" si="293"/>
        <v>001EXPLORER</v>
      </c>
      <c r="H7136" s="5">
        <v>4475</v>
      </c>
      <c r="I7136" s="6">
        <v>2272.0310343918732</v>
      </c>
      <c r="J7136" s="5">
        <v>17200</v>
      </c>
      <c r="K7136" s="6">
        <f t="shared" si="294"/>
        <v>1.9696033778859754</v>
      </c>
    </row>
    <row r="7137" spans="1:11" hidden="1">
      <c r="A7137" s="4">
        <v>2026</v>
      </c>
      <c r="B7137">
        <v>14</v>
      </c>
      <c r="C7137" t="s">
        <v>54</v>
      </c>
      <c r="D7137" t="s">
        <v>11</v>
      </c>
      <c r="E7137" t="s">
        <v>55</v>
      </c>
      <c r="F7137" t="s">
        <v>58</v>
      </c>
      <c r="G7137" t="str">
        <f t="shared" si="293"/>
        <v>001GRACE KELLY</v>
      </c>
      <c r="H7137" s="5">
        <v>1770</v>
      </c>
      <c r="I7137" s="6">
        <v>1162.4344827121224</v>
      </c>
      <c r="J7137" s="5">
        <v>8800</v>
      </c>
      <c r="K7137" s="6">
        <f t="shared" si="294"/>
        <v>1.5226664610553724</v>
      </c>
    </row>
    <row r="7138" spans="1:11" hidden="1">
      <c r="A7138" s="4">
        <v>2026</v>
      </c>
      <c r="B7138">
        <v>14</v>
      </c>
      <c r="C7138" t="s">
        <v>54</v>
      </c>
      <c r="D7138" t="s">
        <v>11</v>
      </c>
      <c r="E7138" t="s">
        <v>55</v>
      </c>
      <c r="F7138" t="s">
        <v>60</v>
      </c>
      <c r="G7138" t="str">
        <f t="shared" si="293"/>
        <v>001LIGHT HOUSE</v>
      </c>
      <c r="H7138" s="5">
        <v>2190</v>
      </c>
      <c r="I7138" s="6">
        <v>1056.7586206473827</v>
      </c>
      <c r="J7138" s="5">
        <v>8000</v>
      </c>
      <c r="K7138" s="6">
        <f t="shared" si="294"/>
        <v>2.0723748614024839</v>
      </c>
    </row>
    <row r="7139" spans="1:11" hidden="1">
      <c r="A7139" s="4">
        <v>2026</v>
      </c>
      <c r="B7139">
        <v>14</v>
      </c>
      <c r="C7139" t="s">
        <v>54</v>
      </c>
      <c r="D7139" t="s">
        <v>11</v>
      </c>
      <c r="E7139" t="s">
        <v>55</v>
      </c>
      <c r="F7139" t="s">
        <v>61</v>
      </c>
      <c r="G7139" t="str">
        <f t="shared" si="293"/>
        <v>001LUMIA</v>
      </c>
      <c r="H7139" s="5">
        <v>2250</v>
      </c>
      <c r="I7139" s="6">
        <v>1109.596551679753</v>
      </c>
      <c r="J7139" s="5">
        <v>8400</v>
      </c>
      <c r="K7139" s="6">
        <f t="shared" si="294"/>
        <v>2.0277640522529179</v>
      </c>
    </row>
    <row r="7140" spans="1:11" hidden="1">
      <c r="A7140" s="4">
        <v>2026</v>
      </c>
      <c r="B7140">
        <v>14</v>
      </c>
      <c r="C7140" t="s">
        <v>54</v>
      </c>
      <c r="D7140" t="s">
        <v>11</v>
      </c>
      <c r="E7140" t="s">
        <v>55</v>
      </c>
      <c r="F7140" t="s">
        <v>62</v>
      </c>
      <c r="G7140" t="str">
        <f t="shared" si="293"/>
        <v>001MOMENTUM</v>
      </c>
      <c r="H7140" s="5">
        <v>2500</v>
      </c>
      <c r="I7140" s="6">
        <v>1902.1655171652881</v>
      </c>
      <c r="J7140" s="5">
        <v>14400</v>
      </c>
      <c r="K7140" s="6">
        <f t="shared" si="294"/>
        <v>1.3142915153491153</v>
      </c>
    </row>
    <row r="7141" spans="1:11" hidden="1">
      <c r="A7141" s="4">
        <v>2026</v>
      </c>
      <c r="B7141">
        <v>14</v>
      </c>
      <c r="C7141" t="s">
        <v>54</v>
      </c>
      <c r="D7141" t="s">
        <v>11</v>
      </c>
      <c r="E7141" t="s">
        <v>12</v>
      </c>
      <c r="F7141" t="s">
        <v>63</v>
      </c>
      <c r="G7141" t="str">
        <f t="shared" si="293"/>
        <v>002SUMMER ROMANCE</v>
      </c>
      <c r="H7141" s="5">
        <v>1275</v>
      </c>
      <c r="I7141" s="6">
        <v>951.10714281909407</v>
      </c>
      <c r="J7141" s="5">
        <v>7200</v>
      </c>
      <c r="K7141" s="6">
        <f t="shared" si="292"/>
        <v>1.3405429762843366</v>
      </c>
    </row>
    <row r="7142" spans="1:11" hidden="1">
      <c r="A7142" s="4">
        <v>2026</v>
      </c>
      <c r="B7142">
        <v>14</v>
      </c>
      <c r="C7142" t="s">
        <v>54</v>
      </c>
      <c r="D7142" t="s">
        <v>11</v>
      </c>
      <c r="E7142" t="s">
        <v>12</v>
      </c>
      <c r="F7142" t="s">
        <v>64</v>
      </c>
      <c r="G7142" t="str">
        <f t="shared" si="293"/>
        <v>002SWEETNESS</v>
      </c>
      <c r="H7142" s="5">
        <v>6600</v>
      </c>
      <c r="I7142" s="6">
        <v>3804.4285712763772</v>
      </c>
      <c r="J7142" s="5">
        <v>28800</v>
      </c>
      <c r="K7142" s="6">
        <f t="shared" si="292"/>
        <v>1.7348203222503176</v>
      </c>
    </row>
    <row r="7143" spans="1:11" hidden="1">
      <c r="A7143" s="4">
        <v>2026</v>
      </c>
      <c r="B7143">
        <v>14</v>
      </c>
      <c r="C7143" t="s">
        <v>54</v>
      </c>
      <c r="D7143" t="s">
        <v>11</v>
      </c>
      <c r="E7143" t="s">
        <v>65</v>
      </c>
      <c r="F7143" t="s">
        <v>66</v>
      </c>
      <c r="G7143" t="str">
        <f t="shared" si="293"/>
        <v>003CABARET</v>
      </c>
      <c r="H7143" s="5">
        <v>6810</v>
      </c>
      <c r="I7143" s="6">
        <v>2641.8965516184649</v>
      </c>
      <c r="J7143" s="5">
        <v>20000</v>
      </c>
      <c r="K7143" s="6">
        <f t="shared" si="292"/>
        <v>2.5776936632239038</v>
      </c>
    </row>
    <row r="7144" spans="1:11" hidden="1">
      <c r="A7144" s="4">
        <v>2026</v>
      </c>
      <c r="B7144">
        <v>14</v>
      </c>
      <c r="C7144" t="s">
        <v>54</v>
      </c>
      <c r="D7144" t="s">
        <v>11</v>
      </c>
      <c r="E7144" t="s">
        <v>65</v>
      </c>
      <c r="F7144" t="s">
        <v>67</v>
      </c>
      <c r="G7144" t="str">
        <f t="shared" si="293"/>
        <v>003DEEP PURPLE</v>
      </c>
      <c r="H7144" s="5">
        <v>11730</v>
      </c>
      <c r="I7144" s="6">
        <v>3592.9793102010913</v>
      </c>
      <c r="J7144" s="5">
        <v>26044</v>
      </c>
      <c r="K7144" s="6">
        <f t="shared" si="292"/>
        <v>3.2647001241272098</v>
      </c>
    </row>
    <row r="7145" spans="1:11" hidden="1">
      <c r="A7145" s="4">
        <v>2026</v>
      </c>
      <c r="B7145">
        <v>14</v>
      </c>
      <c r="C7145" t="s">
        <v>54</v>
      </c>
      <c r="D7145" t="s">
        <v>11</v>
      </c>
      <c r="E7145" t="s">
        <v>65</v>
      </c>
      <c r="F7145" t="s">
        <v>57</v>
      </c>
      <c r="G7145" t="str">
        <f t="shared" si="293"/>
        <v>003EXPLORER</v>
      </c>
      <c r="H7145" s="5">
        <v>2400</v>
      </c>
      <c r="I7145" s="6">
        <v>1268.1103447768633</v>
      </c>
      <c r="J7145" s="5">
        <v>9600</v>
      </c>
      <c r="K7145" s="6">
        <f t="shared" si="292"/>
        <v>1.8925797821027193</v>
      </c>
    </row>
    <row r="7146" spans="1:11" hidden="1">
      <c r="A7146" s="4">
        <v>2026</v>
      </c>
      <c r="B7146">
        <v>14</v>
      </c>
      <c r="C7146" t="s">
        <v>54</v>
      </c>
      <c r="D7146" t="s">
        <v>11</v>
      </c>
      <c r="E7146" t="s">
        <v>65</v>
      </c>
      <c r="F7146" t="s">
        <v>68</v>
      </c>
      <c r="G7146" t="str">
        <f t="shared" si="293"/>
        <v>003JOCKER</v>
      </c>
      <c r="H7146" s="5">
        <v>825</v>
      </c>
      <c r="I7146" s="6">
        <v>528.37931032368999</v>
      </c>
      <c r="J7146" s="5">
        <v>4000</v>
      </c>
      <c r="K7146" s="6">
        <f t="shared" si="292"/>
        <v>1.5613783202347522</v>
      </c>
    </row>
    <row r="7147" spans="1:11" hidden="1">
      <c r="A7147" s="4">
        <v>2026</v>
      </c>
      <c r="B7147">
        <v>14</v>
      </c>
      <c r="C7147" t="s">
        <v>54</v>
      </c>
      <c r="D7147" t="s">
        <v>11</v>
      </c>
      <c r="E7147" t="s">
        <v>65</v>
      </c>
      <c r="F7147" t="s">
        <v>69</v>
      </c>
      <c r="G7147" t="str">
        <f t="shared" si="293"/>
        <v>003QUICKSAND</v>
      </c>
      <c r="H7147" s="5">
        <v>2220</v>
      </c>
      <c r="I7147" s="6">
        <v>1162.4344827121247</v>
      </c>
      <c r="J7147" s="5">
        <v>8800</v>
      </c>
      <c r="K7147" s="6">
        <f t="shared" si="292"/>
        <v>1.9097850528491076</v>
      </c>
    </row>
    <row r="7148" spans="1:11" hidden="1">
      <c r="A7148" s="4">
        <v>2026</v>
      </c>
      <c r="B7148">
        <v>14</v>
      </c>
      <c r="C7148" t="s">
        <v>54</v>
      </c>
      <c r="D7148" t="s">
        <v>11</v>
      </c>
      <c r="E7148" t="s">
        <v>14</v>
      </c>
      <c r="F7148" t="s">
        <v>70</v>
      </c>
      <c r="G7148" t="str">
        <f t="shared" si="293"/>
        <v>004COTOPAXI</v>
      </c>
      <c r="H7148" s="5">
        <v>1200</v>
      </c>
      <c r="I7148" s="6">
        <v>528.3915024419166</v>
      </c>
      <c r="J7148" s="5">
        <v>4000</v>
      </c>
      <c r="K7148" s="6">
        <f t="shared" si="292"/>
        <v>2.2710433352056225</v>
      </c>
    </row>
    <row r="7149" spans="1:11" hidden="1">
      <c r="A7149" s="4">
        <v>2026</v>
      </c>
      <c r="B7149">
        <v>14</v>
      </c>
      <c r="C7149" t="s">
        <v>54</v>
      </c>
      <c r="D7149" t="s">
        <v>11</v>
      </c>
      <c r="E7149" t="s">
        <v>14</v>
      </c>
      <c r="F7149" t="s">
        <v>67</v>
      </c>
      <c r="G7149" t="str">
        <f t="shared" si="293"/>
        <v>004DEEP PURPLE</v>
      </c>
      <c r="H7149" s="5">
        <v>15390</v>
      </c>
      <c r="I7149" s="6">
        <v>3910.1071427007282</v>
      </c>
      <c r="J7149" s="5">
        <v>29260</v>
      </c>
      <c r="K7149" s="6">
        <f t="shared" si="292"/>
        <v>3.9359535271890427</v>
      </c>
    </row>
    <row r="7150" spans="1:11" hidden="1">
      <c r="A7150" s="4">
        <v>2026</v>
      </c>
      <c r="B7150">
        <v>14</v>
      </c>
      <c r="C7150" t="s">
        <v>54</v>
      </c>
      <c r="D7150" t="s">
        <v>11</v>
      </c>
      <c r="E7150" t="s">
        <v>14</v>
      </c>
      <c r="F7150" t="s">
        <v>71</v>
      </c>
      <c r="G7150" t="str">
        <f t="shared" si="293"/>
        <v>004HOT EXPLORER</v>
      </c>
      <c r="H7150" s="5">
        <v>3725</v>
      </c>
      <c r="I7150" s="6">
        <v>1902.2142856381945</v>
      </c>
      <c r="J7150" s="5">
        <v>14400</v>
      </c>
      <c r="K7150" s="6">
        <f t="shared" si="292"/>
        <v>1.9582441516310343</v>
      </c>
    </row>
    <row r="7151" spans="1:11" hidden="1">
      <c r="A7151" s="4">
        <v>2026</v>
      </c>
      <c r="B7151">
        <v>14</v>
      </c>
      <c r="C7151" t="s">
        <v>54</v>
      </c>
      <c r="D7151" t="s">
        <v>11</v>
      </c>
      <c r="E7151" t="s">
        <v>14</v>
      </c>
      <c r="F7151" t="s">
        <v>72</v>
      </c>
      <c r="G7151" t="str">
        <f t="shared" si="293"/>
        <v>004HOT MERENGUE</v>
      </c>
      <c r="H7151" s="5">
        <v>3690</v>
      </c>
      <c r="I7151" s="6">
        <v>1162.4642856677858</v>
      </c>
      <c r="J7151" s="5">
        <v>8800</v>
      </c>
      <c r="K7151" s="6">
        <f t="shared" si="292"/>
        <v>3.1742910689770167</v>
      </c>
    </row>
    <row r="7152" spans="1:11" hidden="1">
      <c r="A7152" s="4">
        <v>2026</v>
      </c>
      <c r="B7152">
        <v>14</v>
      </c>
      <c r="C7152" t="s">
        <v>54</v>
      </c>
      <c r="D7152" t="s">
        <v>11</v>
      </c>
      <c r="E7152" t="s">
        <v>14</v>
      </c>
      <c r="F7152" t="s">
        <v>64</v>
      </c>
      <c r="G7152" t="str">
        <f t="shared" si="293"/>
        <v>004SWEETNESS</v>
      </c>
      <c r="H7152" s="5">
        <v>420</v>
      </c>
      <c r="I7152" s="6">
        <v>317.03571427303262</v>
      </c>
      <c r="J7152" s="5">
        <v>2400</v>
      </c>
      <c r="K7152" s="6">
        <f t="shared" si="292"/>
        <v>1.324771882445692</v>
      </c>
    </row>
    <row r="7153" spans="1:11" hidden="1">
      <c r="A7153" s="4">
        <v>2026</v>
      </c>
      <c r="B7153">
        <v>14</v>
      </c>
      <c r="C7153" t="s">
        <v>54</v>
      </c>
      <c r="D7153" t="s">
        <v>11</v>
      </c>
      <c r="E7153" t="s">
        <v>16</v>
      </c>
      <c r="F7153" t="s">
        <v>57</v>
      </c>
      <c r="G7153" t="str">
        <f t="shared" si="293"/>
        <v>005EXPLORER</v>
      </c>
      <c r="H7153" s="5">
        <v>1500</v>
      </c>
      <c r="I7153" s="6">
        <v>951.10714281875391</v>
      </c>
      <c r="J7153" s="5">
        <v>7200</v>
      </c>
      <c r="K7153" s="6">
        <f t="shared" si="292"/>
        <v>1.5771093838644894</v>
      </c>
    </row>
    <row r="7154" spans="1:11" hidden="1">
      <c r="A7154" s="4">
        <v>2026</v>
      </c>
      <c r="B7154">
        <v>14</v>
      </c>
      <c r="C7154" t="s">
        <v>54</v>
      </c>
      <c r="D7154" t="s">
        <v>11</v>
      </c>
      <c r="E7154" t="s">
        <v>16</v>
      </c>
      <c r="F7154" t="s">
        <v>73</v>
      </c>
      <c r="G7154" t="str">
        <f t="shared" si="293"/>
        <v>005GOLDFINCH</v>
      </c>
      <c r="H7154" s="5">
        <v>1075</v>
      </c>
      <c r="I7154" s="6">
        <v>898.26785710660101</v>
      </c>
      <c r="J7154" s="5">
        <v>6800</v>
      </c>
      <c r="K7154" s="6">
        <f t="shared" si="292"/>
        <v>1.1967477089324654</v>
      </c>
    </row>
    <row r="7155" spans="1:11" hidden="1">
      <c r="A7155" s="4">
        <v>2026</v>
      </c>
      <c r="B7155">
        <v>14</v>
      </c>
      <c r="C7155" t="s">
        <v>54</v>
      </c>
      <c r="D7155" t="s">
        <v>11</v>
      </c>
      <c r="E7155" t="s">
        <v>16</v>
      </c>
      <c r="F7155" t="s">
        <v>68</v>
      </c>
      <c r="G7155" t="str">
        <f t="shared" si="293"/>
        <v>005JOCKER</v>
      </c>
      <c r="H7155" s="5">
        <v>2175</v>
      </c>
      <c r="I7155" s="6">
        <v>1162.4642856673661</v>
      </c>
      <c r="J7155" s="5">
        <v>8800</v>
      </c>
      <c r="K7155" s="6">
        <f t="shared" si="292"/>
        <v>1.8710252235846896</v>
      </c>
    </row>
    <row r="7156" spans="1:11" hidden="1">
      <c r="A7156" s="4">
        <v>2026</v>
      </c>
      <c r="B7156">
        <v>14</v>
      </c>
      <c r="C7156" t="s">
        <v>54</v>
      </c>
      <c r="D7156" t="s">
        <v>11</v>
      </c>
      <c r="E7156" t="s">
        <v>16</v>
      </c>
      <c r="F7156" t="s">
        <v>74</v>
      </c>
      <c r="G7156" t="str">
        <f t="shared" si="293"/>
        <v>005VENDELA</v>
      </c>
      <c r="H7156" s="5">
        <v>1200</v>
      </c>
      <c r="I7156" s="6">
        <v>686.91071425798896</v>
      </c>
      <c r="J7156" s="5">
        <v>5200</v>
      </c>
      <c r="K7156" s="6">
        <f t="shared" si="292"/>
        <v>1.7469519328960499</v>
      </c>
    </row>
    <row r="7157" spans="1:11" hidden="1">
      <c r="A7157" s="4">
        <v>2026</v>
      </c>
      <c r="B7157">
        <v>14</v>
      </c>
      <c r="C7157" t="s">
        <v>54</v>
      </c>
      <c r="D7157" t="s">
        <v>11</v>
      </c>
      <c r="E7157" t="s">
        <v>75</v>
      </c>
      <c r="F7157" t="s">
        <v>76</v>
      </c>
      <c r="G7157" t="str">
        <f t="shared" si="293"/>
        <v>006ATOMIC</v>
      </c>
      <c r="H7157" s="5">
        <v>950</v>
      </c>
      <c r="I7157" s="6">
        <v>845.428571394752</v>
      </c>
      <c r="J7157" s="5">
        <v>6400</v>
      </c>
      <c r="K7157" s="6">
        <f t="shared" si="292"/>
        <v>1.1236904360030446</v>
      </c>
    </row>
    <row r="7158" spans="1:11" hidden="1">
      <c r="A7158" s="4">
        <v>2026</v>
      </c>
      <c r="B7158">
        <v>14</v>
      </c>
      <c r="C7158" t="s">
        <v>54</v>
      </c>
      <c r="D7158" t="s">
        <v>11</v>
      </c>
      <c r="E7158" t="s">
        <v>75</v>
      </c>
      <c r="F7158" t="s">
        <v>57</v>
      </c>
      <c r="G7158" t="str">
        <f t="shared" si="293"/>
        <v>006EXPLORER</v>
      </c>
      <c r="H7158" s="5">
        <v>7300</v>
      </c>
      <c r="I7158" s="6">
        <v>3910.1071427007355</v>
      </c>
      <c r="J7158" s="5">
        <v>29600</v>
      </c>
      <c r="K7158" s="6">
        <f t="shared" si="292"/>
        <v>1.8669565138713422</v>
      </c>
    </row>
    <row r="7159" spans="1:11" hidden="1">
      <c r="A7159" s="4">
        <v>2026</v>
      </c>
      <c r="B7159">
        <v>14</v>
      </c>
      <c r="C7159" t="s">
        <v>54</v>
      </c>
      <c r="D7159" t="s">
        <v>11</v>
      </c>
      <c r="E7159" t="s">
        <v>75</v>
      </c>
      <c r="F7159" t="s">
        <v>77</v>
      </c>
      <c r="G7159" t="str">
        <f t="shared" si="293"/>
        <v>006MONDIAL</v>
      </c>
      <c r="H7159" s="5">
        <v>6025</v>
      </c>
      <c r="I7159" s="6">
        <v>4015.7857141250793</v>
      </c>
      <c r="J7159" s="5">
        <v>30400</v>
      </c>
      <c r="K7159" s="6">
        <f t="shared" si="292"/>
        <v>1.5003290585968603</v>
      </c>
    </row>
    <row r="7160" spans="1:11" hidden="1">
      <c r="A7160" s="4">
        <v>2026</v>
      </c>
      <c r="B7160">
        <v>14</v>
      </c>
      <c r="C7160" t="s">
        <v>54</v>
      </c>
      <c r="D7160" t="s">
        <v>11</v>
      </c>
      <c r="E7160" t="s">
        <v>20</v>
      </c>
      <c r="F7160" t="s">
        <v>70</v>
      </c>
      <c r="G7160" t="str">
        <f t="shared" si="293"/>
        <v>007COTOPAXI</v>
      </c>
      <c r="H7160" s="5">
        <v>7320</v>
      </c>
      <c r="I7160" s="6">
        <v>2747.5751230427709</v>
      </c>
      <c r="J7160" s="5">
        <v>20800</v>
      </c>
      <c r="K7160" s="6">
        <f t="shared" si="292"/>
        <v>2.6641673738454688</v>
      </c>
    </row>
    <row r="7161" spans="1:11" hidden="1">
      <c r="A7161" s="4">
        <v>2026</v>
      </c>
      <c r="B7161">
        <v>14</v>
      </c>
      <c r="C7161" t="s">
        <v>54</v>
      </c>
      <c r="D7161" t="s">
        <v>11</v>
      </c>
      <c r="E7161" t="s">
        <v>20</v>
      </c>
      <c r="F7161" t="s">
        <v>78</v>
      </c>
      <c r="G7161" t="str">
        <f t="shared" si="293"/>
        <v>007REDIANT</v>
      </c>
      <c r="H7161" s="5">
        <v>2280</v>
      </c>
      <c r="I7161" s="6">
        <v>1056.75862064738</v>
      </c>
      <c r="J7161" s="5">
        <v>9600</v>
      </c>
      <c r="K7161" s="6">
        <f t="shared" si="292"/>
        <v>2.1575409515971122</v>
      </c>
    </row>
    <row r="7162" spans="1:11" hidden="1">
      <c r="A7162" s="4">
        <v>2026</v>
      </c>
      <c r="B7162">
        <v>14</v>
      </c>
      <c r="C7162" t="s">
        <v>54</v>
      </c>
      <c r="D7162" t="s">
        <v>11</v>
      </c>
      <c r="E7162" t="s">
        <v>20</v>
      </c>
      <c r="F7162" t="s">
        <v>63</v>
      </c>
      <c r="G7162" t="str">
        <f t="shared" si="293"/>
        <v>007SUMMER ROMANCE</v>
      </c>
      <c r="H7162" s="5">
        <v>300</v>
      </c>
      <c r="I7162" s="6">
        <v>369.86551722658481</v>
      </c>
      <c r="J7162" s="5">
        <v>3080</v>
      </c>
      <c r="K7162" s="6">
        <f t="shared" si="292"/>
        <v>0.811105620901166</v>
      </c>
    </row>
    <row r="7163" spans="1:11" hidden="1">
      <c r="A7163" s="4">
        <v>2026</v>
      </c>
      <c r="B7163">
        <v>14</v>
      </c>
      <c r="C7163" t="s">
        <v>54</v>
      </c>
      <c r="D7163" t="s">
        <v>11</v>
      </c>
      <c r="E7163" t="s">
        <v>20</v>
      </c>
      <c r="F7163" t="s">
        <v>74</v>
      </c>
      <c r="G7163" t="str">
        <f t="shared" si="293"/>
        <v>007VENDELA</v>
      </c>
      <c r="H7163" s="5">
        <v>9180</v>
      </c>
      <c r="I7163" s="6">
        <v>3592.9793102011122</v>
      </c>
      <c r="J7163" s="5">
        <v>27820</v>
      </c>
      <c r="K7163" s="6">
        <f t="shared" si="292"/>
        <v>2.5549827058386714</v>
      </c>
    </row>
    <row r="7164" spans="1:11" hidden="1">
      <c r="A7164" s="4">
        <v>2026</v>
      </c>
      <c r="B7164">
        <v>14</v>
      </c>
      <c r="C7164" t="s">
        <v>54</v>
      </c>
      <c r="D7164" t="s">
        <v>11</v>
      </c>
      <c r="E7164" t="s">
        <v>79</v>
      </c>
      <c r="F7164" t="s">
        <v>67</v>
      </c>
      <c r="G7164" t="str">
        <f t="shared" si="293"/>
        <v>008DEEP PURPLE</v>
      </c>
      <c r="H7164" s="5">
        <v>5250</v>
      </c>
      <c r="I7164" s="6">
        <v>1585.2222221588099</v>
      </c>
      <c r="J7164" s="5">
        <v>11490</v>
      </c>
      <c r="K7164" s="6">
        <f t="shared" si="292"/>
        <v>3.3118385085785449</v>
      </c>
    </row>
    <row r="7165" spans="1:11" hidden="1">
      <c r="A7165" s="4">
        <v>2026</v>
      </c>
      <c r="B7165">
        <v>14</v>
      </c>
      <c r="C7165" t="s">
        <v>54</v>
      </c>
      <c r="D7165" t="s">
        <v>11</v>
      </c>
      <c r="E7165" t="s">
        <v>79</v>
      </c>
      <c r="F7165" t="s">
        <v>81</v>
      </c>
      <c r="G7165" t="str">
        <f t="shared" si="293"/>
        <v>008FREEDOM</v>
      </c>
      <c r="H7165" s="5">
        <v>4500</v>
      </c>
      <c r="I7165" s="6">
        <v>2219.311111022334</v>
      </c>
      <c r="J7165" s="5">
        <v>16800</v>
      </c>
      <c r="K7165" s="6">
        <f t="shared" si="292"/>
        <v>2.0276562297419662</v>
      </c>
    </row>
    <row r="7166" spans="1:11" hidden="1">
      <c r="A7166" s="4">
        <v>2026</v>
      </c>
      <c r="B7166">
        <v>14</v>
      </c>
      <c r="C7166" t="s">
        <v>54</v>
      </c>
      <c r="D7166" t="s">
        <v>11</v>
      </c>
      <c r="E7166" t="s">
        <v>79</v>
      </c>
      <c r="F7166" t="s">
        <v>68</v>
      </c>
      <c r="G7166" t="str">
        <f t="shared" si="293"/>
        <v>008JOCKER</v>
      </c>
      <c r="H7166" s="5">
        <v>3550</v>
      </c>
      <c r="I7166" s="6">
        <v>2959.0814813631118</v>
      </c>
      <c r="J7166" s="5">
        <v>22400</v>
      </c>
      <c r="K7166" s="6">
        <f t="shared" si="292"/>
        <v>1.1996966025973301</v>
      </c>
    </row>
    <row r="7167" spans="1:11" hidden="1">
      <c r="A7167" s="4">
        <v>2026</v>
      </c>
      <c r="B7167">
        <v>14</v>
      </c>
      <c r="C7167" t="s">
        <v>54</v>
      </c>
      <c r="D7167" t="s">
        <v>11</v>
      </c>
      <c r="E7167" t="s">
        <v>79</v>
      </c>
      <c r="F7167" t="s">
        <v>61</v>
      </c>
      <c r="G7167" t="str">
        <f t="shared" si="293"/>
        <v>008LUMIA</v>
      </c>
      <c r="H7167" s="5">
        <v>3810</v>
      </c>
      <c r="I7167" s="6">
        <v>1796.5851851133182</v>
      </c>
      <c r="J7167" s="5">
        <v>13600</v>
      </c>
      <c r="K7167" s="6">
        <f t="shared" si="292"/>
        <v>2.1206898685183622</v>
      </c>
    </row>
    <row r="7168" spans="1:11" hidden="1">
      <c r="A7168" s="4">
        <v>2026</v>
      </c>
      <c r="B7168">
        <v>14</v>
      </c>
      <c r="C7168" t="s">
        <v>54</v>
      </c>
      <c r="D7168" t="s">
        <v>11</v>
      </c>
      <c r="E7168" t="s">
        <v>82</v>
      </c>
      <c r="F7168" t="s">
        <v>83</v>
      </c>
      <c r="G7168" t="str">
        <f t="shared" si="293"/>
        <v>010COOLDOWN</v>
      </c>
      <c r="H7168" s="5">
        <v>3000</v>
      </c>
      <c r="I7168" s="6">
        <v>1912.3542857142861</v>
      </c>
      <c r="J7168" s="5">
        <v>16320</v>
      </c>
      <c r="K7168" s="6">
        <f t="shared" si="292"/>
        <v>1.5687469745594058</v>
      </c>
    </row>
    <row r="7169" spans="1:11" hidden="1">
      <c r="A7169" s="4">
        <v>2026</v>
      </c>
      <c r="B7169">
        <v>14</v>
      </c>
      <c r="C7169" t="s">
        <v>54</v>
      </c>
      <c r="D7169" t="s">
        <v>11</v>
      </c>
      <c r="E7169" t="s">
        <v>82</v>
      </c>
      <c r="F7169" t="s">
        <v>84</v>
      </c>
      <c r="G7169" t="str">
        <f t="shared" si="293"/>
        <v>010VIOLET HILL</v>
      </c>
      <c r="H7169" s="5">
        <v>4020</v>
      </c>
      <c r="I7169" s="6">
        <v>2812.2857142428579</v>
      </c>
      <c r="J7169" s="5">
        <v>20000</v>
      </c>
      <c r="K7169" s="6">
        <f t="shared" si="292"/>
        <v>1.4294422432403142</v>
      </c>
    </row>
    <row r="7170" spans="1:11" hidden="1">
      <c r="A7170" s="4">
        <v>2026</v>
      </c>
      <c r="B7170">
        <v>14</v>
      </c>
      <c r="C7170" t="s">
        <v>54</v>
      </c>
      <c r="D7170" t="s">
        <v>11</v>
      </c>
      <c r="E7170" t="s">
        <v>85</v>
      </c>
      <c r="F7170" t="s">
        <v>86</v>
      </c>
      <c r="G7170" t="str">
        <f t="shared" si="293"/>
        <v>011BRIGHTON</v>
      </c>
      <c r="H7170" s="5">
        <v>3125</v>
      </c>
      <c r="I7170" s="6">
        <v>1768.8376470588223</v>
      </c>
      <c r="J7170" s="5">
        <v>12800</v>
      </c>
      <c r="K7170" s="6">
        <f t="shared" si="292"/>
        <v>1.7666969069751368</v>
      </c>
    </row>
    <row r="7171" spans="1:11" hidden="1">
      <c r="A7171" s="4">
        <v>2026</v>
      </c>
      <c r="B7171">
        <v>14</v>
      </c>
      <c r="C7171" t="s">
        <v>54</v>
      </c>
      <c r="D7171" t="s">
        <v>11</v>
      </c>
      <c r="E7171" t="s">
        <v>85</v>
      </c>
      <c r="F7171" t="s">
        <v>87</v>
      </c>
      <c r="G7171" t="str">
        <f t="shared" si="293"/>
        <v>011CANDLELIGHT</v>
      </c>
      <c r="H7171" s="5">
        <v>3200</v>
      </c>
      <c r="I7171" s="6">
        <v>2263.7999998868127</v>
      </c>
      <c r="J7171" s="5">
        <v>17920</v>
      </c>
      <c r="K7171" s="6">
        <f t="shared" si="292"/>
        <v>1.4135524340312733</v>
      </c>
    </row>
    <row r="7172" spans="1:11" hidden="1">
      <c r="A7172" s="4">
        <v>2026</v>
      </c>
      <c r="B7172">
        <v>14</v>
      </c>
      <c r="C7172" t="s">
        <v>54</v>
      </c>
      <c r="D7172" t="s">
        <v>11</v>
      </c>
      <c r="E7172" t="s">
        <v>85</v>
      </c>
      <c r="F7172" t="s">
        <v>88</v>
      </c>
      <c r="G7172" t="str">
        <f t="shared" si="293"/>
        <v>011CAYENNE</v>
      </c>
      <c r="H7172" s="5">
        <v>1290</v>
      </c>
      <c r="I7172" s="6">
        <v>994.97117647058747</v>
      </c>
      <c r="J7172" s="5">
        <v>7200</v>
      </c>
      <c r="K7172" s="6">
        <f t="shared" si="292"/>
        <v>1.2965199701321539</v>
      </c>
    </row>
    <row r="7173" spans="1:11" hidden="1">
      <c r="A7173" s="4">
        <v>2026</v>
      </c>
      <c r="B7173">
        <v>14</v>
      </c>
      <c r="C7173" t="s">
        <v>54</v>
      </c>
      <c r="D7173" t="s">
        <v>11</v>
      </c>
      <c r="E7173" t="s">
        <v>85</v>
      </c>
      <c r="F7173" t="s">
        <v>61</v>
      </c>
      <c r="G7173" t="str">
        <f t="shared" si="293"/>
        <v>011LUMIA</v>
      </c>
      <c r="H7173" s="5">
        <v>1860</v>
      </c>
      <c r="I7173" s="6">
        <v>994.97117647058747</v>
      </c>
      <c r="J7173" s="5">
        <v>7920</v>
      </c>
      <c r="K7173" s="6">
        <f t="shared" si="292"/>
        <v>1.8694008871672916</v>
      </c>
    </row>
    <row r="7174" spans="1:11" hidden="1">
      <c r="A7174" s="4">
        <v>2026</v>
      </c>
      <c r="B7174">
        <v>14</v>
      </c>
      <c r="C7174" t="s">
        <v>54</v>
      </c>
      <c r="D7174" t="s">
        <v>11</v>
      </c>
      <c r="E7174" t="s">
        <v>85</v>
      </c>
      <c r="F7174" t="s">
        <v>89</v>
      </c>
      <c r="G7174" t="str">
        <f t="shared" si="293"/>
        <v>011STARDUST</v>
      </c>
      <c r="H7174" s="5">
        <v>2850</v>
      </c>
      <c r="I7174" s="6">
        <v>2263.7999998868127</v>
      </c>
      <c r="J7174" s="5">
        <v>17920</v>
      </c>
      <c r="K7174" s="6">
        <f t="shared" si="292"/>
        <v>1.2589451365591027</v>
      </c>
    </row>
    <row r="7175" spans="1:11" hidden="1">
      <c r="A7175" s="4">
        <v>2026</v>
      </c>
      <c r="B7175">
        <v>14</v>
      </c>
      <c r="C7175" t="s">
        <v>54</v>
      </c>
      <c r="D7175" t="s">
        <v>11</v>
      </c>
      <c r="E7175" t="s">
        <v>90</v>
      </c>
      <c r="F7175" t="s">
        <v>67</v>
      </c>
      <c r="G7175" t="str">
        <f t="shared" si="293"/>
        <v>012DEEP PURPLE</v>
      </c>
      <c r="H7175" s="5">
        <v>14340</v>
      </c>
      <c r="I7175" s="6">
        <v>6727.0499997982479</v>
      </c>
      <c r="J7175" s="5">
        <v>49210</v>
      </c>
      <c r="K7175" s="6">
        <f t="shared" ref="K7175:K7238" si="295">+H7175/I7175</f>
        <v>2.1316921979812955</v>
      </c>
    </row>
    <row r="7176" spans="1:11" hidden="1">
      <c r="A7176" s="4">
        <v>2026</v>
      </c>
      <c r="B7176">
        <v>14</v>
      </c>
      <c r="C7176" t="s">
        <v>54</v>
      </c>
      <c r="D7176" t="s">
        <v>11</v>
      </c>
      <c r="E7176" t="s">
        <v>90</v>
      </c>
      <c r="F7176" t="s">
        <v>60</v>
      </c>
      <c r="G7176" t="str">
        <f t="shared" si="293"/>
        <v>012LIGHT HOUSE</v>
      </c>
      <c r="H7176" s="5">
        <v>1860</v>
      </c>
      <c r="I7176" s="6">
        <v>994.95</v>
      </c>
      <c r="J7176" s="5">
        <v>7200</v>
      </c>
      <c r="K7176" s="6">
        <f t="shared" si="295"/>
        <v>1.8694406754108246</v>
      </c>
    </row>
    <row r="7177" spans="1:11" hidden="1">
      <c r="A7177" s="4">
        <v>2026</v>
      </c>
      <c r="B7177">
        <v>14</v>
      </c>
      <c r="C7177" t="s">
        <v>54</v>
      </c>
      <c r="D7177" t="s">
        <v>11</v>
      </c>
      <c r="E7177" t="s">
        <v>91</v>
      </c>
      <c r="F7177" t="s">
        <v>92</v>
      </c>
      <c r="G7177" t="str">
        <f t="shared" si="293"/>
        <v>013COUNTRY BLUES</v>
      </c>
      <c r="H7177" s="5">
        <v>1140</v>
      </c>
      <c r="I7177" s="6">
        <v>831.6</v>
      </c>
      <c r="J7177" s="5">
        <v>6300</v>
      </c>
      <c r="K7177" s="6">
        <f t="shared" si="295"/>
        <v>1.3708513708513708</v>
      </c>
    </row>
    <row r="7178" spans="1:11" hidden="1">
      <c r="A7178" s="4">
        <v>2026</v>
      </c>
      <c r="B7178">
        <v>14</v>
      </c>
      <c r="C7178" t="s">
        <v>54</v>
      </c>
      <c r="D7178" t="s">
        <v>11</v>
      </c>
      <c r="E7178" t="s">
        <v>91</v>
      </c>
      <c r="F7178" t="s">
        <v>93</v>
      </c>
      <c r="G7178" t="str">
        <f t="shared" si="293"/>
        <v>013LORRAINE</v>
      </c>
      <c r="H7178" s="5">
        <v>3700</v>
      </c>
      <c r="I7178" s="6">
        <v>1267.2</v>
      </c>
      <c r="J7178" s="5">
        <v>9600</v>
      </c>
      <c r="K7178" s="6">
        <f t="shared" si="295"/>
        <v>2.9198232323232323</v>
      </c>
    </row>
    <row r="7179" spans="1:11" hidden="1">
      <c r="A7179" s="4">
        <v>2026</v>
      </c>
      <c r="B7179">
        <v>14</v>
      </c>
      <c r="C7179" t="s">
        <v>54</v>
      </c>
      <c r="D7179" t="s">
        <v>11</v>
      </c>
      <c r="E7179" t="s">
        <v>91</v>
      </c>
      <c r="F7179" t="s">
        <v>61</v>
      </c>
      <c r="G7179" t="str">
        <f t="shared" si="293"/>
        <v>013LUMIA</v>
      </c>
      <c r="H7179" s="5">
        <v>750</v>
      </c>
      <c r="I7179" s="6">
        <v>316.8</v>
      </c>
      <c r="J7179" s="5">
        <v>2400</v>
      </c>
      <c r="K7179" s="6">
        <f t="shared" si="295"/>
        <v>2.3674242424242422</v>
      </c>
    </row>
    <row r="7180" spans="1:11" hidden="1">
      <c r="A7180" s="4">
        <v>2026</v>
      </c>
      <c r="B7180">
        <v>14</v>
      </c>
      <c r="C7180" t="s">
        <v>54</v>
      </c>
      <c r="D7180" t="s">
        <v>11</v>
      </c>
      <c r="E7180" t="s">
        <v>91</v>
      </c>
      <c r="F7180" t="s">
        <v>74</v>
      </c>
      <c r="G7180" t="str">
        <f t="shared" si="293"/>
        <v>013VENDELA</v>
      </c>
      <c r="H7180" s="5">
        <v>12870</v>
      </c>
      <c r="I7180" s="6">
        <v>3603.6</v>
      </c>
      <c r="J7180" s="5">
        <v>27296</v>
      </c>
      <c r="K7180" s="6">
        <f t="shared" si="295"/>
        <v>3.5714285714285716</v>
      </c>
    </row>
    <row r="7181" spans="1:11" hidden="1">
      <c r="A7181" s="4">
        <v>2026</v>
      </c>
      <c r="B7181">
        <v>14</v>
      </c>
      <c r="C7181" t="s">
        <v>54</v>
      </c>
      <c r="D7181" t="s">
        <v>11</v>
      </c>
      <c r="E7181" t="s">
        <v>23</v>
      </c>
      <c r="F7181" t="s">
        <v>89</v>
      </c>
      <c r="G7181" t="str">
        <f t="shared" si="293"/>
        <v>014STARDUST</v>
      </c>
      <c r="H7181" s="5">
        <v>4875</v>
      </c>
      <c r="I7181" s="6">
        <v>3682.8</v>
      </c>
      <c r="J7181" s="5">
        <v>27900</v>
      </c>
      <c r="K7181" s="6">
        <f t="shared" si="295"/>
        <v>1.3237210817855978</v>
      </c>
    </row>
    <row r="7182" spans="1:11" hidden="1">
      <c r="A7182" s="4">
        <v>2026</v>
      </c>
      <c r="B7182">
        <v>14</v>
      </c>
      <c r="C7182" t="s">
        <v>54</v>
      </c>
      <c r="D7182" t="s">
        <v>11</v>
      </c>
      <c r="E7182" t="s">
        <v>25</v>
      </c>
      <c r="F7182" t="s">
        <v>68</v>
      </c>
      <c r="G7182" t="str">
        <f t="shared" si="293"/>
        <v>015JOCKER</v>
      </c>
      <c r="H7182" s="5">
        <v>4100</v>
      </c>
      <c r="I7182" s="6">
        <v>2376</v>
      </c>
      <c r="J7182" s="5">
        <v>18000</v>
      </c>
      <c r="K7182" s="6">
        <f t="shared" si="295"/>
        <v>1.7255892255892256</v>
      </c>
    </row>
    <row r="7183" spans="1:11" hidden="1">
      <c r="A7183" s="4">
        <v>2026</v>
      </c>
      <c r="B7183">
        <v>14</v>
      </c>
      <c r="C7183" t="s">
        <v>54</v>
      </c>
      <c r="D7183" t="s">
        <v>11</v>
      </c>
      <c r="E7183" t="s">
        <v>27</v>
      </c>
      <c r="F7183" t="s">
        <v>94</v>
      </c>
      <c r="G7183" t="str">
        <f t="shared" si="293"/>
        <v>016DREAM IN PEACH</v>
      </c>
      <c r="H7183" s="5">
        <v>1620</v>
      </c>
      <c r="I7183" s="6">
        <v>950.4</v>
      </c>
      <c r="J7183" s="5">
        <v>7200</v>
      </c>
      <c r="K7183" s="6">
        <f t="shared" si="295"/>
        <v>1.7045454545454546</v>
      </c>
    </row>
    <row r="7184" spans="1:11" hidden="1">
      <c r="A7184" s="4">
        <v>2026</v>
      </c>
      <c r="B7184">
        <v>14</v>
      </c>
      <c r="C7184" t="s">
        <v>54</v>
      </c>
      <c r="D7184" t="s">
        <v>11</v>
      </c>
      <c r="E7184" t="s">
        <v>27</v>
      </c>
      <c r="F7184" t="s">
        <v>95</v>
      </c>
      <c r="G7184" t="str">
        <f t="shared" si="293"/>
        <v>016NINA</v>
      </c>
      <c r="H7184" s="5">
        <v>2875</v>
      </c>
      <c r="I7184" s="6">
        <v>1346.4</v>
      </c>
      <c r="J7184" s="5">
        <v>10200</v>
      </c>
      <c r="K7184" s="6">
        <f t="shared" si="295"/>
        <v>2.1353238265002967</v>
      </c>
    </row>
    <row r="7185" spans="1:11" hidden="1">
      <c r="A7185" s="4">
        <v>2026</v>
      </c>
      <c r="B7185">
        <v>14</v>
      </c>
      <c r="C7185" t="s">
        <v>54</v>
      </c>
      <c r="D7185" t="s">
        <v>11</v>
      </c>
      <c r="E7185" t="s">
        <v>30</v>
      </c>
      <c r="F7185" t="s">
        <v>81</v>
      </c>
      <c r="G7185" t="str">
        <f t="shared" si="293"/>
        <v>017FREEDOM</v>
      </c>
      <c r="H7185" s="5">
        <v>5670</v>
      </c>
      <c r="I7185" s="6">
        <v>2851.2</v>
      </c>
      <c r="J7185" s="5">
        <v>21600</v>
      </c>
      <c r="K7185" s="6">
        <f t="shared" si="295"/>
        <v>1.9886363636363638</v>
      </c>
    </row>
    <row r="7186" spans="1:11" hidden="1">
      <c r="A7186" s="4">
        <v>2026</v>
      </c>
      <c r="B7186">
        <v>14</v>
      </c>
      <c r="C7186" t="s">
        <v>54</v>
      </c>
      <c r="D7186" t="s">
        <v>11</v>
      </c>
      <c r="E7186" t="s">
        <v>30</v>
      </c>
      <c r="F7186" t="s">
        <v>73</v>
      </c>
      <c r="G7186" t="str">
        <f t="shared" si="293"/>
        <v>017GOLDFINCH</v>
      </c>
      <c r="H7186" s="5">
        <v>2300</v>
      </c>
      <c r="I7186" s="6">
        <v>2138.4</v>
      </c>
      <c r="J7186" s="5">
        <v>16200</v>
      </c>
      <c r="K7186" s="6">
        <f t="shared" si="295"/>
        <v>1.0755705200149643</v>
      </c>
    </row>
    <row r="7187" spans="1:11" hidden="1">
      <c r="A7187" s="4">
        <v>2026</v>
      </c>
      <c r="B7187">
        <v>14</v>
      </c>
      <c r="C7187" t="s">
        <v>54</v>
      </c>
      <c r="D7187" t="s">
        <v>11</v>
      </c>
      <c r="E7187" t="s">
        <v>32</v>
      </c>
      <c r="F7187" t="s">
        <v>86</v>
      </c>
      <c r="G7187" t="str">
        <f t="shared" si="293"/>
        <v>018BRIGHTON</v>
      </c>
      <c r="H7187" s="5">
        <v>1575</v>
      </c>
      <c r="I7187" s="6">
        <v>963.6</v>
      </c>
      <c r="J7187" s="5">
        <v>7570</v>
      </c>
      <c r="K7187" s="6">
        <f t="shared" si="295"/>
        <v>1.6344956413449563</v>
      </c>
    </row>
    <row r="7188" spans="1:11" hidden="1">
      <c r="A7188" s="4">
        <v>2026</v>
      </c>
      <c r="B7188">
        <v>14</v>
      </c>
      <c r="C7188" t="s">
        <v>54</v>
      </c>
      <c r="D7188" t="s">
        <v>11</v>
      </c>
      <c r="E7188" t="s">
        <v>35</v>
      </c>
      <c r="F7188" t="s">
        <v>86</v>
      </c>
      <c r="G7188" t="str">
        <f t="shared" si="293"/>
        <v>019BRIGHTON</v>
      </c>
      <c r="H7188" s="5">
        <v>7000</v>
      </c>
      <c r="I7188" s="6">
        <v>3168</v>
      </c>
      <c r="J7188" s="5">
        <v>24000</v>
      </c>
      <c r="K7188" s="6">
        <f t="shared" si="295"/>
        <v>2.2095959595959598</v>
      </c>
    </row>
    <row r="7189" spans="1:11" hidden="1">
      <c r="A7189" s="4">
        <v>2026</v>
      </c>
      <c r="B7189">
        <v>14</v>
      </c>
      <c r="C7189" t="s">
        <v>54</v>
      </c>
      <c r="D7189" t="s">
        <v>11</v>
      </c>
      <c r="E7189" t="s">
        <v>35</v>
      </c>
      <c r="F7189" t="s">
        <v>96</v>
      </c>
      <c r="G7189" t="str">
        <f t="shared" si="293"/>
        <v>019TABATHA</v>
      </c>
      <c r="H7189" s="5">
        <v>2190</v>
      </c>
      <c r="I7189" s="6">
        <v>1188</v>
      </c>
      <c r="J7189" s="5">
        <v>9000</v>
      </c>
      <c r="K7189" s="6">
        <f t="shared" si="295"/>
        <v>1.8434343434343434</v>
      </c>
    </row>
    <row r="7190" spans="1:11" hidden="1">
      <c r="A7190" s="4">
        <v>2026</v>
      </c>
      <c r="B7190">
        <v>14</v>
      </c>
      <c r="C7190" t="s">
        <v>54</v>
      </c>
      <c r="D7190" t="s">
        <v>11</v>
      </c>
      <c r="E7190" t="s">
        <v>36</v>
      </c>
      <c r="F7190" t="s">
        <v>86</v>
      </c>
      <c r="G7190" t="str">
        <f t="shared" si="293"/>
        <v>020BRIGHTON</v>
      </c>
      <c r="H7190" s="5">
        <v>4450</v>
      </c>
      <c r="I7190" s="6">
        <v>2732.4</v>
      </c>
      <c r="J7190" s="5">
        <v>20700</v>
      </c>
      <c r="K7190" s="6">
        <f t="shared" si="295"/>
        <v>1.6286048894744547</v>
      </c>
    </row>
    <row r="7191" spans="1:11" hidden="1">
      <c r="A7191" s="4">
        <v>2026</v>
      </c>
      <c r="B7191">
        <v>14</v>
      </c>
      <c r="C7191" t="s">
        <v>54</v>
      </c>
      <c r="D7191" t="s">
        <v>11</v>
      </c>
      <c r="E7191" t="s">
        <v>36</v>
      </c>
      <c r="F7191" t="s">
        <v>97</v>
      </c>
      <c r="G7191" t="str">
        <f t="shared" si="293"/>
        <v>020TYCOON</v>
      </c>
      <c r="H7191" s="5">
        <v>1260</v>
      </c>
      <c r="I7191" s="6">
        <v>673.2</v>
      </c>
      <c r="J7191" s="5">
        <v>5100</v>
      </c>
      <c r="K7191" s="6">
        <f t="shared" si="295"/>
        <v>1.8716577540106951</v>
      </c>
    </row>
    <row r="7192" spans="1:11" hidden="1">
      <c r="A7192" s="4">
        <v>2026</v>
      </c>
      <c r="B7192">
        <v>14</v>
      </c>
      <c r="C7192" t="s">
        <v>54</v>
      </c>
      <c r="D7192" t="s">
        <v>11</v>
      </c>
      <c r="E7192" t="s">
        <v>38</v>
      </c>
      <c r="F7192" t="s">
        <v>98</v>
      </c>
      <c r="G7192" t="str">
        <f t="shared" si="293"/>
        <v>021SHOW GIRL</v>
      </c>
      <c r="H7192" s="5">
        <v>1525</v>
      </c>
      <c r="I7192" s="6">
        <v>1100.4749999999999</v>
      </c>
      <c r="J7192" s="5">
        <v>8000</v>
      </c>
      <c r="K7192" s="6">
        <f t="shared" si="295"/>
        <v>1.3857652377382494</v>
      </c>
    </row>
    <row r="7193" spans="1:11" hidden="1">
      <c r="A7193" s="4">
        <v>2026</v>
      </c>
      <c r="B7193">
        <v>14</v>
      </c>
      <c r="C7193" t="s">
        <v>54</v>
      </c>
      <c r="D7193" t="s">
        <v>11</v>
      </c>
      <c r="E7193" t="s">
        <v>43</v>
      </c>
      <c r="F7193" t="s">
        <v>99</v>
      </c>
      <c r="G7193" t="str">
        <f t="shared" si="293"/>
        <v>022CORAL REEF</v>
      </c>
      <c r="H7193" s="5">
        <v>2675</v>
      </c>
      <c r="I7193" s="6">
        <v>1287</v>
      </c>
      <c r="J7193" s="5">
        <v>9400</v>
      </c>
      <c r="K7193" s="6">
        <f t="shared" si="295"/>
        <v>2.0784770784770785</v>
      </c>
    </row>
    <row r="7194" spans="1:11" hidden="1">
      <c r="A7194" s="4">
        <v>2026</v>
      </c>
      <c r="B7194">
        <v>14</v>
      </c>
      <c r="C7194" t="s">
        <v>54</v>
      </c>
      <c r="D7194" t="s">
        <v>11</v>
      </c>
      <c r="E7194" t="s">
        <v>100</v>
      </c>
      <c r="F7194" t="s">
        <v>70</v>
      </c>
      <c r="G7194" t="str">
        <f t="shared" ref="G7194:G7256" si="296">+E7194&amp;F7194</f>
        <v>023COTOPAXI</v>
      </c>
      <c r="H7194" s="5">
        <v>6570</v>
      </c>
      <c r="I7194" s="6">
        <v>2641.14</v>
      </c>
      <c r="J7194" s="5">
        <v>19200</v>
      </c>
      <c r="K7194" s="6">
        <f t="shared" si="295"/>
        <v>2.4875621890547266</v>
      </c>
    </row>
    <row r="7195" spans="1:11" hidden="1">
      <c r="A7195" s="4">
        <v>2026</v>
      </c>
      <c r="B7195">
        <v>14</v>
      </c>
      <c r="C7195" t="s">
        <v>54</v>
      </c>
      <c r="D7195" t="s">
        <v>11</v>
      </c>
      <c r="E7195" t="s">
        <v>100</v>
      </c>
      <c r="F7195" t="s">
        <v>101</v>
      </c>
      <c r="G7195" t="str">
        <f t="shared" si="296"/>
        <v>023FRUTTETO</v>
      </c>
      <c r="H7195" s="5">
        <v>7830</v>
      </c>
      <c r="I7195" s="6">
        <v>2641.14</v>
      </c>
      <c r="J7195" s="5">
        <v>19200</v>
      </c>
      <c r="K7195" s="6">
        <f t="shared" si="295"/>
        <v>2.9646289102433041</v>
      </c>
    </row>
    <row r="7196" spans="1:11" hidden="1">
      <c r="A7196" s="4">
        <v>2026</v>
      </c>
      <c r="B7196">
        <v>14</v>
      </c>
      <c r="C7196" t="s">
        <v>54</v>
      </c>
      <c r="D7196" t="s">
        <v>11</v>
      </c>
      <c r="E7196" t="s">
        <v>102</v>
      </c>
      <c r="F7196" t="s">
        <v>70</v>
      </c>
      <c r="G7196" t="str">
        <f t="shared" si="296"/>
        <v>024COTOPAXI</v>
      </c>
      <c r="H7196" s="5">
        <v>3150</v>
      </c>
      <c r="I7196" s="6">
        <v>1430.6174906250001</v>
      </c>
      <c r="J7196" s="5">
        <v>10400</v>
      </c>
      <c r="K7196" s="6">
        <f t="shared" si="295"/>
        <v>2.2018464199146943</v>
      </c>
    </row>
    <row r="7197" spans="1:11" hidden="1">
      <c r="A7197" s="4">
        <v>2026</v>
      </c>
      <c r="B7197">
        <v>14</v>
      </c>
      <c r="C7197" t="s">
        <v>54</v>
      </c>
      <c r="D7197" t="s">
        <v>11</v>
      </c>
      <c r="E7197" t="s">
        <v>102</v>
      </c>
      <c r="F7197" t="s">
        <v>64</v>
      </c>
      <c r="G7197" t="str">
        <f t="shared" si="296"/>
        <v>024SWEETNESS</v>
      </c>
      <c r="H7197" s="5">
        <v>2100</v>
      </c>
      <c r="I7197" s="6">
        <v>1430.6175000000001</v>
      </c>
      <c r="J7197" s="5">
        <v>10400</v>
      </c>
      <c r="K7197" s="6">
        <f t="shared" si="295"/>
        <v>1.467897603657162</v>
      </c>
    </row>
    <row r="7198" spans="1:11" hidden="1">
      <c r="A7198" s="4">
        <v>2026</v>
      </c>
      <c r="B7198">
        <v>14</v>
      </c>
      <c r="C7198" t="s">
        <v>54</v>
      </c>
      <c r="D7198" t="s">
        <v>11</v>
      </c>
      <c r="E7198" t="s">
        <v>102</v>
      </c>
      <c r="F7198" t="s">
        <v>97</v>
      </c>
      <c r="G7198" t="str">
        <f t="shared" si="296"/>
        <v>024TYCOON</v>
      </c>
      <c r="H7198" s="5">
        <v>3900</v>
      </c>
      <c r="I7198" s="6">
        <v>2861.2350000000001</v>
      </c>
      <c r="J7198" s="5">
        <v>20800</v>
      </c>
      <c r="K7198" s="6">
        <f t="shared" si="295"/>
        <v>1.3630477748245076</v>
      </c>
    </row>
    <row r="7199" spans="1:11" hidden="1">
      <c r="A7199" s="4">
        <v>2026</v>
      </c>
      <c r="B7199">
        <v>14</v>
      </c>
      <c r="C7199" t="s">
        <v>54</v>
      </c>
      <c r="D7199" t="s">
        <v>11</v>
      </c>
      <c r="E7199" t="s">
        <v>103</v>
      </c>
      <c r="F7199" t="s">
        <v>104</v>
      </c>
      <c r="G7199" t="str">
        <f t="shared" si="296"/>
        <v>025PINK MONDIAL</v>
      </c>
      <c r="H7199" s="5">
        <v>4075</v>
      </c>
      <c r="I7199" s="6">
        <v>3071.9505625000002</v>
      </c>
      <c r="J7199" s="5">
        <v>22400</v>
      </c>
      <c r="K7199" s="6">
        <f t="shared" si="295"/>
        <v>1.3265187434148364</v>
      </c>
    </row>
    <row r="7200" spans="1:11" hidden="1">
      <c r="A7200" s="4">
        <v>2026</v>
      </c>
      <c r="B7200">
        <v>14</v>
      </c>
      <c r="C7200" t="s">
        <v>54</v>
      </c>
      <c r="D7200" t="s">
        <v>11</v>
      </c>
      <c r="E7200" t="s">
        <v>45</v>
      </c>
      <c r="F7200" t="s">
        <v>105</v>
      </c>
      <c r="G7200" t="str">
        <f t="shared" si="296"/>
        <v>026LOLA</v>
      </c>
      <c r="H7200" s="5">
        <v>6125</v>
      </c>
      <c r="I7200" s="6">
        <v>2852.5250000000001</v>
      </c>
      <c r="J7200" s="5">
        <v>20800</v>
      </c>
      <c r="K7200" s="6">
        <f t="shared" si="295"/>
        <v>2.1472204450443027</v>
      </c>
    </row>
    <row r="7201" spans="1:11" hidden="1">
      <c r="A7201" s="4">
        <v>2026</v>
      </c>
      <c r="B7201">
        <v>14</v>
      </c>
      <c r="C7201" t="s">
        <v>54</v>
      </c>
      <c r="D7201" t="s">
        <v>11</v>
      </c>
      <c r="E7201" t="s">
        <v>45</v>
      </c>
      <c r="F7201" t="s">
        <v>106</v>
      </c>
      <c r="G7201" t="str">
        <f t="shared" si="296"/>
        <v>026PALOMA</v>
      </c>
      <c r="H7201" s="5">
        <v>4950</v>
      </c>
      <c r="I7201" s="6">
        <v>2852.5250000000001</v>
      </c>
      <c r="J7201" s="5">
        <v>20800</v>
      </c>
      <c r="K7201" s="6">
        <f t="shared" si="295"/>
        <v>1.7353046861990691</v>
      </c>
    </row>
    <row r="7202" spans="1:11" hidden="1">
      <c r="A7202" s="4">
        <v>2026</v>
      </c>
      <c r="B7202">
        <v>14</v>
      </c>
      <c r="C7202" t="s">
        <v>54</v>
      </c>
      <c r="D7202" t="s">
        <v>11</v>
      </c>
      <c r="E7202" t="s">
        <v>107</v>
      </c>
      <c r="F7202" t="s">
        <v>108</v>
      </c>
      <c r="G7202" t="str">
        <f t="shared" si="296"/>
        <v>027SATISFACTION</v>
      </c>
      <c r="H7202" s="5">
        <v>4830</v>
      </c>
      <c r="I7202" s="6">
        <v>2633.1</v>
      </c>
      <c r="J7202" s="5">
        <v>19200</v>
      </c>
      <c r="K7202" s="6">
        <f t="shared" si="295"/>
        <v>1.8343397516235616</v>
      </c>
    </row>
    <row r="7203" spans="1:11" hidden="1">
      <c r="A7203" s="4">
        <v>2026</v>
      </c>
      <c r="B7203">
        <v>14</v>
      </c>
      <c r="C7203" t="s">
        <v>54</v>
      </c>
      <c r="D7203" t="s">
        <v>11</v>
      </c>
      <c r="E7203" t="s">
        <v>107</v>
      </c>
      <c r="F7203" t="s">
        <v>109</v>
      </c>
      <c r="G7203" t="str">
        <f t="shared" si="296"/>
        <v>027TIFFANY</v>
      </c>
      <c r="H7203" s="5">
        <v>4350</v>
      </c>
      <c r="I7203" s="6">
        <v>2633.1</v>
      </c>
      <c r="J7203" s="5">
        <v>19200</v>
      </c>
      <c r="K7203" s="6">
        <f t="shared" si="295"/>
        <v>1.6520451179218412</v>
      </c>
    </row>
    <row r="7204" spans="1:11" hidden="1">
      <c r="A7204" s="4">
        <v>2026</v>
      </c>
      <c r="B7204">
        <v>14</v>
      </c>
      <c r="C7204" t="s">
        <v>54</v>
      </c>
      <c r="D7204" t="s">
        <v>11</v>
      </c>
      <c r="E7204" t="s">
        <v>110</v>
      </c>
      <c r="F7204" t="s">
        <v>70</v>
      </c>
      <c r="G7204" t="str">
        <f t="shared" si="296"/>
        <v>028COTOPAXI</v>
      </c>
      <c r="H7204" s="5">
        <v>5340</v>
      </c>
      <c r="I7204" s="6">
        <v>2852.5250000000001</v>
      </c>
      <c r="J7204" s="5">
        <v>20800</v>
      </c>
      <c r="K7204" s="6">
        <f t="shared" si="295"/>
        <v>1.8720256614753594</v>
      </c>
    </row>
    <row r="7205" spans="1:11" hidden="1">
      <c r="A7205" s="4">
        <v>2026</v>
      </c>
      <c r="B7205">
        <v>14</v>
      </c>
      <c r="C7205" t="s">
        <v>54</v>
      </c>
      <c r="D7205" t="s">
        <v>11</v>
      </c>
      <c r="E7205" t="s">
        <v>110</v>
      </c>
      <c r="F7205" t="s">
        <v>67</v>
      </c>
      <c r="G7205" t="str">
        <f t="shared" si="296"/>
        <v>028DEEP PURPLE</v>
      </c>
      <c r="H7205" s="5">
        <v>7080</v>
      </c>
      <c r="I7205" s="6">
        <v>2852.5250000000001</v>
      </c>
      <c r="J7205" s="5">
        <v>20800</v>
      </c>
      <c r="K7205" s="6">
        <f t="shared" si="295"/>
        <v>2.4820115511695779</v>
      </c>
    </row>
    <row r="7206" spans="1:11" hidden="1">
      <c r="A7206" s="4">
        <v>2026</v>
      </c>
      <c r="B7206">
        <v>14</v>
      </c>
      <c r="C7206" t="s">
        <v>54</v>
      </c>
      <c r="D7206" t="s">
        <v>11</v>
      </c>
      <c r="E7206" t="s">
        <v>111</v>
      </c>
      <c r="F7206" t="s">
        <v>112</v>
      </c>
      <c r="G7206" t="str">
        <f t="shared" si="296"/>
        <v>029PINK FLOYD</v>
      </c>
      <c r="H7206" s="5">
        <v>4350</v>
      </c>
      <c r="I7206" s="6">
        <v>3071.95</v>
      </c>
      <c r="J7206" s="5">
        <v>22400</v>
      </c>
      <c r="K7206" s="6">
        <f t="shared" si="295"/>
        <v>1.4160386725044354</v>
      </c>
    </row>
    <row r="7207" spans="1:11" hidden="1">
      <c r="A7207" s="4">
        <v>2026</v>
      </c>
      <c r="B7207">
        <v>14</v>
      </c>
      <c r="C7207" t="s">
        <v>54</v>
      </c>
      <c r="D7207" t="s">
        <v>11</v>
      </c>
      <c r="E7207" t="s">
        <v>47</v>
      </c>
      <c r="F7207" t="s">
        <v>57</v>
      </c>
      <c r="G7207" t="str">
        <f t="shared" si="296"/>
        <v>030EXPLORER</v>
      </c>
      <c r="H7207" s="5">
        <v>3575</v>
      </c>
      <c r="I7207" s="6">
        <v>1645.6875</v>
      </c>
      <c r="J7207" s="5">
        <v>12000</v>
      </c>
      <c r="K7207" s="6">
        <f t="shared" si="295"/>
        <v>2.1723443849455015</v>
      </c>
    </row>
    <row r="7208" spans="1:11" hidden="1">
      <c r="A7208" s="4">
        <v>2026</v>
      </c>
      <c r="B7208">
        <v>15</v>
      </c>
      <c r="C7208" t="s">
        <v>10</v>
      </c>
      <c r="D7208" t="s">
        <v>11</v>
      </c>
      <c r="E7208" t="s">
        <v>12</v>
      </c>
      <c r="F7208" t="s">
        <v>13</v>
      </c>
      <c r="G7208" t="str">
        <f t="shared" si="296"/>
        <v>002SOMERSET</v>
      </c>
      <c r="H7208" s="5">
        <v>6420</v>
      </c>
      <c r="I7208" s="6">
        <v>4121.4642855494085</v>
      </c>
      <c r="J7208" s="5">
        <v>31200</v>
      </c>
      <c r="K7208" s="6">
        <f t="shared" si="295"/>
        <v>1.5576988068317537</v>
      </c>
    </row>
    <row r="7209" spans="1:11" hidden="1">
      <c r="A7209" s="4">
        <v>2026</v>
      </c>
      <c r="B7209">
        <v>15</v>
      </c>
      <c r="C7209" t="s">
        <v>10</v>
      </c>
      <c r="D7209" t="s">
        <v>11</v>
      </c>
      <c r="E7209" t="s">
        <v>14</v>
      </c>
      <c r="F7209" t="s">
        <v>15</v>
      </c>
      <c r="G7209" t="str">
        <f t="shared" si="296"/>
        <v>004BELLINA</v>
      </c>
      <c r="H7209" s="5">
        <v>2475</v>
      </c>
      <c r="I7209" s="6">
        <v>1056.7857142434418</v>
      </c>
      <c r="J7209" s="5">
        <v>8000</v>
      </c>
      <c r="K7209" s="6">
        <f t="shared" si="295"/>
        <v>2.3420074350379205</v>
      </c>
    </row>
    <row r="7210" spans="1:11" hidden="1">
      <c r="A7210" s="4">
        <v>2026</v>
      </c>
      <c r="B7210">
        <v>15</v>
      </c>
      <c r="C7210" t="s">
        <v>10</v>
      </c>
      <c r="D7210" t="s">
        <v>11</v>
      </c>
      <c r="E7210" t="s">
        <v>16</v>
      </c>
      <c r="F7210" t="s">
        <v>17</v>
      </c>
      <c r="G7210" t="str">
        <f t="shared" si="296"/>
        <v>005ELBA</v>
      </c>
      <c r="H7210" s="5">
        <v>6510</v>
      </c>
      <c r="I7210" s="6">
        <v>2641.9642856076484</v>
      </c>
      <c r="J7210" s="5">
        <v>19996</v>
      </c>
      <c r="K7210" s="6">
        <f t="shared" si="295"/>
        <v>2.4640757013498797</v>
      </c>
    </row>
    <row r="7211" spans="1:11" hidden="1">
      <c r="A7211" s="4">
        <v>2026</v>
      </c>
      <c r="B7211">
        <v>15</v>
      </c>
      <c r="C7211" t="s">
        <v>10</v>
      </c>
      <c r="D7211" t="s">
        <v>11</v>
      </c>
      <c r="E7211" t="s">
        <v>16</v>
      </c>
      <c r="F7211" t="s">
        <v>18</v>
      </c>
      <c r="G7211" t="str">
        <f t="shared" si="296"/>
        <v>005HOT BUBBLES</v>
      </c>
      <c r="H7211" s="5">
        <v>1260</v>
      </c>
      <c r="I7211" s="6">
        <v>528.39285712153003</v>
      </c>
      <c r="J7211" s="5">
        <v>4000</v>
      </c>
      <c r="K7211" s="6">
        <f t="shared" si="295"/>
        <v>2.384589388403108</v>
      </c>
    </row>
    <row r="7212" spans="1:11" hidden="1">
      <c r="A7212" s="4">
        <v>2026</v>
      </c>
      <c r="B7212">
        <v>15</v>
      </c>
      <c r="C7212" t="s">
        <v>10</v>
      </c>
      <c r="D7212" t="s">
        <v>11</v>
      </c>
      <c r="E7212" t="s">
        <v>16</v>
      </c>
      <c r="F7212" t="s">
        <v>19</v>
      </c>
      <c r="G7212" t="str">
        <f t="shared" si="296"/>
        <v>005SUSPIRO</v>
      </c>
      <c r="H7212" s="5">
        <v>4710</v>
      </c>
      <c r="I7212" s="6">
        <v>1902.2142856375078</v>
      </c>
      <c r="J7212" s="5">
        <v>14400</v>
      </c>
      <c r="K7212" s="6">
        <f t="shared" si="295"/>
        <v>2.4760617326672487</v>
      </c>
    </row>
    <row r="7213" spans="1:11" hidden="1">
      <c r="A7213" s="4">
        <v>2026</v>
      </c>
      <c r="B7213">
        <v>15</v>
      </c>
      <c r="C7213" t="s">
        <v>10</v>
      </c>
      <c r="D7213" t="s">
        <v>11</v>
      </c>
      <c r="E7213" t="s">
        <v>20</v>
      </c>
      <c r="F7213" t="s">
        <v>21</v>
      </c>
      <c r="G7213" t="str">
        <f t="shared" si="296"/>
        <v>007SNOW BUBBLES</v>
      </c>
      <c r="H7213" s="5">
        <v>880</v>
      </c>
      <c r="I7213" s="6">
        <v>634.05652706821195</v>
      </c>
      <c r="J7213" s="5">
        <v>4800</v>
      </c>
      <c r="K7213" s="6">
        <f t="shared" si="295"/>
        <v>1.3878888749383214</v>
      </c>
    </row>
    <row r="7214" spans="1:11" hidden="1">
      <c r="A7214" s="4">
        <v>2026</v>
      </c>
      <c r="B7214">
        <v>15</v>
      </c>
      <c r="C7214" t="s">
        <v>10</v>
      </c>
      <c r="D7214" t="s">
        <v>11</v>
      </c>
      <c r="E7214" t="s">
        <v>22</v>
      </c>
      <c r="F7214" t="s">
        <v>18</v>
      </c>
      <c r="G7214" t="str">
        <f t="shared" si="296"/>
        <v>009HOT BUBBLES</v>
      </c>
      <c r="H7214" s="5">
        <v>8600</v>
      </c>
      <c r="I7214" s="6">
        <v>4487.9999999102474</v>
      </c>
      <c r="J7214" s="5">
        <v>31740</v>
      </c>
      <c r="K7214" s="6">
        <f t="shared" si="295"/>
        <v>1.9162210339064139</v>
      </c>
    </row>
    <row r="7215" spans="1:11" hidden="1">
      <c r="A7215" s="4">
        <v>2026</v>
      </c>
      <c r="B7215">
        <v>15</v>
      </c>
      <c r="C7215" t="s">
        <v>10</v>
      </c>
      <c r="D7215" t="s">
        <v>11</v>
      </c>
      <c r="E7215" t="s">
        <v>23</v>
      </c>
      <c r="F7215" t="s">
        <v>24</v>
      </c>
      <c r="G7215" t="str">
        <f t="shared" si="296"/>
        <v>014FRUITY BUBBLES</v>
      </c>
      <c r="H7215" s="5">
        <v>5025</v>
      </c>
      <c r="I7215" s="6">
        <v>1702.8</v>
      </c>
      <c r="J7215" s="5">
        <v>12900</v>
      </c>
      <c r="K7215" s="6">
        <f t="shared" si="295"/>
        <v>2.9510218463706837</v>
      </c>
    </row>
    <row r="7216" spans="1:11" hidden="1">
      <c r="A7216" s="4">
        <v>2026</v>
      </c>
      <c r="B7216">
        <v>15</v>
      </c>
      <c r="C7216" t="s">
        <v>10</v>
      </c>
      <c r="D7216" t="s">
        <v>11</v>
      </c>
      <c r="E7216" t="s">
        <v>25</v>
      </c>
      <c r="F7216" t="s">
        <v>26</v>
      </c>
      <c r="G7216" t="str">
        <f t="shared" si="296"/>
        <v>015FELLINI</v>
      </c>
      <c r="H7216" s="5">
        <v>5020</v>
      </c>
      <c r="I7216" s="6">
        <v>3009.6</v>
      </c>
      <c r="J7216" s="5">
        <v>22800</v>
      </c>
      <c r="K7216" s="6">
        <f t="shared" si="295"/>
        <v>1.6679957469431155</v>
      </c>
    </row>
    <row r="7217" spans="1:11" hidden="1">
      <c r="A7217" s="4">
        <v>2026</v>
      </c>
      <c r="B7217">
        <v>15</v>
      </c>
      <c r="C7217" t="s">
        <v>10</v>
      </c>
      <c r="D7217" t="s">
        <v>11</v>
      </c>
      <c r="E7217" t="s">
        <v>27</v>
      </c>
      <c r="F7217" t="s">
        <v>28</v>
      </c>
      <c r="G7217" t="str">
        <f t="shared" si="296"/>
        <v>016GOOD PEACH</v>
      </c>
      <c r="H7217" s="5">
        <v>4500</v>
      </c>
      <c r="I7217" s="6">
        <v>1386</v>
      </c>
      <c r="J7217" s="5">
        <v>10500</v>
      </c>
      <c r="K7217" s="6">
        <f t="shared" si="295"/>
        <v>3.2467532467532467</v>
      </c>
    </row>
    <row r="7218" spans="1:11" hidden="1">
      <c r="A7218" s="4">
        <v>2026</v>
      </c>
      <c r="B7218">
        <v>15</v>
      </c>
      <c r="C7218" t="s">
        <v>10</v>
      </c>
      <c r="D7218" t="s">
        <v>11</v>
      </c>
      <c r="E7218" t="s">
        <v>27</v>
      </c>
      <c r="F7218" t="s">
        <v>29</v>
      </c>
      <c r="G7218" t="str">
        <f t="shared" si="296"/>
        <v>016GOOD YELLOW</v>
      </c>
      <c r="H7218" s="5">
        <v>4110</v>
      </c>
      <c r="I7218" s="6">
        <v>1386</v>
      </c>
      <c r="J7218" s="5">
        <v>10500</v>
      </c>
      <c r="K7218" s="6">
        <f t="shared" si="295"/>
        <v>2.9653679653679652</v>
      </c>
    </row>
    <row r="7219" spans="1:11" hidden="1">
      <c r="A7219" s="4">
        <v>2026</v>
      </c>
      <c r="B7219">
        <v>15</v>
      </c>
      <c r="C7219" t="s">
        <v>10</v>
      </c>
      <c r="D7219" t="s">
        <v>11</v>
      </c>
      <c r="E7219" t="s">
        <v>30</v>
      </c>
      <c r="F7219" t="s">
        <v>31</v>
      </c>
      <c r="G7219" t="str">
        <f t="shared" si="296"/>
        <v>017ORANGE STAR</v>
      </c>
      <c r="H7219" s="5">
        <v>2375</v>
      </c>
      <c r="I7219" s="6">
        <v>1029.5999999999999</v>
      </c>
      <c r="J7219" s="5">
        <v>7800</v>
      </c>
      <c r="K7219" s="6">
        <f t="shared" si="295"/>
        <v>2.3067210567210568</v>
      </c>
    </row>
    <row r="7220" spans="1:11" hidden="1">
      <c r="A7220" s="4">
        <v>2026</v>
      </c>
      <c r="B7220">
        <v>15</v>
      </c>
      <c r="C7220" t="s">
        <v>10</v>
      </c>
      <c r="D7220" t="s">
        <v>11</v>
      </c>
      <c r="E7220" t="s">
        <v>32</v>
      </c>
      <c r="F7220" t="s">
        <v>33</v>
      </c>
      <c r="G7220" t="str">
        <f t="shared" si="296"/>
        <v>018COSMO</v>
      </c>
      <c r="H7220" s="5">
        <v>2500</v>
      </c>
      <c r="I7220" s="6">
        <v>2653.2</v>
      </c>
      <c r="J7220" s="5">
        <v>20100</v>
      </c>
      <c r="K7220" s="6">
        <f t="shared" si="295"/>
        <v>0.94225840494497215</v>
      </c>
    </row>
    <row r="7221" spans="1:11" hidden="1">
      <c r="A7221" s="4">
        <v>2026</v>
      </c>
      <c r="B7221">
        <v>15</v>
      </c>
      <c r="C7221" t="s">
        <v>10</v>
      </c>
      <c r="D7221" t="s">
        <v>11</v>
      </c>
      <c r="E7221" t="s">
        <v>32</v>
      </c>
      <c r="F7221" t="s">
        <v>34</v>
      </c>
      <c r="G7221" t="str">
        <f t="shared" si="296"/>
        <v>018RUBICON</v>
      </c>
      <c r="H7221" s="5">
        <v>4020</v>
      </c>
      <c r="I7221" s="6">
        <v>1768.8</v>
      </c>
      <c r="J7221" s="5">
        <v>13400</v>
      </c>
      <c r="K7221" s="6">
        <f t="shared" si="295"/>
        <v>2.2727272727272729</v>
      </c>
    </row>
    <row r="7222" spans="1:11" hidden="1">
      <c r="A7222" s="4">
        <v>2026</v>
      </c>
      <c r="B7222">
        <v>15</v>
      </c>
      <c r="C7222" t="s">
        <v>10</v>
      </c>
      <c r="D7222" t="s">
        <v>11</v>
      </c>
      <c r="E7222" t="s">
        <v>35</v>
      </c>
      <c r="F7222" t="s">
        <v>15</v>
      </c>
      <c r="G7222" t="str">
        <f t="shared" si="296"/>
        <v>019BELLINA</v>
      </c>
      <c r="H7222" s="5">
        <v>1485</v>
      </c>
      <c r="I7222" s="6">
        <v>1029.5999999999999</v>
      </c>
      <c r="J7222" s="5">
        <v>7800</v>
      </c>
      <c r="K7222" s="6">
        <f t="shared" si="295"/>
        <v>1.4423076923076925</v>
      </c>
    </row>
    <row r="7223" spans="1:11" hidden="1">
      <c r="A7223" s="4">
        <v>2026</v>
      </c>
      <c r="B7223">
        <v>15</v>
      </c>
      <c r="C7223" t="s">
        <v>10</v>
      </c>
      <c r="D7223" t="s">
        <v>11</v>
      </c>
      <c r="E7223" t="s">
        <v>36</v>
      </c>
      <c r="F7223" t="s">
        <v>37</v>
      </c>
      <c r="G7223" t="str">
        <f t="shared" si="296"/>
        <v>020SUMMER DANCE</v>
      </c>
      <c r="H7223" s="5">
        <v>3475</v>
      </c>
      <c r="I7223" s="6">
        <v>1346.4</v>
      </c>
      <c r="J7223" s="5">
        <v>10200</v>
      </c>
      <c r="K7223" s="6">
        <f t="shared" si="295"/>
        <v>2.5809566250742719</v>
      </c>
    </row>
    <row r="7224" spans="1:11" hidden="1">
      <c r="A7224" s="4">
        <v>2026</v>
      </c>
      <c r="B7224">
        <v>15</v>
      </c>
      <c r="C7224" t="s">
        <v>10</v>
      </c>
      <c r="D7224" t="s">
        <v>11</v>
      </c>
      <c r="E7224" t="s">
        <v>38</v>
      </c>
      <c r="F7224" t="s">
        <v>39</v>
      </c>
      <c r="G7224" t="str">
        <f t="shared" si="296"/>
        <v>021ELEGANT ROSEVER</v>
      </c>
      <c r="H7224" s="5">
        <v>1440</v>
      </c>
      <c r="I7224" s="6">
        <v>440.18999062500001</v>
      </c>
      <c r="J7224" s="5">
        <v>3200</v>
      </c>
      <c r="K7224" s="6">
        <f t="shared" si="295"/>
        <v>3.2713147292500411</v>
      </c>
    </row>
    <row r="7225" spans="1:11" hidden="1">
      <c r="A7225" s="4">
        <v>2026</v>
      </c>
      <c r="B7225">
        <v>15</v>
      </c>
      <c r="C7225" t="s">
        <v>10</v>
      </c>
      <c r="D7225" t="s">
        <v>11</v>
      </c>
      <c r="E7225" t="s">
        <v>38</v>
      </c>
      <c r="F7225" t="s">
        <v>40</v>
      </c>
      <c r="G7225" t="str">
        <f t="shared" si="296"/>
        <v>021FLAME CLUB</v>
      </c>
      <c r="H7225" s="5">
        <v>1275</v>
      </c>
      <c r="I7225" s="6">
        <v>880.38</v>
      </c>
      <c r="J7225" s="5">
        <v>6400</v>
      </c>
      <c r="K7225" s="6">
        <f t="shared" si="295"/>
        <v>1.4482382607510393</v>
      </c>
    </row>
    <row r="7226" spans="1:11" hidden="1">
      <c r="A7226" s="4">
        <v>2026</v>
      </c>
      <c r="B7226">
        <v>15</v>
      </c>
      <c r="C7226" t="s">
        <v>10</v>
      </c>
      <c r="D7226" t="s">
        <v>11</v>
      </c>
      <c r="E7226" t="s">
        <v>38</v>
      </c>
      <c r="F7226" t="s">
        <v>41</v>
      </c>
      <c r="G7226" t="str">
        <f t="shared" si="296"/>
        <v>021KELLY</v>
      </c>
      <c r="H7226" s="5">
        <v>450</v>
      </c>
      <c r="I7226" s="6">
        <v>330.14249999999998</v>
      </c>
      <c r="J7226" s="5">
        <v>2400</v>
      </c>
      <c r="K7226" s="6">
        <f t="shared" si="295"/>
        <v>1.3630477748245076</v>
      </c>
    </row>
    <row r="7227" spans="1:11" hidden="1">
      <c r="A7227" s="4">
        <v>2026</v>
      </c>
      <c r="B7227">
        <v>15</v>
      </c>
      <c r="C7227" t="s">
        <v>10</v>
      </c>
      <c r="D7227" t="s">
        <v>11</v>
      </c>
      <c r="E7227" t="s">
        <v>38</v>
      </c>
      <c r="F7227" t="s">
        <v>42</v>
      </c>
      <c r="G7227" t="str">
        <f t="shared" si="296"/>
        <v>021LEILA</v>
      </c>
      <c r="H7227" s="5">
        <v>1000</v>
      </c>
      <c r="I7227" s="6">
        <v>770.33249999999998</v>
      </c>
      <c r="J7227" s="5">
        <v>5600</v>
      </c>
      <c r="K7227" s="6">
        <f t="shared" si="295"/>
        <v>1.2981407379281025</v>
      </c>
    </row>
    <row r="7228" spans="1:11" hidden="1">
      <c r="A7228" s="4">
        <v>2026</v>
      </c>
      <c r="B7228">
        <v>15</v>
      </c>
      <c r="C7228" t="s">
        <v>10</v>
      </c>
      <c r="D7228" t="s">
        <v>11</v>
      </c>
      <c r="E7228" t="s">
        <v>38</v>
      </c>
      <c r="F7228" t="s">
        <v>115</v>
      </c>
      <c r="G7228" t="str">
        <f t="shared" si="296"/>
        <v>021PISTACHIO KISS</v>
      </c>
      <c r="H7228" s="5">
        <v>50</v>
      </c>
      <c r="I7228" s="6">
        <v>880.38</v>
      </c>
      <c r="J7228" s="5">
        <v>6400</v>
      </c>
      <c r="K7228" s="6">
        <f t="shared" si="295"/>
        <v>5.6793657284354482E-2</v>
      </c>
    </row>
    <row r="7229" spans="1:11" hidden="1">
      <c r="A7229" s="4">
        <v>2026</v>
      </c>
      <c r="B7229">
        <v>15</v>
      </c>
      <c r="C7229" t="s">
        <v>10</v>
      </c>
      <c r="D7229" t="s">
        <v>11</v>
      </c>
      <c r="E7229" t="s">
        <v>38</v>
      </c>
      <c r="F7229" t="s">
        <v>21</v>
      </c>
      <c r="G7229" t="str">
        <f t="shared" si="296"/>
        <v>021SNOW BUBBLES</v>
      </c>
      <c r="H7229" s="5">
        <v>1220</v>
      </c>
      <c r="I7229" s="6">
        <v>1287.0000000000018</v>
      </c>
      <c r="J7229" s="5">
        <v>9400</v>
      </c>
      <c r="K7229" s="6">
        <f t="shared" si="295"/>
        <v>0.94794094794094663</v>
      </c>
    </row>
    <row r="7230" spans="1:11" hidden="1">
      <c r="A7230" s="4">
        <v>2026</v>
      </c>
      <c r="B7230">
        <v>15</v>
      </c>
      <c r="C7230" t="s">
        <v>10</v>
      </c>
      <c r="D7230" t="s">
        <v>11</v>
      </c>
      <c r="E7230" t="s">
        <v>43</v>
      </c>
      <c r="F7230" t="s">
        <v>24</v>
      </c>
      <c r="G7230" t="str">
        <f t="shared" si="296"/>
        <v>022FRUITY BUBBLES</v>
      </c>
      <c r="H7230" s="5">
        <v>5375</v>
      </c>
      <c r="I7230" s="6">
        <v>2641.14</v>
      </c>
      <c r="J7230" s="5">
        <v>19200</v>
      </c>
      <c r="K7230" s="6">
        <f t="shared" si="295"/>
        <v>2.0351060526893692</v>
      </c>
    </row>
    <row r="7231" spans="1:11" hidden="1">
      <c r="A7231" s="4">
        <v>2026</v>
      </c>
      <c r="B7231">
        <v>15</v>
      </c>
      <c r="C7231" t="s">
        <v>10</v>
      </c>
      <c r="D7231" t="s">
        <v>11</v>
      </c>
      <c r="E7231" t="s">
        <v>43</v>
      </c>
      <c r="F7231" t="s">
        <v>28</v>
      </c>
      <c r="G7231" t="str">
        <f t="shared" si="296"/>
        <v>022GOOD PEACH</v>
      </c>
      <c r="H7231" s="5">
        <v>2490</v>
      </c>
      <c r="I7231" s="6">
        <v>880.38</v>
      </c>
      <c r="J7231" s="5">
        <v>6400</v>
      </c>
      <c r="K7231" s="6">
        <f t="shared" si="295"/>
        <v>2.8283241327608533</v>
      </c>
    </row>
    <row r="7232" spans="1:11" hidden="1">
      <c r="A7232" s="4">
        <v>2026</v>
      </c>
      <c r="B7232">
        <v>15</v>
      </c>
      <c r="C7232" t="s">
        <v>10</v>
      </c>
      <c r="D7232" t="s">
        <v>11</v>
      </c>
      <c r="E7232" t="s">
        <v>43</v>
      </c>
      <c r="F7232" t="s">
        <v>44</v>
      </c>
      <c r="G7232" t="str">
        <f t="shared" si="296"/>
        <v>022MIRABEL</v>
      </c>
      <c r="H7232" s="5">
        <v>2560</v>
      </c>
      <c r="I7232" s="6">
        <v>880.38</v>
      </c>
      <c r="J7232" s="5">
        <v>6400</v>
      </c>
      <c r="K7232" s="6">
        <f t="shared" si="295"/>
        <v>2.9078352529589497</v>
      </c>
    </row>
    <row r="7233" spans="1:11" hidden="1">
      <c r="A7233" s="4">
        <v>2026</v>
      </c>
      <c r="B7233">
        <v>15</v>
      </c>
      <c r="C7233" t="s">
        <v>10</v>
      </c>
      <c r="D7233" t="s">
        <v>11</v>
      </c>
      <c r="E7233" t="s">
        <v>47</v>
      </c>
      <c r="F7233" t="s">
        <v>44</v>
      </c>
      <c r="G7233" t="str">
        <f t="shared" si="296"/>
        <v>030MIRABEL</v>
      </c>
      <c r="H7233" s="5">
        <v>5120</v>
      </c>
      <c r="I7233" s="6">
        <v>2413.6749943750001</v>
      </c>
      <c r="J7233" s="5">
        <v>17600</v>
      </c>
      <c r="K7233" s="6">
        <f t="shared" si="295"/>
        <v>2.1212466516544324</v>
      </c>
    </row>
    <row r="7234" spans="1:11" hidden="1">
      <c r="A7234" s="4">
        <v>2026</v>
      </c>
      <c r="B7234">
        <v>15</v>
      </c>
      <c r="C7234" t="s">
        <v>10</v>
      </c>
      <c r="D7234" t="s">
        <v>11</v>
      </c>
      <c r="E7234" t="s">
        <v>47</v>
      </c>
      <c r="F7234" t="s">
        <v>13</v>
      </c>
      <c r="G7234" t="str">
        <f t="shared" si="296"/>
        <v>030SOMERSET</v>
      </c>
      <c r="H7234" s="5">
        <v>3080</v>
      </c>
      <c r="I7234" s="6">
        <v>1645.6875</v>
      </c>
      <c r="J7234" s="5">
        <v>12000</v>
      </c>
      <c r="K7234" s="6">
        <f t="shared" si="295"/>
        <v>1.8715582393376629</v>
      </c>
    </row>
    <row r="7235" spans="1:11" hidden="1">
      <c r="A7235" s="4">
        <v>2026</v>
      </c>
      <c r="B7235">
        <v>15</v>
      </c>
      <c r="C7235" t="s">
        <v>10</v>
      </c>
      <c r="D7235" t="s">
        <v>11</v>
      </c>
      <c r="E7235" t="s">
        <v>48</v>
      </c>
      <c r="F7235" t="s">
        <v>49</v>
      </c>
      <c r="G7235" t="str">
        <f t="shared" si="296"/>
        <v>03182989</v>
      </c>
      <c r="H7235" s="5">
        <v>1840</v>
      </c>
      <c r="I7235" s="6">
        <v>726.32013058333712</v>
      </c>
      <c r="J7235" s="5">
        <v>5712</v>
      </c>
      <c r="K7235" s="6">
        <f t="shared" si="295"/>
        <v>2.533318191968907</v>
      </c>
    </row>
    <row r="7236" spans="1:11" hidden="1">
      <c r="A7236" s="4">
        <v>2026</v>
      </c>
      <c r="B7236">
        <v>15</v>
      </c>
      <c r="C7236" t="s">
        <v>10</v>
      </c>
      <c r="D7236" t="s">
        <v>11</v>
      </c>
      <c r="E7236" t="s">
        <v>48</v>
      </c>
      <c r="F7236" t="s">
        <v>34</v>
      </c>
      <c r="G7236" t="str">
        <f t="shared" si="296"/>
        <v>031RUBICON</v>
      </c>
      <c r="H7236" s="5">
        <v>2640</v>
      </c>
      <c r="I7236" s="6">
        <v>924.39958333667107</v>
      </c>
      <c r="J7236" s="5">
        <v>6720</v>
      </c>
      <c r="K7236" s="6">
        <f t="shared" si="295"/>
        <v>2.8559078212376243</v>
      </c>
    </row>
    <row r="7237" spans="1:11" hidden="1">
      <c r="A7237" s="4">
        <v>2026</v>
      </c>
      <c r="B7237">
        <v>15</v>
      </c>
      <c r="C7237" t="s">
        <v>10</v>
      </c>
      <c r="D7237" t="s">
        <v>11</v>
      </c>
      <c r="E7237" t="s">
        <v>48</v>
      </c>
      <c r="F7237" t="s">
        <v>13</v>
      </c>
      <c r="G7237" t="str">
        <f t="shared" si="296"/>
        <v>031SOMERSET</v>
      </c>
      <c r="H7237" s="5">
        <v>380</v>
      </c>
      <c r="I7237" s="6">
        <v>1122.485208333339</v>
      </c>
      <c r="J7237" s="5">
        <v>8160</v>
      </c>
      <c r="K7237" s="6">
        <f t="shared" si="295"/>
        <v>0.33853452783063603</v>
      </c>
    </row>
    <row r="7238" spans="1:11" hidden="1">
      <c r="A7238" s="4">
        <v>2026</v>
      </c>
      <c r="B7238">
        <v>15</v>
      </c>
      <c r="C7238" t="s">
        <v>10</v>
      </c>
      <c r="D7238" t="s">
        <v>11</v>
      </c>
      <c r="E7238" t="s">
        <v>48</v>
      </c>
      <c r="F7238" t="s">
        <v>50</v>
      </c>
      <c r="G7238" t="str">
        <f t="shared" si="296"/>
        <v>031VELVET BLOSSOMS</v>
      </c>
      <c r="H7238" s="5">
        <v>700</v>
      </c>
      <c r="I7238" s="6">
        <v>396.17125000000198</v>
      </c>
      <c r="J7238" s="5">
        <v>2880</v>
      </c>
      <c r="K7238" s="6">
        <f t="shared" si="295"/>
        <v>1.7669126671862143</v>
      </c>
    </row>
    <row r="7239" spans="1:11" hidden="1">
      <c r="A7239" s="4">
        <v>2026</v>
      </c>
      <c r="B7239">
        <v>15</v>
      </c>
      <c r="C7239" t="s">
        <v>10</v>
      </c>
      <c r="D7239" t="s">
        <v>11</v>
      </c>
      <c r="E7239" t="s">
        <v>51</v>
      </c>
      <c r="F7239" t="s">
        <v>17</v>
      </c>
      <c r="G7239" t="str">
        <f t="shared" si="296"/>
        <v>032ELBA</v>
      </c>
      <c r="H7239" s="5">
        <v>3660</v>
      </c>
      <c r="I7239" s="6">
        <v>1535.9749999999999</v>
      </c>
      <c r="J7239" s="5">
        <v>11200</v>
      </c>
      <c r="K7239" s="6">
        <f t="shared" ref="K7239:K7300" si="297">+H7239/I7239</f>
        <v>2.3828512833867741</v>
      </c>
    </row>
    <row r="7240" spans="1:11" hidden="1">
      <c r="A7240" s="4">
        <v>2026</v>
      </c>
      <c r="B7240">
        <v>15</v>
      </c>
      <c r="C7240" t="s">
        <v>10</v>
      </c>
      <c r="D7240" t="s">
        <v>11</v>
      </c>
      <c r="E7240" t="s">
        <v>51</v>
      </c>
      <c r="F7240" t="s">
        <v>44</v>
      </c>
      <c r="G7240" t="str">
        <f t="shared" si="296"/>
        <v>032MIRABEL</v>
      </c>
      <c r="H7240" s="5">
        <v>3640</v>
      </c>
      <c r="I7240" s="6">
        <v>1535.9749999999999</v>
      </c>
      <c r="J7240" s="5">
        <v>11200</v>
      </c>
      <c r="K7240" s="6">
        <f t="shared" si="297"/>
        <v>2.3698302381223653</v>
      </c>
    </row>
    <row r="7241" spans="1:11" hidden="1">
      <c r="A7241" s="4">
        <v>2026</v>
      </c>
      <c r="B7241">
        <v>15</v>
      </c>
      <c r="C7241" t="s">
        <v>10</v>
      </c>
      <c r="D7241" t="s">
        <v>11</v>
      </c>
      <c r="E7241" t="s">
        <v>52</v>
      </c>
      <c r="F7241" t="s">
        <v>53</v>
      </c>
      <c r="G7241" t="str">
        <f t="shared" si="296"/>
        <v>033CREAMY FOLIES</v>
      </c>
      <c r="H7241" s="5">
        <v>930</v>
      </c>
      <c r="I7241" s="6">
        <v>594.25687500000299</v>
      </c>
      <c r="J7241" s="5">
        <v>4320</v>
      </c>
      <c r="K7241" s="6">
        <f t="shared" si="297"/>
        <v>1.5649797909363612</v>
      </c>
    </row>
    <row r="7242" spans="1:11" hidden="1">
      <c r="A7242" s="4">
        <v>2026</v>
      </c>
      <c r="B7242">
        <v>15</v>
      </c>
      <c r="C7242" t="s">
        <v>10</v>
      </c>
      <c r="D7242" t="s">
        <v>11</v>
      </c>
      <c r="E7242" t="s">
        <v>52</v>
      </c>
      <c r="F7242" t="s">
        <v>18</v>
      </c>
      <c r="G7242" t="str">
        <f t="shared" si="296"/>
        <v>033HOT BUBBLES</v>
      </c>
      <c r="H7242" s="5">
        <v>5440</v>
      </c>
      <c r="I7242" s="6">
        <v>2575.1131250013459</v>
      </c>
      <c r="J7242" s="5">
        <v>18720</v>
      </c>
      <c r="K7242" s="6">
        <f t="shared" si="297"/>
        <v>2.112528551535831</v>
      </c>
    </row>
    <row r="7243" spans="1:11" hidden="1">
      <c r="A7243" s="4">
        <v>2026</v>
      </c>
      <c r="B7243">
        <v>15</v>
      </c>
      <c r="C7243" t="s">
        <v>54</v>
      </c>
      <c r="D7243" t="s">
        <v>11</v>
      </c>
      <c r="E7243" t="s">
        <v>55</v>
      </c>
      <c r="F7243" t="s">
        <v>56</v>
      </c>
      <c r="G7243" t="str">
        <f t="shared" si="296"/>
        <v>001BELIEVE IN PINK</v>
      </c>
      <c r="H7243" s="5">
        <v>1380</v>
      </c>
      <c r="I7243" s="6">
        <v>528.37931032368999</v>
      </c>
      <c r="J7243" s="5">
        <v>4000</v>
      </c>
      <c r="K7243" s="6">
        <f t="shared" ref="K7243:K7248" si="298">IFERROR(H7243/I7243,"")</f>
        <v>2.6117600993017676</v>
      </c>
    </row>
    <row r="7244" spans="1:11" hidden="1">
      <c r="A7244" s="4">
        <v>2026</v>
      </c>
      <c r="B7244">
        <v>15</v>
      </c>
      <c r="C7244" t="s">
        <v>54</v>
      </c>
      <c r="D7244" t="s">
        <v>11</v>
      </c>
      <c r="E7244" t="s">
        <v>55</v>
      </c>
      <c r="F7244" t="s">
        <v>57</v>
      </c>
      <c r="G7244" t="str">
        <f t="shared" si="296"/>
        <v>001EXPLORER</v>
      </c>
      <c r="H7244" s="5">
        <v>4100</v>
      </c>
      <c r="I7244" s="6">
        <v>2272.0310343918732</v>
      </c>
      <c r="J7244" s="5">
        <v>17200</v>
      </c>
      <c r="K7244" s="6">
        <f t="shared" si="298"/>
        <v>1.8045528154932959</v>
      </c>
    </row>
    <row r="7245" spans="1:11" hidden="1">
      <c r="A7245" s="4">
        <v>2026</v>
      </c>
      <c r="B7245">
        <v>15</v>
      </c>
      <c r="C7245" t="s">
        <v>54</v>
      </c>
      <c r="D7245" t="s">
        <v>11</v>
      </c>
      <c r="E7245" t="s">
        <v>55</v>
      </c>
      <c r="F7245" t="s">
        <v>58</v>
      </c>
      <c r="G7245" t="str">
        <f t="shared" si="296"/>
        <v>001GRACE KELLY</v>
      </c>
      <c r="H7245" s="5">
        <v>1620</v>
      </c>
      <c r="I7245" s="6">
        <v>1162.4344827121224</v>
      </c>
      <c r="J7245" s="5">
        <v>8800</v>
      </c>
      <c r="K7245" s="6">
        <f t="shared" si="298"/>
        <v>1.3936269304574596</v>
      </c>
    </row>
    <row r="7246" spans="1:11" hidden="1">
      <c r="A7246" s="4">
        <v>2026</v>
      </c>
      <c r="B7246">
        <v>15</v>
      </c>
      <c r="C7246" t="s">
        <v>54</v>
      </c>
      <c r="D7246" t="s">
        <v>11</v>
      </c>
      <c r="E7246" t="s">
        <v>55</v>
      </c>
      <c r="F7246" t="s">
        <v>60</v>
      </c>
      <c r="G7246" t="str">
        <f t="shared" si="296"/>
        <v>001LIGHT HOUSE</v>
      </c>
      <c r="H7246" s="5">
        <v>2850</v>
      </c>
      <c r="I7246" s="6">
        <v>1056.7586206473827</v>
      </c>
      <c r="J7246" s="5">
        <v>8000</v>
      </c>
      <c r="K7246" s="6">
        <f t="shared" si="298"/>
        <v>2.6969261894963834</v>
      </c>
    </row>
    <row r="7247" spans="1:11" hidden="1">
      <c r="A7247" s="4">
        <v>2026</v>
      </c>
      <c r="B7247">
        <v>15</v>
      </c>
      <c r="C7247" t="s">
        <v>54</v>
      </c>
      <c r="D7247" t="s">
        <v>11</v>
      </c>
      <c r="E7247" t="s">
        <v>55</v>
      </c>
      <c r="F7247" t="s">
        <v>61</v>
      </c>
      <c r="G7247" t="str">
        <f t="shared" si="296"/>
        <v>001LUMIA</v>
      </c>
      <c r="H7247" s="5">
        <v>2580</v>
      </c>
      <c r="I7247" s="6">
        <v>1109.596551679753</v>
      </c>
      <c r="J7247" s="5">
        <v>8400</v>
      </c>
      <c r="K7247" s="6">
        <f t="shared" si="298"/>
        <v>2.3251694465833457</v>
      </c>
    </row>
    <row r="7248" spans="1:11" hidden="1">
      <c r="A7248" s="4">
        <v>2026</v>
      </c>
      <c r="B7248">
        <v>15</v>
      </c>
      <c r="C7248" t="s">
        <v>54</v>
      </c>
      <c r="D7248" t="s">
        <v>11</v>
      </c>
      <c r="E7248" t="s">
        <v>55</v>
      </c>
      <c r="F7248" t="s">
        <v>62</v>
      </c>
      <c r="G7248" t="str">
        <f t="shared" si="296"/>
        <v>001MOMENTUM</v>
      </c>
      <c r="H7248" s="5">
        <v>3425</v>
      </c>
      <c r="I7248" s="6">
        <v>1902.1655171652881</v>
      </c>
      <c r="J7248" s="5">
        <v>14400</v>
      </c>
      <c r="K7248" s="6">
        <f t="shared" si="298"/>
        <v>1.800579376028288</v>
      </c>
    </row>
    <row r="7249" spans="1:11" hidden="1">
      <c r="A7249" s="4">
        <v>2026</v>
      </c>
      <c r="B7249">
        <v>15</v>
      </c>
      <c r="C7249" t="s">
        <v>54</v>
      </c>
      <c r="D7249" t="s">
        <v>11</v>
      </c>
      <c r="E7249" t="s">
        <v>12</v>
      </c>
      <c r="F7249" t="s">
        <v>63</v>
      </c>
      <c r="G7249" t="str">
        <f t="shared" si="296"/>
        <v>002SUMMER ROMANCE</v>
      </c>
      <c r="H7249" s="5">
        <v>1175</v>
      </c>
      <c r="I7249" s="6">
        <v>951.10714281909407</v>
      </c>
      <c r="J7249" s="5">
        <v>7200</v>
      </c>
      <c r="K7249" s="6">
        <f t="shared" si="297"/>
        <v>1.2354023506934082</v>
      </c>
    </row>
    <row r="7250" spans="1:11" hidden="1">
      <c r="A7250" s="4">
        <v>2026</v>
      </c>
      <c r="B7250">
        <v>15</v>
      </c>
      <c r="C7250" t="s">
        <v>54</v>
      </c>
      <c r="D7250" t="s">
        <v>11</v>
      </c>
      <c r="E7250" t="s">
        <v>12</v>
      </c>
      <c r="F7250" t="s">
        <v>64</v>
      </c>
      <c r="G7250" t="str">
        <f t="shared" si="296"/>
        <v>002SWEETNESS</v>
      </c>
      <c r="H7250" s="5">
        <v>6570</v>
      </c>
      <c r="I7250" s="6">
        <v>3804.4285712763772</v>
      </c>
      <c r="J7250" s="5">
        <v>28800</v>
      </c>
      <c r="K7250" s="6">
        <f t="shared" si="297"/>
        <v>1.726934775330998</v>
      </c>
    </row>
    <row r="7251" spans="1:11" hidden="1">
      <c r="A7251" s="4">
        <v>2026</v>
      </c>
      <c r="B7251">
        <v>15</v>
      </c>
      <c r="C7251" t="s">
        <v>54</v>
      </c>
      <c r="D7251" t="s">
        <v>11</v>
      </c>
      <c r="E7251" t="s">
        <v>65</v>
      </c>
      <c r="F7251" t="s">
        <v>66</v>
      </c>
      <c r="G7251" t="str">
        <f t="shared" si="296"/>
        <v>003CABARET</v>
      </c>
      <c r="H7251" s="5">
        <v>7260</v>
      </c>
      <c r="I7251" s="6">
        <v>2641.8965516184649</v>
      </c>
      <c r="J7251" s="5">
        <v>20000</v>
      </c>
      <c r="K7251" s="6">
        <f t="shared" si="297"/>
        <v>2.7480258436131484</v>
      </c>
    </row>
    <row r="7252" spans="1:11" hidden="1">
      <c r="A7252" s="4">
        <v>2026</v>
      </c>
      <c r="B7252">
        <v>15</v>
      </c>
      <c r="C7252" t="s">
        <v>54</v>
      </c>
      <c r="D7252" t="s">
        <v>11</v>
      </c>
      <c r="E7252" t="s">
        <v>65</v>
      </c>
      <c r="F7252" t="s">
        <v>67</v>
      </c>
      <c r="G7252" t="str">
        <f t="shared" si="296"/>
        <v>003DEEP PURPLE</v>
      </c>
      <c r="H7252" s="5">
        <v>18720</v>
      </c>
      <c r="I7252" s="6">
        <v>3592.9793102010913</v>
      </c>
      <c r="J7252" s="5">
        <v>26044</v>
      </c>
      <c r="K7252" s="6">
        <f t="shared" si="297"/>
        <v>5.2101608119063405</v>
      </c>
    </row>
    <row r="7253" spans="1:11" hidden="1">
      <c r="A7253" s="4">
        <v>2026</v>
      </c>
      <c r="B7253">
        <v>15</v>
      </c>
      <c r="C7253" t="s">
        <v>54</v>
      </c>
      <c r="D7253" t="s">
        <v>11</v>
      </c>
      <c r="E7253" t="s">
        <v>65</v>
      </c>
      <c r="F7253" t="s">
        <v>57</v>
      </c>
      <c r="G7253" t="str">
        <f t="shared" si="296"/>
        <v>003EXPLORER</v>
      </c>
      <c r="H7253" s="5">
        <v>2725</v>
      </c>
      <c r="I7253" s="6">
        <v>1268.1103447768633</v>
      </c>
      <c r="J7253" s="5">
        <v>9600</v>
      </c>
      <c r="K7253" s="6">
        <f t="shared" si="297"/>
        <v>2.1488666275957957</v>
      </c>
    </row>
    <row r="7254" spans="1:11" hidden="1">
      <c r="A7254" s="4">
        <v>2026</v>
      </c>
      <c r="B7254">
        <v>15</v>
      </c>
      <c r="C7254" t="s">
        <v>54</v>
      </c>
      <c r="D7254" t="s">
        <v>11</v>
      </c>
      <c r="E7254" t="s">
        <v>65</v>
      </c>
      <c r="F7254" t="s">
        <v>68</v>
      </c>
      <c r="G7254" t="str">
        <f t="shared" si="296"/>
        <v>003JOCKER</v>
      </c>
      <c r="H7254" s="5">
        <v>1075</v>
      </c>
      <c r="I7254" s="6">
        <v>528.37931032368999</v>
      </c>
      <c r="J7254" s="5">
        <v>4000</v>
      </c>
      <c r="K7254" s="6">
        <f t="shared" si="297"/>
        <v>2.0345232657604346</v>
      </c>
    </row>
    <row r="7255" spans="1:11" hidden="1">
      <c r="A7255" s="4">
        <v>2026</v>
      </c>
      <c r="B7255">
        <v>15</v>
      </c>
      <c r="C7255" t="s">
        <v>54</v>
      </c>
      <c r="D7255" t="s">
        <v>11</v>
      </c>
      <c r="E7255" t="s">
        <v>65</v>
      </c>
      <c r="F7255" t="s">
        <v>69</v>
      </c>
      <c r="G7255" t="str">
        <f t="shared" si="296"/>
        <v>003QUICKSAND</v>
      </c>
      <c r="H7255" s="5">
        <v>2340</v>
      </c>
      <c r="I7255" s="6">
        <v>1162.4344827121247</v>
      </c>
      <c r="J7255" s="5">
        <v>8800</v>
      </c>
      <c r="K7255" s="6">
        <f t="shared" si="297"/>
        <v>2.0130166773274376</v>
      </c>
    </row>
    <row r="7256" spans="1:11" hidden="1">
      <c r="A7256" s="4">
        <v>2026</v>
      </c>
      <c r="B7256">
        <v>15</v>
      </c>
      <c r="C7256" t="s">
        <v>54</v>
      </c>
      <c r="D7256" t="s">
        <v>11</v>
      </c>
      <c r="E7256" t="s">
        <v>14</v>
      </c>
      <c r="F7256" t="s">
        <v>70</v>
      </c>
      <c r="G7256" t="str">
        <f t="shared" si="296"/>
        <v>004COTOPAXI</v>
      </c>
      <c r="H7256" s="5">
        <v>1320</v>
      </c>
      <c r="I7256" s="6">
        <v>528.3915024419166</v>
      </c>
      <c r="J7256" s="5">
        <v>4000</v>
      </c>
      <c r="K7256" s="6">
        <f t="shared" si="297"/>
        <v>2.4981476687261845</v>
      </c>
    </row>
    <row r="7257" spans="1:11" hidden="1">
      <c r="A7257" s="4">
        <v>2026</v>
      </c>
      <c r="B7257">
        <v>15</v>
      </c>
      <c r="C7257" t="s">
        <v>54</v>
      </c>
      <c r="D7257" t="s">
        <v>11</v>
      </c>
      <c r="E7257" t="s">
        <v>14</v>
      </c>
      <c r="F7257" t="s">
        <v>67</v>
      </c>
      <c r="G7257" t="str">
        <f t="shared" ref="G7257:G7319" si="299">+E7257&amp;F7257</f>
        <v>004DEEP PURPLE</v>
      </c>
      <c r="H7257" s="5">
        <v>18750</v>
      </c>
      <c r="I7257" s="6">
        <v>3910.1071427007282</v>
      </c>
      <c r="J7257" s="5">
        <v>29260</v>
      </c>
      <c r="K7257" s="6">
        <f t="shared" si="297"/>
        <v>4.7952650185051686</v>
      </c>
    </row>
    <row r="7258" spans="1:11" hidden="1">
      <c r="A7258" s="4">
        <v>2026</v>
      </c>
      <c r="B7258">
        <v>15</v>
      </c>
      <c r="C7258" t="s">
        <v>54</v>
      </c>
      <c r="D7258" t="s">
        <v>11</v>
      </c>
      <c r="E7258" t="s">
        <v>14</v>
      </c>
      <c r="F7258" t="s">
        <v>71</v>
      </c>
      <c r="G7258" t="str">
        <f t="shared" si="299"/>
        <v>004HOT EXPLORER</v>
      </c>
      <c r="H7258" s="5">
        <v>3175</v>
      </c>
      <c r="I7258" s="6">
        <v>1902.2142856381945</v>
      </c>
      <c r="J7258" s="5">
        <v>14400</v>
      </c>
      <c r="K7258" s="6">
        <f t="shared" si="297"/>
        <v>1.6691074312559822</v>
      </c>
    </row>
    <row r="7259" spans="1:11" hidden="1">
      <c r="A7259" s="4">
        <v>2026</v>
      </c>
      <c r="B7259">
        <v>15</v>
      </c>
      <c r="C7259" t="s">
        <v>54</v>
      </c>
      <c r="D7259" t="s">
        <v>11</v>
      </c>
      <c r="E7259" t="s">
        <v>14</v>
      </c>
      <c r="F7259" t="s">
        <v>72</v>
      </c>
      <c r="G7259" t="str">
        <f t="shared" si="299"/>
        <v>004HOT MERENGUE</v>
      </c>
      <c r="H7259" s="5">
        <v>4710</v>
      </c>
      <c r="I7259" s="6">
        <v>1162.4642856677858</v>
      </c>
      <c r="J7259" s="5">
        <v>8800</v>
      </c>
      <c r="K7259" s="6">
        <f t="shared" si="297"/>
        <v>4.0517373807267614</v>
      </c>
    </row>
    <row r="7260" spans="1:11" hidden="1">
      <c r="A7260" s="4">
        <v>2026</v>
      </c>
      <c r="B7260">
        <v>15</v>
      </c>
      <c r="C7260" t="s">
        <v>54</v>
      </c>
      <c r="D7260" t="s">
        <v>11</v>
      </c>
      <c r="E7260" t="s">
        <v>14</v>
      </c>
      <c r="F7260" t="s">
        <v>64</v>
      </c>
      <c r="G7260" t="str">
        <f t="shared" si="299"/>
        <v>004SWEETNESS</v>
      </c>
      <c r="H7260" s="5">
        <v>690</v>
      </c>
      <c r="I7260" s="6">
        <v>317.03571427303262</v>
      </c>
      <c r="J7260" s="5">
        <v>2400</v>
      </c>
      <c r="K7260" s="6">
        <f t="shared" si="297"/>
        <v>2.1764109497322086</v>
      </c>
    </row>
    <row r="7261" spans="1:11" hidden="1">
      <c r="A7261" s="4">
        <v>2026</v>
      </c>
      <c r="B7261">
        <v>15</v>
      </c>
      <c r="C7261" t="s">
        <v>54</v>
      </c>
      <c r="D7261" t="s">
        <v>11</v>
      </c>
      <c r="E7261" t="s">
        <v>16</v>
      </c>
      <c r="F7261" t="s">
        <v>57</v>
      </c>
      <c r="G7261" t="str">
        <f t="shared" si="299"/>
        <v>005EXPLORER</v>
      </c>
      <c r="H7261" s="5">
        <v>1575</v>
      </c>
      <c r="I7261" s="6">
        <v>951.10714281875391</v>
      </c>
      <c r="J7261" s="5">
        <v>7200</v>
      </c>
      <c r="K7261" s="6">
        <f t="shared" si="297"/>
        <v>1.655964853057714</v>
      </c>
    </row>
    <row r="7262" spans="1:11" hidden="1">
      <c r="A7262" s="4">
        <v>2026</v>
      </c>
      <c r="B7262">
        <v>15</v>
      </c>
      <c r="C7262" t="s">
        <v>54</v>
      </c>
      <c r="D7262" t="s">
        <v>11</v>
      </c>
      <c r="E7262" t="s">
        <v>16</v>
      </c>
      <c r="F7262" t="s">
        <v>73</v>
      </c>
      <c r="G7262" t="str">
        <f t="shared" si="299"/>
        <v>005GOLDFINCH</v>
      </c>
      <c r="H7262" s="5">
        <v>1800</v>
      </c>
      <c r="I7262" s="6">
        <v>898.26785710660101</v>
      </c>
      <c r="J7262" s="5">
        <v>6800</v>
      </c>
      <c r="K7262" s="6">
        <f t="shared" si="297"/>
        <v>2.0038566289101745</v>
      </c>
    </row>
    <row r="7263" spans="1:11" hidden="1">
      <c r="A7263" s="4">
        <v>2026</v>
      </c>
      <c r="B7263">
        <v>15</v>
      </c>
      <c r="C7263" t="s">
        <v>54</v>
      </c>
      <c r="D7263" t="s">
        <v>11</v>
      </c>
      <c r="E7263" t="s">
        <v>16</v>
      </c>
      <c r="F7263" t="s">
        <v>68</v>
      </c>
      <c r="G7263" t="str">
        <f t="shared" si="299"/>
        <v>005JOCKER</v>
      </c>
      <c r="H7263" s="5">
        <v>2600</v>
      </c>
      <c r="I7263" s="6">
        <v>1162.4642856673661</v>
      </c>
      <c r="J7263" s="5">
        <v>8800</v>
      </c>
      <c r="K7263" s="6">
        <f t="shared" si="297"/>
        <v>2.2366278534805484</v>
      </c>
    </row>
    <row r="7264" spans="1:11" hidden="1">
      <c r="A7264" s="4">
        <v>2026</v>
      </c>
      <c r="B7264">
        <v>15</v>
      </c>
      <c r="C7264" t="s">
        <v>54</v>
      </c>
      <c r="D7264" t="s">
        <v>11</v>
      </c>
      <c r="E7264" t="s">
        <v>16</v>
      </c>
      <c r="F7264" t="s">
        <v>74</v>
      </c>
      <c r="G7264" t="str">
        <f t="shared" si="299"/>
        <v>005VENDELA</v>
      </c>
      <c r="H7264" s="5">
        <v>1470</v>
      </c>
      <c r="I7264" s="6">
        <v>686.91071425798896</v>
      </c>
      <c r="J7264" s="5">
        <v>5200</v>
      </c>
      <c r="K7264" s="6">
        <f t="shared" si="297"/>
        <v>2.1400161177976611</v>
      </c>
    </row>
    <row r="7265" spans="1:11" hidden="1">
      <c r="A7265" s="4">
        <v>2026</v>
      </c>
      <c r="B7265">
        <v>15</v>
      </c>
      <c r="C7265" t="s">
        <v>54</v>
      </c>
      <c r="D7265" t="s">
        <v>11</v>
      </c>
      <c r="E7265" t="s">
        <v>75</v>
      </c>
      <c r="F7265" t="s">
        <v>76</v>
      </c>
      <c r="G7265" t="str">
        <f t="shared" si="299"/>
        <v>006ATOMIC</v>
      </c>
      <c r="H7265" s="5">
        <v>1325</v>
      </c>
      <c r="I7265" s="6">
        <v>845.428571394752</v>
      </c>
      <c r="J7265" s="5">
        <v>6400</v>
      </c>
      <c r="K7265" s="6">
        <f t="shared" si="297"/>
        <v>1.5672524502147727</v>
      </c>
    </row>
    <row r="7266" spans="1:11" hidden="1">
      <c r="A7266" s="4">
        <v>2026</v>
      </c>
      <c r="B7266">
        <v>15</v>
      </c>
      <c r="C7266" t="s">
        <v>54</v>
      </c>
      <c r="D7266" t="s">
        <v>11</v>
      </c>
      <c r="E7266" t="s">
        <v>75</v>
      </c>
      <c r="F7266" t="s">
        <v>57</v>
      </c>
      <c r="G7266" t="str">
        <f t="shared" si="299"/>
        <v>006EXPLORER</v>
      </c>
      <c r="H7266" s="5">
        <v>8400</v>
      </c>
      <c r="I7266" s="6">
        <v>3910.1071427007355</v>
      </c>
      <c r="J7266" s="5">
        <v>29600</v>
      </c>
      <c r="K7266" s="6">
        <f t="shared" si="297"/>
        <v>2.1482787282903115</v>
      </c>
    </row>
    <row r="7267" spans="1:11" hidden="1">
      <c r="A7267" s="4">
        <v>2026</v>
      </c>
      <c r="B7267">
        <v>15</v>
      </c>
      <c r="C7267" t="s">
        <v>54</v>
      </c>
      <c r="D7267" t="s">
        <v>11</v>
      </c>
      <c r="E7267" t="s">
        <v>75</v>
      </c>
      <c r="F7267" t="s">
        <v>77</v>
      </c>
      <c r="G7267" t="str">
        <f t="shared" si="299"/>
        <v>006MONDIAL</v>
      </c>
      <c r="H7267" s="5">
        <v>8850</v>
      </c>
      <c r="I7267" s="6">
        <v>4015.7857141250793</v>
      </c>
      <c r="J7267" s="5">
        <v>30400</v>
      </c>
      <c r="K7267" s="6">
        <f t="shared" si="297"/>
        <v>2.2038028495572135</v>
      </c>
    </row>
    <row r="7268" spans="1:11" hidden="1">
      <c r="A7268" s="4">
        <v>2026</v>
      </c>
      <c r="B7268">
        <v>15</v>
      </c>
      <c r="C7268" t="s">
        <v>54</v>
      </c>
      <c r="D7268" t="s">
        <v>11</v>
      </c>
      <c r="E7268" t="s">
        <v>20</v>
      </c>
      <c r="F7268" t="s">
        <v>70</v>
      </c>
      <c r="G7268" t="str">
        <f t="shared" si="299"/>
        <v>007COTOPAXI</v>
      </c>
      <c r="H7268" s="5">
        <v>7950</v>
      </c>
      <c r="I7268" s="6">
        <v>2747.5751230427709</v>
      </c>
      <c r="J7268" s="5">
        <v>20800</v>
      </c>
      <c r="K7268" s="6">
        <f t="shared" si="297"/>
        <v>2.8934604674961033</v>
      </c>
    </row>
    <row r="7269" spans="1:11" hidden="1">
      <c r="A7269" s="4">
        <v>2026</v>
      </c>
      <c r="B7269">
        <v>15</v>
      </c>
      <c r="C7269" t="s">
        <v>54</v>
      </c>
      <c r="D7269" t="s">
        <v>11</v>
      </c>
      <c r="E7269" t="s">
        <v>20</v>
      </c>
      <c r="F7269" t="s">
        <v>78</v>
      </c>
      <c r="G7269" t="str">
        <f t="shared" si="299"/>
        <v>007REDIANT</v>
      </c>
      <c r="H7269" s="5">
        <v>2700</v>
      </c>
      <c r="I7269" s="6">
        <v>1056.75862064738</v>
      </c>
      <c r="J7269" s="5">
        <v>9600</v>
      </c>
      <c r="K7269" s="6">
        <f t="shared" si="297"/>
        <v>2.5549827058386856</v>
      </c>
    </row>
    <row r="7270" spans="1:11" hidden="1">
      <c r="A7270" s="4">
        <v>2026</v>
      </c>
      <c r="B7270">
        <v>15</v>
      </c>
      <c r="C7270" t="s">
        <v>54</v>
      </c>
      <c r="D7270" t="s">
        <v>11</v>
      </c>
      <c r="E7270" t="s">
        <v>20</v>
      </c>
      <c r="F7270" t="s">
        <v>63</v>
      </c>
      <c r="G7270" t="str">
        <f t="shared" si="299"/>
        <v>007SUMMER ROMANCE</v>
      </c>
      <c r="H7270" s="5">
        <v>275</v>
      </c>
      <c r="I7270" s="6">
        <v>369.86551722658481</v>
      </c>
      <c r="J7270" s="5">
        <v>3080</v>
      </c>
      <c r="K7270" s="6">
        <f t="shared" si="297"/>
        <v>0.74351348582606891</v>
      </c>
    </row>
    <row r="7271" spans="1:11" hidden="1">
      <c r="A7271" s="4">
        <v>2026</v>
      </c>
      <c r="B7271">
        <v>15</v>
      </c>
      <c r="C7271" t="s">
        <v>54</v>
      </c>
      <c r="D7271" t="s">
        <v>11</v>
      </c>
      <c r="E7271" t="s">
        <v>20</v>
      </c>
      <c r="F7271" t="s">
        <v>74</v>
      </c>
      <c r="G7271" t="str">
        <f t="shared" si="299"/>
        <v>007VENDELA</v>
      </c>
      <c r="H7271" s="5">
        <v>11010</v>
      </c>
      <c r="I7271" s="6">
        <v>3592.9793102011122</v>
      </c>
      <c r="J7271" s="5">
        <v>27820</v>
      </c>
      <c r="K7271" s="6">
        <f t="shared" si="297"/>
        <v>3.064309323669256</v>
      </c>
    </row>
    <row r="7272" spans="1:11" hidden="1">
      <c r="A7272" s="4">
        <v>2026</v>
      </c>
      <c r="B7272">
        <v>15</v>
      </c>
      <c r="C7272" t="s">
        <v>54</v>
      </c>
      <c r="D7272" t="s">
        <v>11</v>
      </c>
      <c r="E7272" t="s">
        <v>79</v>
      </c>
      <c r="F7272" t="s">
        <v>67</v>
      </c>
      <c r="G7272" t="str">
        <f t="shared" si="299"/>
        <v>008DEEP PURPLE</v>
      </c>
      <c r="H7272" s="5">
        <v>9990</v>
      </c>
      <c r="I7272" s="6">
        <v>1585.2222221588099</v>
      </c>
      <c r="J7272" s="5">
        <v>11490</v>
      </c>
      <c r="K7272" s="6">
        <f t="shared" si="297"/>
        <v>6.3019555620380316</v>
      </c>
    </row>
    <row r="7273" spans="1:11" hidden="1">
      <c r="A7273" s="4">
        <v>2026</v>
      </c>
      <c r="B7273">
        <v>15</v>
      </c>
      <c r="C7273" t="s">
        <v>54</v>
      </c>
      <c r="D7273" t="s">
        <v>11</v>
      </c>
      <c r="E7273" t="s">
        <v>79</v>
      </c>
      <c r="F7273" t="s">
        <v>81</v>
      </c>
      <c r="G7273" t="str">
        <f t="shared" si="299"/>
        <v>008FREEDOM</v>
      </c>
      <c r="H7273" s="5">
        <v>4800</v>
      </c>
      <c r="I7273" s="6">
        <v>2219.311111022334</v>
      </c>
      <c r="J7273" s="5">
        <v>16800</v>
      </c>
      <c r="K7273" s="6">
        <f t="shared" si="297"/>
        <v>2.1628333117247638</v>
      </c>
    </row>
    <row r="7274" spans="1:11" hidden="1">
      <c r="A7274" s="4">
        <v>2026</v>
      </c>
      <c r="B7274">
        <v>15</v>
      </c>
      <c r="C7274" t="s">
        <v>54</v>
      </c>
      <c r="D7274" t="s">
        <v>11</v>
      </c>
      <c r="E7274" t="s">
        <v>79</v>
      </c>
      <c r="F7274" t="s">
        <v>68</v>
      </c>
      <c r="G7274" t="str">
        <f t="shared" si="299"/>
        <v>008JOCKER</v>
      </c>
      <c r="H7274" s="5">
        <v>5400</v>
      </c>
      <c r="I7274" s="6">
        <v>2959.0814813631118</v>
      </c>
      <c r="J7274" s="5">
        <v>22400</v>
      </c>
      <c r="K7274" s="6">
        <f t="shared" si="297"/>
        <v>1.8248906067677697</v>
      </c>
    </row>
    <row r="7275" spans="1:11" hidden="1">
      <c r="A7275" s="4">
        <v>2026</v>
      </c>
      <c r="B7275">
        <v>15</v>
      </c>
      <c r="C7275" t="s">
        <v>54</v>
      </c>
      <c r="D7275" t="s">
        <v>11</v>
      </c>
      <c r="E7275" t="s">
        <v>79</v>
      </c>
      <c r="F7275" t="s">
        <v>61</v>
      </c>
      <c r="G7275" t="str">
        <f t="shared" si="299"/>
        <v>008LUMIA</v>
      </c>
      <c r="H7275" s="5">
        <v>1950</v>
      </c>
      <c r="I7275" s="6">
        <v>1796.5851851133182</v>
      </c>
      <c r="J7275" s="5">
        <v>13600</v>
      </c>
      <c r="K7275" s="6">
        <f t="shared" si="297"/>
        <v>1.0853924523912877</v>
      </c>
    </row>
    <row r="7276" spans="1:11" hidden="1">
      <c r="A7276" s="4">
        <v>2026</v>
      </c>
      <c r="B7276">
        <v>15</v>
      </c>
      <c r="C7276" t="s">
        <v>54</v>
      </c>
      <c r="D7276" t="s">
        <v>11</v>
      </c>
      <c r="E7276" t="s">
        <v>82</v>
      </c>
      <c r="F7276" t="s">
        <v>83</v>
      </c>
      <c r="G7276" t="str">
        <f t="shared" si="299"/>
        <v>010COOLDOWN</v>
      </c>
      <c r="H7276" s="5">
        <v>4225</v>
      </c>
      <c r="I7276" s="6">
        <v>1912.3542857142861</v>
      </c>
      <c r="J7276" s="5">
        <v>16320</v>
      </c>
      <c r="K7276" s="6">
        <f t="shared" si="297"/>
        <v>2.2093186558378299</v>
      </c>
    </row>
    <row r="7277" spans="1:11" hidden="1">
      <c r="A7277" s="4">
        <v>2026</v>
      </c>
      <c r="B7277">
        <v>15</v>
      </c>
      <c r="C7277" t="s">
        <v>54</v>
      </c>
      <c r="D7277" t="s">
        <v>11</v>
      </c>
      <c r="E7277" t="s">
        <v>82</v>
      </c>
      <c r="F7277" t="s">
        <v>84</v>
      </c>
      <c r="G7277" t="str">
        <f t="shared" si="299"/>
        <v>010VIOLET HILL</v>
      </c>
      <c r="H7277" s="5">
        <v>4320</v>
      </c>
      <c r="I7277" s="6">
        <v>2812.2857142428579</v>
      </c>
      <c r="J7277" s="5">
        <v>20000</v>
      </c>
      <c r="K7277" s="6">
        <f t="shared" si="297"/>
        <v>1.5361170375119795</v>
      </c>
    </row>
    <row r="7278" spans="1:11" hidden="1">
      <c r="A7278" s="4">
        <v>2026</v>
      </c>
      <c r="B7278">
        <v>15</v>
      </c>
      <c r="C7278" t="s">
        <v>54</v>
      </c>
      <c r="D7278" t="s">
        <v>11</v>
      </c>
      <c r="E7278" t="s">
        <v>85</v>
      </c>
      <c r="F7278" t="s">
        <v>86</v>
      </c>
      <c r="G7278" t="str">
        <f t="shared" si="299"/>
        <v>011BRIGHTON</v>
      </c>
      <c r="H7278" s="5">
        <v>1850</v>
      </c>
      <c r="I7278" s="6">
        <v>1768.8376470588223</v>
      </c>
      <c r="J7278" s="5">
        <v>12800</v>
      </c>
      <c r="K7278" s="6">
        <f t="shared" si="297"/>
        <v>1.0458845689292811</v>
      </c>
    </row>
    <row r="7279" spans="1:11" hidden="1">
      <c r="A7279" s="4">
        <v>2026</v>
      </c>
      <c r="B7279">
        <v>15</v>
      </c>
      <c r="C7279" t="s">
        <v>54</v>
      </c>
      <c r="D7279" t="s">
        <v>11</v>
      </c>
      <c r="E7279" t="s">
        <v>85</v>
      </c>
      <c r="F7279" t="s">
        <v>87</v>
      </c>
      <c r="G7279" t="str">
        <f t="shared" si="299"/>
        <v>011CANDLELIGHT</v>
      </c>
      <c r="H7279" s="5">
        <v>5400</v>
      </c>
      <c r="I7279" s="6">
        <v>2263.7999998868127</v>
      </c>
      <c r="J7279" s="5">
        <v>17920</v>
      </c>
      <c r="K7279" s="6">
        <f t="shared" si="297"/>
        <v>2.3853697324277734</v>
      </c>
    </row>
    <row r="7280" spans="1:11" hidden="1">
      <c r="A7280" s="4">
        <v>2026</v>
      </c>
      <c r="B7280">
        <v>15</v>
      </c>
      <c r="C7280" t="s">
        <v>54</v>
      </c>
      <c r="D7280" t="s">
        <v>11</v>
      </c>
      <c r="E7280" t="s">
        <v>85</v>
      </c>
      <c r="F7280" t="s">
        <v>88</v>
      </c>
      <c r="G7280" t="str">
        <f t="shared" si="299"/>
        <v>011CAYENNE</v>
      </c>
      <c r="H7280" s="5">
        <v>1260</v>
      </c>
      <c r="I7280" s="6">
        <v>994.97117647058747</v>
      </c>
      <c r="J7280" s="5">
        <v>7200</v>
      </c>
      <c r="K7280" s="6">
        <f t="shared" si="297"/>
        <v>1.2663683429197781</v>
      </c>
    </row>
    <row r="7281" spans="1:11" hidden="1">
      <c r="A7281" s="4">
        <v>2026</v>
      </c>
      <c r="B7281">
        <v>15</v>
      </c>
      <c r="C7281" t="s">
        <v>54</v>
      </c>
      <c r="D7281" t="s">
        <v>11</v>
      </c>
      <c r="E7281" t="s">
        <v>85</v>
      </c>
      <c r="F7281" t="s">
        <v>61</v>
      </c>
      <c r="G7281" t="str">
        <f t="shared" si="299"/>
        <v>011LUMIA</v>
      </c>
      <c r="H7281" s="5">
        <v>1530</v>
      </c>
      <c r="I7281" s="6">
        <v>994.97117647058747</v>
      </c>
      <c r="J7281" s="5">
        <v>7920</v>
      </c>
      <c r="K7281" s="6">
        <f t="shared" si="297"/>
        <v>1.5377329878311592</v>
      </c>
    </row>
    <row r="7282" spans="1:11" hidden="1">
      <c r="A7282" s="4">
        <v>2026</v>
      </c>
      <c r="B7282">
        <v>15</v>
      </c>
      <c r="C7282" t="s">
        <v>54</v>
      </c>
      <c r="D7282" t="s">
        <v>11</v>
      </c>
      <c r="E7282" t="s">
        <v>85</v>
      </c>
      <c r="F7282" t="s">
        <v>89</v>
      </c>
      <c r="G7282" t="str">
        <f t="shared" si="299"/>
        <v>011STARDUST</v>
      </c>
      <c r="H7282" s="5">
        <v>3450</v>
      </c>
      <c r="I7282" s="6">
        <v>2263.7999998868127</v>
      </c>
      <c r="J7282" s="5">
        <v>17920</v>
      </c>
      <c r="K7282" s="6">
        <f t="shared" si="297"/>
        <v>1.5239862179399664</v>
      </c>
    </row>
    <row r="7283" spans="1:11" hidden="1">
      <c r="A7283" s="4">
        <v>2026</v>
      </c>
      <c r="B7283">
        <v>15</v>
      </c>
      <c r="C7283" t="s">
        <v>54</v>
      </c>
      <c r="D7283" t="s">
        <v>11</v>
      </c>
      <c r="E7283" t="s">
        <v>90</v>
      </c>
      <c r="F7283" t="s">
        <v>67</v>
      </c>
      <c r="G7283" t="str">
        <f t="shared" si="299"/>
        <v>012DEEP PURPLE</v>
      </c>
      <c r="H7283" s="5">
        <v>18780</v>
      </c>
      <c r="I7283" s="6">
        <v>6727.0499997982479</v>
      </c>
      <c r="J7283" s="5">
        <v>49210</v>
      </c>
      <c r="K7283" s="6">
        <f t="shared" si="297"/>
        <v>2.7917140500759223</v>
      </c>
    </row>
    <row r="7284" spans="1:11" hidden="1">
      <c r="A7284" s="4">
        <v>2026</v>
      </c>
      <c r="B7284">
        <v>15</v>
      </c>
      <c r="C7284" t="s">
        <v>54</v>
      </c>
      <c r="D7284" t="s">
        <v>11</v>
      </c>
      <c r="E7284" t="s">
        <v>90</v>
      </c>
      <c r="F7284" t="s">
        <v>60</v>
      </c>
      <c r="G7284" t="str">
        <f t="shared" si="299"/>
        <v>012LIGHT HOUSE</v>
      </c>
      <c r="H7284" s="5">
        <v>2130</v>
      </c>
      <c r="I7284" s="6">
        <v>994.95</v>
      </c>
      <c r="J7284" s="5">
        <v>7200</v>
      </c>
      <c r="K7284" s="6">
        <f t="shared" si="297"/>
        <v>2.1408110960349767</v>
      </c>
    </row>
    <row r="7285" spans="1:11" hidden="1">
      <c r="A7285" s="4">
        <v>2026</v>
      </c>
      <c r="B7285">
        <v>15</v>
      </c>
      <c r="C7285" t="s">
        <v>54</v>
      </c>
      <c r="D7285" t="s">
        <v>11</v>
      </c>
      <c r="E7285" t="s">
        <v>91</v>
      </c>
      <c r="F7285" t="s">
        <v>92</v>
      </c>
      <c r="G7285" t="str">
        <f t="shared" si="299"/>
        <v>013COUNTRY BLUES</v>
      </c>
      <c r="H7285" s="5">
        <v>1380</v>
      </c>
      <c r="I7285" s="6">
        <v>831.6</v>
      </c>
      <c r="J7285" s="5">
        <v>6300</v>
      </c>
      <c r="K7285" s="6">
        <f t="shared" si="297"/>
        <v>1.6594516594516595</v>
      </c>
    </row>
    <row r="7286" spans="1:11" hidden="1">
      <c r="A7286" s="4">
        <v>2026</v>
      </c>
      <c r="B7286">
        <v>15</v>
      </c>
      <c r="C7286" t="s">
        <v>54</v>
      </c>
      <c r="D7286" t="s">
        <v>11</v>
      </c>
      <c r="E7286" t="s">
        <v>91</v>
      </c>
      <c r="F7286" t="s">
        <v>93</v>
      </c>
      <c r="G7286" t="str">
        <f t="shared" si="299"/>
        <v>013LORRAINE</v>
      </c>
      <c r="H7286" s="5">
        <v>4825</v>
      </c>
      <c r="I7286" s="6">
        <v>1267.2</v>
      </c>
      <c r="J7286" s="5">
        <v>9600</v>
      </c>
      <c r="K7286" s="6">
        <f t="shared" si="297"/>
        <v>3.8076073232323231</v>
      </c>
    </row>
    <row r="7287" spans="1:11" hidden="1">
      <c r="A7287" s="4">
        <v>2026</v>
      </c>
      <c r="B7287">
        <v>15</v>
      </c>
      <c r="C7287" t="s">
        <v>54</v>
      </c>
      <c r="D7287" t="s">
        <v>11</v>
      </c>
      <c r="E7287" t="s">
        <v>91</v>
      </c>
      <c r="F7287" t="s">
        <v>61</v>
      </c>
      <c r="G7287" t="str">
        <f t="shared" si="299"/>
        <v>013LUMIA</v>
      </c>
      <c r="H7287" s="5">
        <v>1290</v>
      </c>
      <c r="I7287" s="6">
        <v>316.8</v>
      </c>
      <c r="J7287" s="5">
        <v>2400</v>
      </c>
      <c r="K7287" s="6">
        <f t="shared" si="297"/>
        <v>4.0719696969696972</v>
      </c>
    </row>
    <row r="7288" spans="1:11" hidden="1">
      <c r="A7288" s="4">
        <v>2026</v>
      </c>
      <c r="B7288">
        <v>15</v>
      </c>
      <c r="C7288" t="s">
        <v>54</v>
      </c>
      <c r="D7288" t="s">
        <v>11</v>
      </c>
      <c r="E7288" t="s">
        <v>91</v>
      </c>
      <c r="F7288" t="s">
        <v>74</v>
      </c>
      <c r="G7288" t="str">
        <f t="shared" si="299"/>
        <v>013VENDELA</v>
      </c>
      <c r="H7288" s="5">
        <v>14850</v>
      </c>
      <c r="I7288" s="6">
        <v>3603.6</v>
      </c>
      <c r="J7288" s="5">
        <v>27296</v>
      </c>
      <c r="K7288" s="6">
        <f t="shared" si="297"/>
        <v>4.1208791208791213</v>
      </c>
    </row>
    <row r="7289" spans="1:11" hidden="1">
      <c r="A7289" s="4">
        <v>2026</v>
      </c>
      <c r="B7289">
        <v>15</v>
      </c>
      <c r="C7289" t="s">
        <v>54</v>
      </c>
      <c r="D7289" t="s">
        <v>11</v>
      </c>
      <c r="E7289" t="s">
        <v>23</v>
      </c>
      <c r="F7289" t="s">
        <v>89</v>
      </c>
      <c r="G7289" t="str">
        <f t="shared" si="299"/>
        <v>014STARDUST</v>
      </c>
      <c r="H7289" s="5">
        <v>6825</v>
      </c>
      <c r="I7289" s="6">
        <v>3682.8</v>
      </c>
      <c r="J7289" s="5">
        <v>27900</v>
      </c>
      <c r="K7289" s="6">
        <f t="shared" si="297"/>
        <v>1.8532095144998371</v>
      </c>
    </row>
    <row r="7290" spans="1:11" hidden="1">
      <c r="A7290" s="4">
        <v>2026</v>
      </c>
      <c r="B7290">
        <v>15</v>
      </c>
      <c r="C7290" t="s">
        <v>54</v>
      </c>
      <c r="D7290" t="s">
        <v>11</v>
      </c>
      <c r="E7290" t="s">
        <v>25</v>
      </c>
      <c r="F7290" t="s">
        <v>68</v>
      </c>
      <c r="G7290" t="str">
        <f t="shared" si="299"/>
        <v>015JOCKER</v>
      </c>
      <c r="H7290" s="5">
        <v>4425</v>
      </c>
      <c r="I7290" s="6">
        <v>2376</v>
      </c>
      <c r="J7290" s="5">
        <v>18000</v>
      </c>
      <c r="K7290" s="6">
        <f t="shared" si="297"/>
        <v>1.8623737373737375</v>
      </c>
    </row>
    <row r="7291" spans="1:11" hidden="1">
      <c r="A7291" s="4">
        <v>2026</v>
      </c>
      <c r="B7291">
        <v>15</v>
      </c>
      <c r="C7291" t="s">
        <v>54</v>
      </c>
      <c r="D7291" t="s">
        <v>11</v>
      </c>
      <c r="E7291" t="s">
        <v>27</v>
      </c>
      <c r="F7291" t="s">
        <v>94</v>
      </c>
      <c r="G7291" t="str">
        <f t="shared" si="299"/>
        <v>016DREAM IN PEACH</v>
      </c>
      <c r="H7291" s="5">
        <v>1650</v>
      </c>
      <c r="I7291" s="6">
        <v>950.4</v>
      </c>
      <c r="J7291" s="5">
        <v>7200</v>
      </c>
      <c r="K7291" s="6">
        <f t="shared" si="297"/>
        <v>1.7361111111111112</v>
      </c>
    </row>
    <row r="7292" spans="1:11" hidden="1">
      <c r="A7292" s="4">
        <v>2026</v>
      </c>
      <c r="B7292">
        <v>15</v>
      </c>
      <c r="C7292" t="s">
        <v>54</v>
      </c>
      <c r="D7292" t="s">
        <v>11</v>
      </c>
      <c r="E7292" t="s">
        <v>27</v>
      </c>
      <c r="F7292" t="s">
        <v>95</v>
      </c>
      <c r="G7292" t="str">
        <f t="shared" si="299"/>
        <v>016NINA</v>
      </c>
      <c r="H7292" s="5">
        <v>4075</v>
      </c>
      <c r="I7292" s="6">
        <v>1346.4</v>
      </c>
      <c r="J7292" s="5">
        <v>10200</v>
      </c>
      <c r="K7292" s="6">
        <f t="shared" si="297"/>
        <v>3.0265894236482471</v>
      </c>
    </row>
    <row r="7293" spans="1:11" hidden="1">
      <c r="A7293" s="4">
        <v>2026</v>
      </c>
      <c r="B7293">
        <v>15</v>
      </c>
      <c r="C7293" t="s">
        <v>54</v>
      </c>
      <c r="D7293" t="s">
        <v>11</v>
      </c>
      <c r="E7293" t="s">
        <v>30</v>
      </c>
      <c r="F7293" t="s">
        <v>81</v>
      </c>
      <c r="G7293" t="str">
        <f t="shared" si="299"/>
        <v>017FREEDOM</v>
      </c>
      <c r="H7293" s="5">
        <v>7920</v>
      </c>
      <c r="I7293" s="6">
        <v>2851.2</v>
      </c>
      <c r="J7293" s="5">
        <v>21600</v>
      </c>
      <c r="K7293" s="6">
        <f t="shared" si="297"/>
        <v>2.7777777777777781</v>
      </c>
    </row>
    <row r="7294" spans="1:11" hidden="1">
      <c r="A7294" s="4">
        <v>2026</v>
      </c>
      <c r="B7294">
        <v>15</v>
      </c>
      <c r="C7294" t="s">
        <v>54</v>
      </c>
      <c r="D7294" t="s">
        <v>11</v>
      </c>
      <c r="E7294" t="s">
        <v>30</v>
      </c>
      <c r="F7294" t="s">
        <v>73</v>
      </c>
      <c r="G7294" t="str">
        <f t="shared" si="299"/>
        <v>017GOLDFINCH</v>
      </c>
      <c r="H7294" s="5">
        <v>2700</v>
      </c>
      <c r="I7294" s="6">
        <v>2138.4</v>
      </c>
      <c r="J7294" s="5">
        <v>16200</v>
      </c>
      <c r="K7294" s="6">
        <f t="shared" si="297"/>
        <v>1.2626262626262625</v>
      </c>
    </row>
    <row r="7295" spans="1:11" hidden="1">
      <c r="A7295" s="4">
        <v>2026</v>
      </c>
      <c r="B7295">
        <v>15</v>
      </c>
      <c r="C7295" t="s">
        <v>54</v>
      </c>
      <c r="D7295" t="s">
        <v>11</v>
      </c>
      <c r="E7295" t="s">
        <v>32</v>
      </c>
      <c r="F7295" t="s">
        <v>86</v>
      </c>
      <c r="G7295" t="str">
        <f t="shared" si="299"/>
        <v>018BRIGHTON</v>
      </c>
      <c r="H7295" s="5">
        <v>1500</v>
      </c>
      <c r="I7295" s="6">
        <v>963.6</v>
      </c>
      <c r="J7295" s="5">
        <v>7570</v>
      </c>
      <c r="K7295" s="6">
        <f t="shared" si="297"/>
        <v>1.5566625155666252</v>
      </c>
    </row>
    <row r="7296" spans="1:11" hidden="1">
      <c r="A7296" s="4">
        <v>2026</v>
      </c>
      <c r="B7296">
        <v>15</v>
      </c>
      <c r="C7296" t="s">
        <v>54</v>
      </c>
      <c r="D7296" t="s">
        <v>11</v>
      </c>
      <c r="E7296" t="s">
        <v>35</v>
      </c>
      <c r="F7296" t="s">
        <v>86</v>
      </c>
      <c r="G7296" t="str">
        <f t="shared" si="299"/>
        <v>019BRIGHTON</v>
      </c>
      <c r="H7296" s="5">
        <v>7450</v>
      </c>
      <c r="I7296" s="6">
        <v>3168</v>
      </c>
      <c r="J7296" s="5">
        <v>24000</v>
      </c>
      <c r="K7296" s="6">
        <f t="shared" si="297"/>
        <v>2.3516414141414139</v>
      </c>
    </row>
    <row r="7297" spans="1:11" hidden="1">
      <c r="A7297" s="4">
        <v>2026</v>
      </c>
      <c r="B7297">
        <v>15</v>
      </c>
      <c r="C7297" t="s">
        <v>54</v>
      </c>
      <c r="D7297" t="s">
        <v>11</v>
      </c>
      <c r="E7297" t="s">
        <v>35</v>
      </c>
      <c r="F7297" t="s">
        <v>96</v>
      </c>
      <c r="G7297" t="str">
        <f t="shared" si="299"/>
        <v>019TABATHA</v>
      </c>
      <c r="H7297" s="5">
        <v>3000</v>
      </c>
      <c r="I7297" s="6">
        <v>1188</v>
      </c>
      <c r="J7297" s="5">
        <v>9000</v>
      </c>
      <c r="K7297" s="6">
        <f t="shared" si="297"/>
        <v>2.5252525252525251</v>
      </c>
    </row>
    <row r="7298" spans="1:11" hidden="1">
      <c r="A7298" s="4">
        <v>2026</v>
      </c>
      <c r="B7298">
        <v>15</v>
      </c>
      <c r="C7298" t="s">
        <v>54</v>
      </c>
      <c r="D7298" t="s">
        <v>11</v>
      </c>
      <c r="E7298" t="s">
        <v>36</v>
      </c>
      <c r="F7298" t="s">
        <v>86</v>
      </c>
      <c r="G7298" t="str">
        <f t="shared" si="299"/>
        <v>020BRIGHTON</v>
      </c>
      <c r="H7298" s="5">
        <v>5250</v>
      </c>
      <c r="I7298" s="6">
        <v>2732.4</v>
      </c>
      <c r="J7298" s="5">
        <v>20700</v>
      </c>
      <c r="K7298" s="6">
        <f t="shared" si="297"/>
        <v>1.9213877909530084</v>
      </c>
    </row>
    <row r="7299" spans="1:11" hidden="1">
      <c r="A7299" s="4">
        <v>2026</v>
      </c>
      <c r="B7299">
        <v>15</v>
      </c>
      <c r="C7299" t="s">
        <v>54</v>
      </c>
      <c r="D7299" t="s">
        <v>11</v>
      </c>
      <c r="E7299" t="s">
        <v>36</v>
      </c>
      <c r="F7299" t="s">
        <v>97</v>
      </c>
      <c r="G7299" t="str">
        <f t="shared" si="299"/>
        <v>020TYCOON</v>
      </c>
      <c r="H7299" s="5">
        <v>1470</v>
      </c>
      <c r="I7299" s="6">
        <v>673.2</v>
      </c>
      <c r="J7299" s="5">
        <v>5100</v>
      </c>
      <c r="K7299" s="6">
        <f t="shared" si="297"/>
        <v>2.1836007130124777</v>
      </c>
    </row>
    <row r="7300" spans="1:11" hidden="1">
      <c r="A7300" s="4">
        <v>2026</v>
      </c>
      <c r="B7300">
        <v>15</v>
      </c>
      <c r="C7300" t="s">
        <v>54</v>
      </c>
      <c r="D7300" t="s">
        <v>11</v>
      </c>
      <c r="E7300" t="s">
        <v>38</v>
      </c>
      <c r="F7300" t="s">
        <v>98</v>
      </c>
      <c r="G7300" t="str">
        <f t="shared" si="299"/>
        <v>021SHOW GIRL</v>
      </c>
      <c r="H7300" s="5">
        <v>950</v>
      </c>
      <c r="I7300" s="6">
        <v>1100.4749999999999</v>
      </c>
      <c r="J7300" s="5">
        <v>8000</v>
      </c>
      <c r="K7300" s="6">
        <f t="shared" si="297"/>
        <v>0.86326359072218817</v>
      </c>
    </row>
    <row r="7301" spans="1:11" hidden="1">
      <c r="A7301" s="4">
        <v>2026</v>
      </c>
      <c r="B7301">
        <v>15</v>
      </c>
      <c r="C7301" t="s">
        <v>54</v>
      </c>
      <c r="D7301" t="s">
        <v>11</v>
      </c>
      <c r="E7301" t="s">
        <v>43</v>
      </c>
      <c r="F7301" t="s">
        <v>99</v>
      </c>
      <c r="G7301" t="str">
        <f t="shared" si="299"/>
        <v>022CORAL REEF</v>
      </c>
      <c r="H7301" s="5">
        <v>2825</v>
      </c>
      <c r="I7301" s="6">
        <v>1287</v>
      </c>
      <c r="J7301" s="5">
        <v>9400</v>
      </c>
      <c r="K7301" s="6">
        <f t="shared" ref="K7301:K7350" si="300">+H7301/I7301</f>
        <v>2.1950271950271949</v>
      </c>
    </row>
    <row r="7302" spans="1:11" hidden="1">
      <c r="A7302" s="4">
        <v>2026</v>
      </c>
      <c r="B7302">
        <v>15</v>
      </c>
      <c r="C7302" t="s">
        <v>54</v>
      </c>
      <c r="D7302" t="s">
        <v>11</v>
      </c>
      <c r="E7302" t="s">
        <v>100</v>
      </c>
      <c r="F7302" t="s">
        <v>70</v>
      </c>
      <c r="G7302" t="str">
        <f t="shared" si="299"/>
        <v>023COTOPAXI</v>
      </c>
      <c r="H7302" s="5">
        <v>6450</v>
      </c>
      <c r="I7302" s="6">
        <v>2641.14</v>
      </c>
      <c r="J7302" s="5">
        <v>19200</v>
      </c>
      <c r="K7302" s="6">
        <f t="shared" si="300"/>
        <v>2.4421272632272428</v>
      </c>
    </row>
    <row r="7303" spans="1:11" hidden="1">
      <c r="A7303" s="4">
        <v>2026</v>
      </c>
      <c r="B7303">
        <v>15</v>
      </c>
      <c r="C7303" t="s">
        <v>54</v>
      </c>
      <c r="D7303" t="s">
        <v>11</v>
      </c>
      <c r="E7303" t="s">
        <v>100</v>
      </c>
      <c r="F7303" t="s">
        <v>101</v>
      </c>
      <c r="G7303" t="str">
        <f t="shared" si="299"/>
        <v>023FRUTTETO</v>
      </c>
      <c r="H7303" s="5">
        <v>9960</v>
      </c>
      <c r="I7303" s="6">
        <v>2641.14</v>
      </c>
      <c r="J7303" s="5">
        <v>19200</v>
      </c>
      <c r="K7303" s="6">
        <f t="shared" si="300"/>
        <v>3.7710988436811377</v>
      </c>
    </row>
    <row r="7304" spans="1:11" hidden="1">
      <c r="A7304" s="4">
        <v>2026</v>
      </c>
      <c r="B7304">
        <v>15</v>
      </c>
      <c r="C7304" t="s">
        <v>54</v>
      </c>
      <c r="D7304" t="s">
        <v>11</v>
      </c>
      <c r="E7304" t="s">
        <v>102</v>
      </c>
      <c r="F7304" t="s">
        <v>70</v>
      </c>
      <c r="G7304" t="str">
        <f t="shared" si="299"/>
        <v>024COTOPAXI</v>
      </c>
      <c r="H7304" s="5">
        <v>4140</v>
      </c>
      <c r="I7304" s="6">
        <v>1430.6174906250001</v>
      </c>
      <c r="J7304" s="5">
        <v>10400</v>
      </c>
      <c r="K7304" s="6">
        <f t="shared" si="300"/>
        <v>2.8938552947450265</v>
      </c>
    </row>
    <row r="7305" spans="1:11" hidden="1">
      <c r="A7305" s="4">
        <v>2026</v>
      </c>
      <c r="B7305">
        <v>15</v>
      </c>
      <c r="C7305" t="s">
        <v>54</v>
      </c>
      <c r="D7305" t="s">
        <v>11</v>
      </c>
      <c r="E7305" t="s">
        <v>102</v>
      </c>
      <c r="F7305" t="s">
        <v>64</v>
      </c>
      <c r="G7305" t="str">
        <f t="shared" si="299"/>
        <v>024SWEETNESS</v>
      </c>
      <c r="H7305" s="5">
        <v>2820</v>
      </c>
      <c r="I7305" s="6">
        <v>1430.6175000000001</v>
      </c>
      <c r="J7305" s="5">
        <v>10400</v>
      </c>
      <c r="K7305" s="6">
        <f t="shared" si="300"/>
        <v>1.9711767820539032</v>
      </c>
    </row>
    <row r="7306" spans="1:11" hidden="1">
      <c r="A7306" s="4">
        <v>2026</v>
      </c>
      <c r="B7306">
        <v>15</v>
      </c>
      <c r="C7306" t="s">
        <v>54</v>
      </c>
      <c r="D7306" t="s">
        <v>11</v>
      </c>
      <c r="E7306" t="s">
        <v>102</v>
      </c>
      <c r="F7306" t="s">
        <v>97</v>
      </c>
      <c r="G7306" t="str">
        <f t="shared" si="299"/>
        <v>024TYCOON</v>
      </c>
      <c r="H7306" s="5">
        <v>5550</v>
      </c>
      <c r="I7306" s="6">
        <v>2861.2350000000001</v>
      </c>
      <c r="J7306" s="5">
        <v>20800</v>
      </c>
      <c r="K7306" s="6">
        <f t="shared" si="300"/>
        <v>1.9397218334041069</v>
      </c>
    </row>
    <row r="7307" spans="1:11" hidden="1">
      <c r="A7307" s="4">
        <v>2026</v>
      </c>
      <c r="B7307">
        <v>15</v>
      </c>
      <c r="C7307" t="s">
        <v>54</v>
      </c>
      <c r="D7307" t="s">
        <v>11</v>
      </c>
      <c r="E7307" t="s">
        <v>103</v>
      </c>
      <c r="F7307" t="s">
        <v>104</v>
      </c>
      <c r="G7307" t="str">
        <f t="shared" si="299"/>
        <v>025PINK MONDIAL</v>
      </c>
      <c r="H7307" s="5">
        <v>6525</v>
      </c>
      <c r="I7307" s="6">
        <v>3071.9505625000002</v>
      </c>
      <c r="J7307" s="5">
        <v>22400</v>
      </c>
      <c r="K7307" s="6">
        <f t="shared" si="300"/>
        <v>2.1240576198237564</v>
      </c>
    </row>
    <row r="7308" spans="1:11" hidden="1">
      <c r="A7308" s="4">
        <v>2026</v>
      </c>
      <c r="B7308">
        <v>15</v>
      </c>
      <c r="C7308" t="s">
        <v>54</v>
      </c>
      <c r="D7308" t="s">
        <v>11</v>
      </c>
      <c r="E7308" t="s">
        <v>45</v>
      </c>
      <c r="F7308" t="s">
        <v>105</v>
      </c>
      <c r="G7308" t="str">
        <f t="shared" si="299"/>
        <v>026LOLA</v>
      </c>
      <c r="H7308" s="5">
        <v>9550</v>
      </c>
      <c r="I7308" s="6">
        <v>2852.5250000000001</v>
      </c>
      <c r="J7308" s="5">
        <v>20800</v>
      </c>
      <c r="K7308" s="6">
        <f t="shared" si="300"/>
        <v>3.3479110612527498</v>
      </c>
    </row>
    <row r="7309" spans="1:11" hidden="1">
      <c r="A7309" s="4">
        <v>2026</v>
      </c>
      <c r="B7309">
        <v>15</v>
      </c>
      <c r="C7309" t="s">
        <v>54</v>
      </c>
      <c r="D7309" t="s">
        <v>11</v>
      </c>
      <c r="E7309" t="s">
        <v>45</v>
      </c>
      <c r="F7309" t="s">
        <v>106</v>
      </c>
      <c r="G7309" t="str">
        <f t="shared" si="299"/>
        <v>026PALOMA</v>
      </c>
      <c r="H7309" s="5">
        <v>11675</v>
      </c>
      <c r="I7309" s="6">
        <v>2852.5250000000001</v>
      </c>
      <c r="J7309" s="5">
        <v>20800</v>
      </c>
      <c r="K7309" s="6">
        <f t="shared" si="300"/>
        <v>4.0928650932068953</v>
      </c>
    </row>
    <row r="7310" spans="1:11" hidden="1">
      <c r="A7310" s="4">
        <v>2026</v>
      </c>
      <c r="B7310">
        <v>15</v>
      </c>
      <c r="C7310" t="s">
        <v>54</v>
      </c>
      <c r="D7310" t="s">
        <v>11</v>
      </c>
      <c r="E7310" t="s">
        <v>107</v>
      </c>
      <c r="F7310" t="s">
        <v>108</v>
      </c>
      <c r="G7310" t="str">
        <f t="shared" si="299"/>
        <v>027SATISFACTION</v>
      </c>
      <c r="H7310" s="5">
        <v>6510</v>
      </c>
      <c r="I7310" s="6">
        <v>2633.1</v>
      </c>
      <c r="J7310" s="5">
        <v>19200</v>
      </c>
      <c r="K7310" s="6">
        <f t="shared" si="300"/>
        <v>2.472370969579583</v>
      </c>
    </row>
    <row r="7311" spans="1:11" hidden="1">
      <c r="A7311" s="4">
        <v>2026</v>
      </c>
      <c r="B7311">
        <v>15</v>
      </c>
      <c r="C7311" t="s">
        <v>54</v>
      </c>
      <c r="D7311" t="s">
        <v>11</v>
      </c>
      <c r="E7311" t="s">
        <v>107</v>
      </c>
      <c r="F7311" t="s">
        <v>109</v>
      </c>
      <c r="G7311" t="str">
        <f t="shared" si="299"/>
        <v>027TIFFANY</v>
      </c>
      <c r="H7311" s="5">
        <v>5610</v>
      </c>
      <c r="I7311" s="6">
        <v>2633.1</v>
      </c>
      <c r="J7311" s="5">
        <v>19200</v>
      </c>
      <c r="K7311" s="6">
        <f t="shared" si="300"/>
        <v>2.1305685313888572</v>
      </c>
    </row>
    <row r="7312" spans="1:11" hidden="1">
      <c r="A7312" s="4">
        <v>2026</v>
      </c>
      <c r="B7312">
        <v>15</v>
      </c>
      <c r="C7312" t="s">
        <v>54</v>
      </c>
      <c r="D7312" t="s">
        <v>11</v>
      </c>
      <c r="E7312" t="s">
        <v>110</v>
      </c>
      <c r="F7312" t="s">
        <v>70</v>
      </c>
      <c r="G7312" t="str">
        <f t="shared" si="299"/>
        <v>028COTOPAXI</v>
      </c>
      <c r="H7312" s="5">
        <v>6360</v>
      </c>
      <c r="I7312" s="6">
        <v>2852.5250000000001</v>
      </c>
      <c r="J7312" s="5">
        <v>20800</v>
      </c>
      <c r="K7312" s="6">
        <f t="shared" si="300"/>
        <v>2.2296035968133494</v>
      </c>
    </row>
    <row r="7313" spans="1:11" hidden="1">
      <c r="A7313" s="4">
        <v>2026</v>
      </c>
      <c r="B7313">
        <v>15</v>
      </c>
      <c r="C7313" t="s">
        <v>54</v>
      </c>
      <c r="D7313" t="s">
        <v>11</v>
      </c>
      <c r="E7313" t="s">
        <v>110</v>
      </c>
      <c r="F7313" t="s">
        <v>67</v>
      </c>
      <c r="G7313" t="str">
        <f t="shared" si="299"/>
        <v>028DEEP PURPLE</v>
      </c>
      <c r="H7313" s="5">
        <v>11670</v>
      </c>
      <c r="I7313" s="6">
        <v>2852.5250000000001</v>
      </c>
      <c r="J7313" s="5">
        <v>20800</v>
      </c>
      <c r="K7313" s="6">
        <f t="shared" si="300"/>
        <v>4.091112260190533</v>
      </c>
    </row>
    <row r="7314" spans="1:11" hidden="1">
      <c r="A7314" s="4">
        <v>2026</v>
      </c>
      <c r="B7314">
        <v>15</v>
      </c>
      <c r="C7314" t="s">
        <v>54</v>
      </c>
      <c r="D7314" t="s">
        <v>11</v>
      </c>
      <c r="E7314" t="s">
        <v>111</v>
      </c>
      <c r="F7314" t="s">
        <v>112</v>
      </c>
      <c r="G7314" t="str">
        <f t="shared" si="299"/>
        <v>029PINK FLOYD</v>
      </c>
      <c r="H7314" s="5">
        <v>5650</v>
      </c>
      <c r="I7314" s="6">
        <v>3071.95</v>
      </c>
      <c r="J7314" s="5">
        <v>22400</v>
      </c>
      <c r="K7314" s="6">
        <f t="shared" si="300"/>
        <v>1.8392226435977148</v>
      </c>
    </row>
    <row r="7315" spans="1:11" hidden="1">
      <c r="A7315" s="4">
        <v>2026</v>
      </c>
      <c r="B7315">
        <v>15</v>
      </c>
      <c r="C7315" t="s">
        <v>54</v>
      </c>
      <c r="D7315" t="s">
        <v>11</v>
      </c>
      <c r="E7315" t="s">
        <v>47</v>
      </c>
      <c r="F7315" t="s">
        <v>57</v>
      </c>
      <c r="G7315" t="str">
        <f t="shared" si="299"/>
        <v>030EXPLORER</v>
      </c>
      <c r="H7315" s="5">
        <v>3300</v>
      </c>
      <c r="I7315" s="6">
        <v>1645.6875</v>
      </c>
      <c r="J7315" s="5">
        <v>12000</v>
      </c>
      <c r="K7315" s="6">
        <f t="shared" si="300"/>
        <v>2.0052409707189245</v>
      </c>
    </row>
    <row r="7316" spans="1:11" hidden="1">
      <c r="A7316" s="4">
        <v>2026</v>
      </c>
      <c r="B7316">
        <v>16</v>
      </c>
      <c r="C7316" t="s">
        <v>10</v>
      </c>
      <c r="D7316" t="s">
        <v>11</v>
      </c>
      <c r="E7316" t="s">
        <v>12</v>
      </c>
      <c r="F7316" t="s">
        <v>13</v>
      </c>
      <c r="G7316" t="str">
        <f t="shared" si="299"/>
        <v>002SOMERSET</v>
      </c>
      <c r="H7316" s="5">
        <v>12300</v>
      </c>
      <c r="I7316" s="6">
        <v>4121.4642855494085</v>
      </c>
      <c r="J7316" s="5">
        <v>31200</v>
      </c>
      <c r="K7316" s="6">
        <f t="shared" si="300"/>
        <v>2.9843762186963505</v>
      </c>
    </row>
    <row r="7317" spans="1:11" hidden="1">
      <c r="A7317" s="4">
        <v>2026</v>
      </c>
      <c r="B7317">
        <v>16</v>
      </c>
      <c r="C7317" t="s">
        <v>10</v>
      </c>
      <c r="D7317" t="s">
        <v>11</v>
      </c>
      <c r="E7317" t="s">
        <v>14</v>
      </c>
      <c r="F7317" t="s">
        <v>15</v>
      </c>
      <c r="G7317" t="str">
        <f t="shared" si="299"/>
        <v>004BELLINA</v>
      </c>
      <c r="H7317" s="5">
        <v>4155</v>
      </c>
      <c r="I7317" s="6">
        <v>1056.7857142434418</v>
      </c>
      <c r="J7317" s="5">
        <v>8000</v>
      </c>
      <c r="K7317" s="6">
        <f t="shared" si="300"/>
        <v>3.9317336939727516</v>
      </c>
    </row>
    <row r="7318" spans="1:11" hidden="1">
      <c r="A7318" s="4">
        <v>2026</v>
      </c>
      <c r="B7318">
        <v>16</v>
      </c>
      <c r="C7318" t="s">
        <v>10</v>
      </c>
      <c r="D7318" t="s">
        <v>11</v>
      </c>
      <c r="E7318" t="s">
        <v>16</v>
      </c>
      <c r="F7318" t="s">
        <v>17</v>
      </c>
      <c r="G7318" t="str">
        <f t="shared" si="299"/>
        <v>005ELBA</v>
      </c>
      <c r="H7318" s="5">
        <v>10380</v>
      </c>
      <c r="I7318" s="6">
        <v>2641.9642856076484</v>
      </c>
      <c r="J7318" s="5">
        <v>19996</v>
      </c>
      <c r="K7318" s="6">
        <f t="shared" si="300"/>
        <v>3.928894897083218</v>
      </c>
    </row>
    <row r="7319" spans="1:11" hidden="1">
      <c r="A7319" s="4">
        <v>2026</v>
      </c>
      <c r="B7319">
        <v>16</v>
      </c>
      <c r="C7319" t="s">
        <v>10</v>
      </c>
      <c r="D7319" t="s">
        <v>11</v>
      </c>
      <c r="E7319" t="s">
        <v>16</v>
      </c>
      <c r="F7319" t="s">
        <v>18</v>
      </c>
      <c r="G7319" t="str">
        <f t="shared" si="299"/>
        <v>005HOT BUBBLES</v>
      </c>
      <c r="H7319" s="5">
        <v>2020</v>
      </c>
      <c r="I7319" s="6">
        <v>528.39285712153003</v>
      </c>
      <c r="J7319" s="5">
        <v>4000</v>
      </c>
      <c r="K7319" s="6">
        <f t="shared" si="300"/>
        <v>3.8229131464875219</v>
      </c>
    </row>
    <row r="7320" spans="1:11" hidden="1">
      <c r="A7320" s="4">
        <v>2026</v>
      </c>
      <c r="B7320">
        <v>16</v>
      </c>
      <c r="C7320" t="s">
        <v>10</v>
      </c>
      <c r="D7320" t="s">
        <v>11</v>
      </c>
      <c r="E7320" t="s">
        <v>16</v>
      </c>
      <c r="F7320" t="s">
        <v>19</v>
      </c>
      <c r="G7320" t="str">
        <f t="shared" ref="G7320:G7381" si="301">+E7320&amp;F7320</f>
        <v>005SUSPIRO</v>
      </c>
      <c r="H7320" s="5">
        <v>6270</v>
      </c>
      <c r="I7320" s="6">
        <v>1902.2142856375078</v>
      </c>
      <c r="J7320" s="5">
        <v>14400</v>
      </c>
      <c r="K7320" s="6">
        <f t="shared" si="300"/>
        <v>3.2961586122767832</v>
      </c>
    </row>
    <row r="7321" spans="1:11" hidden="1">
      <c r="A7321" s="4">
        <v>2026</v>
      </c>
      <c r="B7321">
        <v>16</v>
      </c>
      <c r="C7321" t="s">
        <v>10</v>
      </c>
      <c r="D7321" t="s">
        <v>11</v>
      </c>
      <c r="E7321" t="s">
        <v>20</v>
      </c>
      <c r="F7321" t="s">
        <v>21</v>
      </c>
      <c r="G7321" t="str">
        <f t="shared" si="301"/>
        <v>007SNOW BUBBLES</v>
      </c>
      <c r="H7321" s="5">
        <v>2120</v>
      </c>
      <c r="I7321" s="6">
        <v>634.05652706821195</v>
      </c>
      <c r="J7321" s="5">
        <v>4800</v>
      </c>
      <c r="K7321" s="6">
        <f t="shared" si="300"/>
        <v>3.3435504714423199</v>
      </c>
    </row>
    <row r="7322" spans="1:11" hidden="1">
      <c r="A7322" s="4">
        <v>2026</v>
      </c>
      <c r="B7322">
        <v>16</v>
      </c>
      <c r="C7322" t="s">
        <v>10</v>
      </c>
      <c r="D7322" t="s">
        <v>11</v>
      </c>
      <c r="E7322" t="s">
        <v>22</v>
      </c>
      <c r="F7322" t="s">
        <v>18</v>
      </c>
      <c r="G7322" t="str">
        <f t="shared" si="301"/>
        <v>009HOT BUBBLES</v>
      </c>
      <c r="H7322" s="5">
        <v>14540</v>
      </c>
      <c r="I7322" s="6">
        <v>4487.9999999102474</v>
      </c>
      <c r="J7322" s="5">
        <v>31740</v>
      </c>
      <c r="K7322" s="6">
        <f t="shared" si="300"/>
        <v>3.2397504456975881</v>
      </c>
    </row>
    <row r="7323" spans="1:11" hidden="1">
      <c r="A7323" s="4">
        <v>2026</v>
      </c>
      <c r="B7323">
        <v>16</v>
      </c>
      <c r="C7323" t="s">
        <v>10</v>
      </c>
      <c r="D7323" t="s">
        <v>11</v>
      </c>
      <c r="E7323" t="s">
        <v>23</v>
      </c>
      <c r="F7323" t="s">
        <v>24</v>
      </c>
      <c r="G7323" t="str">
        <f t="shared" si="301"/>
        <v>014FRUITY BUBBLES</v>
      </c>
      <c r="H7323" s="5">
        <v>9075</v>
      </c>
      <c r="I7323" s="6">
        <v>1702.8</v>
      </c>
      <c r="J7323" s="5">
        <v>12900</v>
      </c>
      <c r="K7323" s="6">
        <f t="shared" si="300"/>
        <v>5.3294573643410859</v>
      </c>
    </row>
    <row r="7324" spans="1:11" hidden="1">
      <c r="A7324" s="4">
        <v>2026</v>
      </c>
      <c r="B7324">
        <v>16</v>
      </c>
      <c r="C7324" t="s">
        <v>10</v>
      </c>
      <c r="D7324" t="s">
        <v>11</v>
      </c>
      <c r="E7324" t="s">
        <v>25</v>
      </c>
      <c r="F7324" t="s">
        <v>26</v>
      </c>
      <c r="G7324" t="str">
        <f t="shared" si="301"/>
        <v>015FELLINI</v>
      </c>
      <c r="H7324" s="5">
        <v>8140</v>
      </c>
      <c r="I7324" s="6">
        <v>3009.6</v>
      </c>
      <c r="J7324" s="5">
        <v>22800</v>
      </c>
      <c r="K7324" s="6">
        <f t="shared" si="300"/>
        <v>2.7046783625730995</v>
      </c>
    </row>
    <row r="7325" spans="1:11" hidden="1">
      <c r="A7325" s="4">
        <v>2026</v>
      </c>
      <c r="B7325">
        <v>16</v>
      </c>
      <c r="C7325" t="s">
        <v>10</v>
      </c>
      <c r="D7325" t="s">
        <v>11</v>
      </c>
      <c r="E7325" t="s">
        <v>27</v>
      </c>
      <c r="F7325" t="s">
        <v>28</v>
      </c>
      <c r="G7325" t="str">
        <f t="shared" si="301"/>
        <v>016GOOD PEACH</v>
      </c>
      <c r="H7325" s="5">
        <v>6300</v>
      </c>
      <c r="I7325" s="6">
        <v>1386</v>
      </c>
      <c r="J7325" s="5">
        <v>10500</v>
      </c>
      <c r="K7325" s="6">
        <f t="shared" si="300"/>
        <v>4.5454545454545459</v>
      </c>
    </row>
    <row r="7326" spans="1:11" hidden="1">
      <c r="A7326" s="4">
        <v>2026</v>
      </c>
      <c r="B7326">
        <v>16</v>
      </c>
      <c r="C7326" t="s">
        <v>10</v>
      </c>
      <c r="D7326" t="s">
        <v>11</v>
      </c>
      <c r="E7326" t="s">
        <v>27</v>
      </c>
      <c r="F7326" t="s">
        <v>29</v>
      </c>
      <c r="G7326" t="str">
        <f t="shared" si="301"/>
        <v>016GOOD YELLOW</v>
      </c>
      <c r="H7326" s="5">
        <v>7110</v>
      </c>
      <c r="I7326" s="6">
        <v>1386</v>
      </c>
      <c r="J7326" s="5">
        <v>10500</v>
      </c>
      <c r="K7326" s="6">
        <f t="shared" si="300"/>
        <v>5.1298701298701301</v>
      </c>
    </row>
    <row r="7327" spans="1:11" hidden="1">
      <c r="A7327" s="4">
        <v>2026</v>
      </c>
      <c r="B7327">
        <v>16</v>
      </c>
      <c r="C7327" t="s">
        <v>10</v>
      </c>
      <c r="D7327" t="s">
        <v>11</v>
      </c>
      <c r="E7327" t="s">
        <v>30</v>
      </c>
      <c r="F7327" t="s">
        <v>31</v>
      </c>
      <c r="G7327" t="str">
        <f t="shared" si="301"/>
        <v>017ORANGE STAR</v>
      </c>
      <c r="H7327" s="5">
        <v>2725</v>
      </c>
      <c r="I7327" s="6">
        <v>1029.5999999999999</v>
      </c>
      <c r="J7327" s="5">
        <v>7800</v>
      </c>
      <c r="K7327" s="6">
        <f t="shared" si="300"/>
        <v>2.6466588966588969</v>
      </c>
    </row>
    <row r="7328" spans="1:11" hidden="1">
      <c r="A7328" s="4">
        <v>2026</v>
      </c>
      <c r="B7328">
        <v>16</v>
      </c>
      <c r="C7328" t="s">
        <v>10</v>
      </c>
      <c r="D7328" t="s">
        <v>11</v>
      </c>
      <c r="E7328" t="s">
        <v>32</v>
      </c>
      <c r="F7328" t="s">
        <v>33</v>
      </c>
      <c r="G7328" t="str">
        <f t="shared" si="301"/>
        <v>018COSMO</v>
      </c>
      <c r="H7328" s="5">
        <v>4725</v>
      </c>
      <c r="I7328" s="6">
        <v>2653.2</v>
      </c>
      <c r="J7328" s="5">
        <v>20100</v>
      </c>
      <c r="K7328" s="6">
        <f t="shared" si="300"/>
        <v>1.7808683853459975</v>
      </c>
    </row>
    <row r="7329" spans="1:11" hidden="1">
      <c r="A7329" s="4">
        <v>2026</v>
      </c>
      <c r="B7329">
        <v>16</v>
      </c>
      <c r="C7329" t="s">
        <v>10</v>
      </c>
      <c r="D7329" t="s">
        <v>11</v>
      </c>
      <c r="E7329" t="s">
        <v>32</v>
      </c>
      <c r="F7329" t="s">
        <v>34</v>
      </c>
      <c r="G7329" t="str">
        <f t="shared" si="301"/>
        <v>018RUBICON</v>
      </c>
      <c r="H7329" s="5">
        <v>5340</v>
      </c>
      <c r="I7329" s="6">
        <v>1768.8</v>
      </c>
      <c r="J7329" s="5">
        <v>13400</v>
      </c>
      <c r="K7329" s="6">
        <f t="shared" si="300"/>
        <v>3.0189959294436908</v>
      </c>
    </row>
    <row r="7330" spans="1:11" hidden="1">
      <c r="A7330" s="4">
        <v>2026</v>
      </c>
      <c r="B7330">
        <v>16</v>
      </c>
      <c r="C7330" t="s">
        <v>10</v>
      </c>
      <c r="D7330" t="s">
        <v>11</v>
      </c>
      <c r="E7330" t="s">
        <v>35</v>
      </c>
      <c r="F7330" t="s">
        <v>15</v>
      </c>
      <c r="G7330" t="str">
        <f t="shared" si="301"/>
        <v>019BELLINA</v>
      </c>
      <c r="H7330" s="5">
        <v>2880</v>
      </c>
      <c r="I7330" s="6">
        <v>1029.5999999999999</v>
      </c>
      <c r="J7330" s="5">
        <v>7800</v>
      </c>
      <c r="K7330" s="6">
        <f t="shared" si="300"/>
        <v>2.7972027972027975</v>
      </c>
    </row>
    <row r="7331" spans="1:11" hidden="1">
      <c r="A7331" s="4">
        <v>2026</v>
      </c>
      <c r="B7331">
        <v>16</v>
      </c>
      <c r="C7331" t="s">
        <v>10</v>
      </c>
      <c r="D7331" t="s">
        <v>11</v>
      </c>
      <c r="E7331" t="s">
        <v>36</v>
      </c>
      <c r="F7331" t="s">
        <v>37</v>
      </c>
      <c r="G7331" t="str">
        <f t="shared" si="301"/>
        <v>020SUMMER DANCE</v>
      </c>
      <c r="H7331" s="5">
        <v>6900</v>
      </c>
      <c r="I7331" s="6">
        <v>1346.4</v>
      </c>
      <c r="J7331" s="5">
        <v>10200</v>
      </c>
      <c r="K7331" s="6">
        <f t="shared" si="300"/>
        <v>5.1247771836007123</v>
      </c>
    </row>
    <row r="7332" spans="1:11" hidden="1">
      <c r="A7332" s="4">
        <v>2026</v>
      </c>
      <c r="B7332">
        <v>16</v>
      </c>
      <c r="C7332" t="s">
        <v>10</v>
      </c>
      <c r="D7332" t="s">
        <v>11</v>
      </c>
      <c r="E7332" t="s">
        <v>38</v>
      </c>
      <c r="F7332" t="s">
        <v>39</v>
      </c>
      <c r="G7332" t="str">
        <f t="shared" si="301"/>
        <v>021ELEGANT ROSEVER</v>
      </c>
      <c r="H7332" s="5">
        <v>2970</v>
      </c>
      <c r="I7332" s="6">
        <v>440.18999062500001</v>
      </c>
      <c r="J7332" s="5">
        <v>3200</v>
      </c>
      <c r="K7332" s="6">
        <f t="shared" si="300"/>
        <v>6.7470866290782094</v>
      </c>
    </row>
    <row r="7333" spans="1:11" hidden="1">
      <c r="A7333" s="4">
        <v>2026</v>
      </c>
      <c r="B7333">
        <v>16</v>
      </c>
      <c r="C7333" t="s">
        <v>10</v>
      </c>
      <c r="D7333" t="s">
        <v>11</v>
      </c>
      <c r="E7333" t="s">
        <v>38</v>
      </c>
      <c r="F7333" t="s">
        <v>40</v>
      </c>
      <c r="G7333" t="str">
        <f t="shared" si="301"/>
        <v>021FLAME CLUB</v>
      </c>
      <c r="H7333" s="5">
        <v>2650</v>
      </c>
      <c r="I7333" s="6">
        <v>880.38</v>
      </c>
      <c r="J7333" s="5">
        <v>6400</v>
      </c>
      <c r="K7333" s="6">
        <f t="shared" si="300"/>
        <v>3.0100638360707874</v>
      </c>
    </row>
    <row r="7334" spans="1:11" hidden="1">
      <c r="A7334" s="4">
        <v>2026</v>
      </c>
      <c r="B7334">
        <v>16</v>
      </c>
      <c r="C7334" t="s">
        <v>10</v>
      </c>
      <c r="D7334" t="s">
        <v>11</v>
      </c>
      <c r="E7334" t="s">
        <v>38</v>
      </c>
      <c r="F7334" t="s">
        <v>41</v>
      </c>
      <c r="G7334" t="str">
        <f t="shared" si="301"/>
        <v>021KELLY</v>
      </c>
      <c r="H7334" s="5">
        <v>800</v>
      </c>
      <c r="I7334" s="6">
        <v>330.14249999999998</v>
      </c>
      <c r="J7334" s="5">
        <v>2400</v>
      </c>
      <c r="K7334" s="6">
        <f t="shared" si="300"/>
        <v>2.423196044132458</v>
      </c>
    </row>
    <row r="7335" spans="1:11" hidden="1">
      <c r="A7335" s="4">
        <v>2026</v>
      </c>
      <c r="B7335">
        <v>16</v>
      </c>
      <c r="C7335" t="s">
        <v>10</v>
      </c>
      <c r="D7335" t="s">
        <v>11</v>
      </c>
      <c r="E7335" t="s">
        <v>38</v>
      </c>
      <c r="F7335" t="s">
        <v>42</v>
      </c>
      <c r="G7335" t="str">
        <f t="shared" si="301"/>
        <v>021LEILA</v>
      </c>
      <c r="H7335" s="5">
        <v>1975</v>
      </c>
      <c r="I7335" s="6">
        <v>770.33249999999998</v>
      </c>
      <c r="J7335" s="5">
        <v>5600</v>
      </c>
      <c r="K7335" s="6">
        <f t="shared" si="300"/>
        <v>2.5638279574080025</v>
      </c>
    </row>
    <row r="7336" spans="1:11" hidden="1">
      <c r="A7336" s="4">
        <v>2026</v>
      </c>
      <c r="B7336">
        <v>16</v>
      </c>
      <c r="C7336" t="s">
        <v>10</v>
      </c>
      <c r="D7336" t="s">
        <v>11</v>
      </c>
      <c r="E7336" t="s">
        <v>38</v>
      </c>
      <c r="F7336" t="s">
        <v>115</v>
      </c>
      <c r="G7336" t="str">
        <f t="shared" si="301"/>
        <v>021PISTACHIO KISS</v>
      </c>
      <c r="H7336" s="5">
        <v>25</v>
      </c>
      <c r="I7336" s="6">
        <v>880.38</v>
      </c>
      <c r="J7336" s="5">
        <v>6400</v>
      </c>
      <c r="K7336" s="6">
        <f t="shared" si="300"/>
        <v>2.8396828642177241E-2</v>
      </c>
    </row>
    <row r="7337" spans="1:11" hidden="1">
      <c r="A7337" s="4">
        <v>2026</v>
      </c>
      <c r="B7337">
        <v>16</v>
      </c>
      <c r="C7337" t="s">
        <v>10</v>
      </c>
      <c r="D7337" t="s">
        <v>11</v>
      </c>
      <c r="E7337" t="s">
        <v>38</v>
      </c>
      <c r="F7337" t="s">
        <v>21</v>
      </c>
      <c r="G7337" t="str">
        <f t="shared" si="301"/>
        <v>021SNOW BUBBLES</v>
      </c>
      <c r="H7337" s="5">
        <v>3800</v>
      </c>
      <c r="I7337" s="6">
        <v>1287.0000000000018</v>
      </c>
      <c r="J7337" s="5">
        <v>9400</v>
      </c>
      <c r="K7337" s="6">
        <f t="shared" si="300"/>
        <v>2.9526029526029482</v>
      </c>
    </row>
    <row r="7338" spans="1:11" hidden="1">
      <c r="A7338" s="4">
        <v>2026</v>
      </c>
      <c r="B7338">
        <v>16</v>
      </c>
      <c r="C7338" t="s">
        <v>10</v>
      </c>
      <c r="D7338" t="s">
        <v>11</v>
      </c>
      <c r="E7338" t="s">
        <v>43</v>
      </c>
      <c r="F7338" t="s">
        <v>24</v>
      </c>
      <c r="G7338" t="str">
        <f t="shared" si="301"/>
        <v>022FRUITY BUBBLES</v>
      </c>
      <c r="H7338" s="5">
        <v>10200</v>
      </c>
      <c r="I7338" s="6">
        <v>2641.14</v>
      </c>
      <c r="J7338" s="5">
        <v>19200</v>
      </c>
      <c r="K7338" s="6">
        <f t="shared" si="300"/>
        <v>3.8619686953361052</v>
      </c>
    </row>
    <row r="7339" spans="1:11" hidden="1">
      <c r="A7339" s="4">
        <v>2026</v>
      </c>
      <c r="B7339">
        <v>16</v>
      </c>
      <c r="C7339" t="s">
        <v>10</v>
      </c>
      <c r="D7339" t="s">
        <v>11</v>
      </c>
      <c r="E7339" t="s">
        <v>43</v>
      </c>
      <c r="F7339" t="s">
        <v>28</v>
      </c>
      <c r="G7339" t="str">
        <f t="shared" si="301"/>
        <v>022GOOD PEACH</v>
      </c>
      <c r="H7339" s="5">
        <v>3840</v>
      </c>
      <c r="I7339" s="6">
        <v>880.38</v>
      </c>
      <c r="J7339" s="5">
        <v>6400</v>
      </c>
      <c r="K7339" s="6">
        <f t="shared" si="300"/>
        <v>4.3617528794384244</v>
      </c>
    </row>
    <row r="7340" spans="1:11" hidden="1">
      <c r="A7340" s="4">
        <v>2026</v>
      </c>
      <c r="B7340">
        <v>16</v>
      </c>
      <c r="C7340" t="s">
        <v>10</v>
      </c>
      <c r="D7340" t="s">
        <v>11</v>
      </c>
      <c r="E7340" t="s">
        <v>43</v>
      </c>
      <c r="F7340" t="s">
        <v>44</v>
      </c>
      <c r="G7340" t="str">
        <f t="shared" si="301"/>
        <v>022MIRABEL</v>
      </c>
      <c r="H7340" s="5">
        <v>3580</v>
      </c>
      <c r="I7340" s="6">
        <v>880.38</v>
      </c>
      <c r="J7340" s="5">
        <v>6400</v>
      </c>
      <c r="K7340" s="6">
        <f t="shared" si="300"/>
        <v>4.0664258615597806</v>
      </c>
    </row>
    <row r="7341" spans="1:11" hidden="1">
      <c r="A7341" s="4">
        <v>2026</v>
      </c>
      <c r="B7341">
        <v>16</v>
      </c>
      <c r="C7341" t="s">
        <v>10</v>
      </c>
      <c r="D7341" t="s">
        <v>11</v>
      </c>
      <c r="E7341" t="s">
        <v>47</v>
      </c>
      <c r="F7341" t="s">
        <v>44</v>
      </c>
      <c r="G7341" t="str">
        <f t="shared" si="301"/>
        <v>030MIRABEL</v>
      </c>
      <c r="H7341" s="5">
        <v>8260</v>
      </c>
      <c r="I7341" s="6">
        <v>2413.6749943750001</v>
      </c>
      <c r="J7341" s="5">
        <v>17600</v>
      </c>
      <c r="K7341" s="6">
        <f t="shared" si="300"/>
        <v>3.4221674497393773</v>
      </c>
    </row>
    <row r="7342" spans="1:11" hidden="1">
      <c r="A7342" s="4">
        <v>2026</v>
      </c>
      <c r="B7342">
        <v>16</v>
      </c>
      <c r="C7342" t="s">
        <v>10</v>
      </c>
      <c r="D7342" t="s">
        <v>11</v>
      </c>
      <c r="E7342" t="s">
        <v>47</v>
      </c>
      <c r="F7342" t="s">
        <v>13</v>
      </c>
      <c r="G7342" t="str">
        <f t="shared" si="301"/>
        <v>030SOMERSET</v>
      </c>
      <c r="H7342" s="5">
        <v>6300</v>
      </c>
      <c r="I7342" s="6">
        <v>1645.6875</v>
      </c>
      <c r="J7342" s="5">
        <v>12000</v>
      </c>
      <c r="K7342" s="6">
        <f t="shared" si="300"/>
        <v>3.8281873077361284</v>
      </c>
    </row>
    <row r="7343" spans="1:11" hidden="1">
      <c r="A7343" s="4">
        <v>2026</v>
      </c>
      <c r="B7343">
        <v>16</v>
      </c>
      <c r="C7343" t="s">
        <v>10</v>
      </c>
      <c r="D7343" t="s">
        <v>11</v>
      </c>
      <c r="E7343" t="s">
        <v>48</v>
      </c>
      <c r="F7343" t="s">
        <v>49</v>
      </c>
      <c r="G7343" t="str">
        <f t="shared" si="301"/>
        <v>03182989</v>
      </c>
      <c r="H7343" s="5">
        <v>1980</v>
      </c>
      <c r="I7343" s="6">
        <v>726.32013058333712</v>
      </c>
      <c r="J7343" s="5">
        <v>5712</v>
      </c>
      <c r="K7343" s="6">
        <f t="shared" si="300"/>
        <v>2.726070663096976</v>
      </c>
    </row>
    <row r="7344" spans="1:11" hidden="1">
      <c r="A7344" s="4">
        <v>2026</v>
      </c>
      <c r="B7344">
        <v>16</v>
      </c>
      <c r="C7344" t="s">
        <v>10</v>
      </c>
      <c r="D7344" t="s">
        <v>11</v>
      </c>
      <c r="E7344" t="s">
        <v>48</v>
      </c>
      <c r="F7344" t="s">
        <v>34</v>
      </c>
      <c r="G7344" t="str">
        <f t="shared" si="301"/>
        <v>031RUBICON</v>
      </c>
      <c r="H7344" s="5">
        <v>4260</v>
      </c>
      <c r="I7344" s="6">
        <v>924.39958333667107</v>
      </c>
      <c r="J7344" s="5">
        <v>6720</v>
      </c>
      <c r="K7344" s="6">
        <f t="shared" si="300"/>
        <v>4.6083967115425297</v>
      </c>
    </row>
    <row r="7345" spans="1:11" hidden="1">
      <c r="A7345" s="4">
        <v>2026</v>
      </c>
      <c r="B7345">
        <v>16</v>
      </c>
      <c r="C7345" t="s">
        <v>10</v>
      </c>
      <c r="D7345" t="s">
        <v>11</v>
      </c>
      <c r="E7345" t="s">
        <v>48</v>
      </c>
      <c r="F7345" t="s">
        <v>13</v>
      </c>
      <c r="G7345" t="str">
        <f t="shared" si="301"/>
        <v>031SOMERSET</v>
      </c>
      <c r="H7345" s="5">
        <v>1960</v>
      </c>
      <c r="I7345" s="6">
        <v>1122.485208333339</v>
      </c>
      <c r="J7345" s="5">
        <v>8160</v>
      </c>
      <c r="K7345" s="6">
        <f t="shared" si="300"/>
        <v>1.7461254593369646</v>
      </c>
    </row>
    <row r="7346" spans="1:11" hidden="1">
      <c r="A7346" s="4">
        <v>2026</v>
      </c>
      <c r="B7346">
        <v>16</v>
      </c>
      <c r="C7346" t="s">
        <v>10</v>
      </c>
      <c r="D7346" t="s">
        <v>11</v>
      </c>
      <c r="E7346" t="s">
        <v>48</v>
      </c>
      <c r="F7346" t="s">
        <v>50</v>
      </c>
      <c r="G7346" t="str">
        <f t="shared" si="301"/>
        <v>031VELVET BLOSSOMS</v>
      </c>
      <c r="H7346" s="5">
        <v>1800</v>
      </c>
      <c r="I7346" s="6">
        <v>396.17125000000198</v>
      </c>
      <c r="J7346" s="5">
        <v>2880</v>
      </c>
      <c r="K7346" s="6">
        <f t="shared" si="300"/>
        <v>4.5434897156216936</v>
      </c>
    </row>
    <row r="7347" spans="1:11" hidden="1">
      <c r="A7347" s="4">
        <v>2026</v>
      </c>
      <c r="B7347">
        <v>16</v>
      </c>
      <c r="C7347" t="s">
        <v>10</v>
      </c>
      <c r="D7347" t="s">
        <v>11</v>
      </c>
      <c r="E7347" t="s">
        <v>51</v>
      </c>
      <c r="F7347" t="s">
        <v>17</v>
      </c>
      <c r="G7347" t="str">
        <f t="shared" si="301"/>
        <v>032ELBA</v>
      </c>
      <c r="H7347" s="5">
        <v>4140</v>
      </c>
      <c r="I7347" s="6">
        <v>1535.9749999999999</v>
      </c>
      <c r="J7347" s="5">
        <v>11200</v>
      </c>
      <c r="K7347" s="6">
        <f t="shared" si="300"/>
        <v>2.6953563697325804</v>
      </c>
    </row>
    <row r="7348" spans="1:11" hidden="1">
      <c r="A7348" s="4">
        <v>2026</v>
      </c>
      <c r="B7348">
        <v>16</v>
      </c>
      <c r="C7348" t="s">
        <v>10</v>
      </c>
      <c r="D7348" t="s">
        <v>11</v>
      </c>
      <c r="E7348" t="s">
        <v>51</v>
      </c>
      <c r="F7348" t="s">
        <v>44</v>
      </c>
      <c r="G7348" t="str">
        <f t="shared" si="301"/>
        <v>032MIRABEL</v>
      </c>
      <c r="H7348" s="5">
        <v>4540</v>
      </c>
      <c r="I7348" s="6">
        <v>1535.9749999999999</v>
      </c>
      <c r="J7348" s="5">
        <v>11200</v>
      </c>
      <c r="K7348" s="6">
        <f t="shared" si="300"/>
        <v>2.9557772750207523</v>
      </c>
    </row>
    <row r="7349" spans="1:11" hidden="1">
      <c r="A7349" s="4">
        <v>2026</v>
      </c>
      <c r="B7349">
        <v>16</v>
      </c>
      <c r="C7349" t="s">
        <v>10</v>
      </c>
      <c r="D7349" t="s">
        <v>11</v>
      </c>
      <c r="E7349" t="s">
        <v>52</v>
      </c>
      <c r="F7349" t="s">
        <v>53</v>
      </c>
      <c r="G7349" t="str">
        <f t="shared" si="301"/>
        <v>033CREAMY FOLIES</v>
      </c>
      <c r="H7349" s="5">
        <v>1110</v>
      </c>
      <c r="I7349" s="6">
        <v>594.25687500000299</v>
      </c>
      <c r="J7349" s="5">
        <v>4320</v>
      </c>
      <c r="K7349" s="6">
        <f t="shared" si="300"/>
        <v>1.8678791053111408</v>
      </c>
    </row>
    <row r="7350" spans="1:11" hidden="1">
      <c r="A7350" s="4">
        <v>2026</v>
      </c>
      <c r="B7350">
        <v>16</v>
      </c>
      <c r="C7350" t="s">
        <v>10</v>
      </c>
      <c r="D7350" t="s">
        <v>11</v>
      </c>
      <c r="E7350" t="s">
        <v>52</v>
      </c>
      <c r="F7350" t="s">
        <v>18</v>
      </c>
      <c r="G7350" t="str">
        <f t="shared" si="301"/>
        <v>033HOT BUBBLES</v>
      </c>
      <c r="H7350" s="5">
        <v>11460</v>
      </c>
      <c r="I7350" s="6">
        <v>2575.1131250013459</v>
      </c>
      <c r="J7350" s="5">
        <v>18720</v>
      </c>
      <c r="K7350" s="6">
        <f t="shared" si="300"/>
        <v>4.4502899265809965</v>
      </c>
    </row>
    <row r="7351" spans="1:11" hidden="1">
      <c r="A7351" s="4">
        <v>2026</v>
      </c>
      <c r="B7351">
        <v>16</v>
      </c>
      <c r="C7351" t="s">
        <v>54</v>
      </c>
      <c r="D7351" t="s">
        <v>11</v>
      </c>
      <c r="E7351" t="s">
        <v>55</v>
      </c>
      <c r="F7351" t="s">
        <v>56</v>
      </c>
      <c r="G7351" t="str">
        <f t="shared" si="301"/>
        <v>001BELIEVE IN PINK</v>
      </c>
      <c r="H7351" s="5">
        <v>2760</v>
      </c>
      <c r="I7351" s="6">
        <v>528.37931032368999</v>
      </c>
      <c r="J7351" s="5">
        <v>4000</v>
      </c>
      <c r="K7351" s="6">
        <f t="shared" ref="K7351:K7356" si="302">IFERROR(H7351/I7351,"")</f>
        <v>5.2235201986035351</v>
      </c>
    </row>
    <row r="7352" spans="1:11" hidden="1">
      <c r="A7352" s="4">
        <v>2026</v>
      </c>
      <c r="B7352">
        <v>16</v>
      </c>
      <c r="C7352" t="s">
        <v>54</v>
      </c>
      <c r="D7352" t="s">
        <v>11</v>
      </c>
      <c r="E7352" t="s">
        <v>55</v>
      </c>
      <c r="F7352" t="s">
        <v>57</v>
      </c>
      <c r="G7352" t="str">
        <f t="shared" si="301"/>
        <v>001EXPLORER</v>
      </c>
      <c r="H7352" s="5">
        <v>7500</v>
      </c>
      <c r="I7352" s="6">
        <v>2272.0310343918732</v>
      </c>
      <c r="J7352" s="5">
        <v>17200</v>
      </c>
      <c r="K7352" s="6">
        <f t="shared" si="302"/>
        <v>3.30101124785359</v>
      </c>
    </row>
    <row r="7353" spans="1:11" hidden="1">
      <c r="A7353" s="4">
        <v>2026</v>
      </c>
      <c r="B7353">
        <v>16</v>
      </c>
      <c r="C7353" t="s">
        <v>54</v>
      </c>
      <c r="D7353" t="s">
        <v>11</v>
      </c>
      <c r="E7353" t="s">
        <v>55</v>
      </c>
      <c r="F7353" t="s">
        <v>58</v>
      </c>
      <c r="G7353" t="str">
        <f t="shared" si="301"/>
        <v>001GRACE KELLY</v>
      </c>
      <c r="H7353" s="5">
        <v>4440</v>
      </c>
      <c r="I7353" s="6">
        <v>1162.4344827121224</v>
      </c>
      <c r="J7353" s="5">
        <v>8800</v>
      </c>
      <c r="K7353" s="6">
        <f t="shared" si="302"/>
        <v>3.8195701056982223</v>
      </c>
    </row>
    <row r="7354" spans="1:11" hidden="1">
      <c r="A7354" s="4">
        <v>2026</v>
      </c>
      <c r="B7354">
        <v>16</v>
      </c>
      <c r="C7354" t="s">
        <v>54</v>
      </c>
      <c r="D7354" t="s">
        <v>11</v>
      </c>
      <c r="E7354" t="s">
        <v>55</v>
      </c>
      <c r="F7354" t="s">
        <v>60</v>
      </c>
      <c r="G7354" t="str">
        <f t="shared" si="301"/>
        <v>001LIGHT HOUSE</v>
      </c>
      <c r="H7354" s="5">
        <v>5490</v>
      </c>
      <c r="I7354" s="6">
        <v>1056.7586206473827</v>
      </c>
      <c r="J7354" s="5">
        <v>8000</v>
      </c>
      <c r="K7354" s="6">
        <f t="shared" si="302"/>
        <v>5.1951315018719804</v>
      </c>
    </row>
    <row r="7355" spans="1:11" hidden="1">
      <c r="A7355" s="4">
        <v>2026</v>
      </c>
      <c r="B7355">
        <v>16</v>
      </c>
      <c r="C7355" t="s">
        <v>54</v>
      </c>
      <c r="D7355" t="s">
        <v>11</v>
      </c>
      <c r="E7355" t="s">
        <v>55</v>
      </c>
      <c r="F7355" t="s">
        <v>61</v>
      </c>
      <c r="G7355" t="str">
        <f t="shared" si="301"/>
        <v>001LUMIA</v>
      </c>
      <c r="H7355" s="5">
        <v>6030</v>
      </c>
      <c r="I7355" s="6">
        <v>1109.596551679753</v>
      </c>
      <c r="J7355" s="5">
        <v>8400</v>
      </c>
      <c r="K7355" s="6">
        <f t="shared" si="302"/>
        <v>5.4344076600378193</v>
      </c>
    </row>
    <row r="7356" spans="1:11" hidden="1">
      <c r="A7356" s="4">
        <v>2026</v>
      </c>
      <c r="B7356">
        <v>16</v>
      </c>
      <c r="C7356" t="s">
        <v>54</v>
      </c>
      <c r="D7356" t="s">
        <v>11</v>
      </c>
      <c r="E7356" t="s">
        <v>55</v>
      </c>
      <c r="F7356" t="s">
        <v>62</v>
      </c>
      <c r="G7356" t="str">
        <f t="shared" si="301"/>
        <v>001MOMENTUM</v>
      </c>
      <c r="H7356" s="5">
        <v>6825</v>
      </c>
      <c r="I7356" s="6">
        <v>1902.1655171652881</v>
      </c>
      <c r="J7356" s="5">
        <v>14400</v>
      </c>
      <c r="K7356" s="6">
        <f t="shared" si="302"/>
        <v>3.5880158369030846</v>
      </c>
    </row>
    <row r="7357" spans="1:11" hidden="1">
      <c r="A7357" s="4">
        <v>2026</v>
      </c>
      <c r="B7357">
        <v>16</v>
      </c>
      <c r="C7357" t="s">
        <v>54</v>
      </c>
      <c r="D7357" t="s">
        <v>11</v>
      </c>
      <c r="E7357" t="s">
        <v>12</v>
      </c>
      <c r="F7357" t="s">
        <v>63</v>
      </c>
      <c r="G7357" t="str">
        <f t="shared" si="301"/>
        <v>002SUMMER ROMANCE</v>
      </c>
      <c r="H7357" s="5">
        <v>1700</v>
      </c>
      <c r="I7357" s="6">
        <v>951.10714281909407</v>
      </c>
      <c r="J7357" s="5">
        <v>7200</v>
      </c>
      <c r="K7357" s="6">
        <f t="shared" ref="K7357:K7419" si="303">+H7357/I7357</f>
        <v>1.7873906350457822</v>
      </c>
    </row>
    <row r="7358" spans="1:11" hidden="1">
      <c r="A7358" s="4">
        <v>2026</v>
      </c>
      <c r="B7358">
        <v>16</v>
      </c>
      <c r="C7358" t="s">
        <v>54</v>
      </c>
      <c r="D7358" t="s">
        <v>11</v>
      </c>
      <c r="E7358" t="s">
        <v>12</v>
      </c>
      <c r="F7358" t="s">
        <v>64</v>
      </c>
      <c r="G7358" t="str">
        <f t="shared" si="301"/>
        <v>002SWEETNESS</v>
      </c>
      <c r="H7358" s="5">
        <v>11640</v>
      </c>
      <c r="I7358" s="6">
        <v>3804.4285712763772</v>
      </c>
      <c r="J7358" s="5">
        <v>28800</v>
      </c>
      <c r="K7358" s="6">
        <f t="shared" si="303"/>
        <v>3.0595922046960147</v>
      </c>
    </row>
    <row r="7359" spans="1:11" hidden="1">
      <c r="A7359" s="4">
        <v>2026</v>
      </c>
      <c r="B7359">
        <v>16</v>
      </c>
      <c r="C7359" t="s">
        <v>54</v>
      </c>
      <c r="D7359" t="s">
        <v>11</v>
      </c>
      <c r="E7359" t="s">
        <v>65</v>
      </c>
      <c r="F7359" t="s">
        <v>66</v>
      </c>
      <c r="G7359" t="str">
        <f t="shared" si="301"/>
        <v>003CABARET</v>
      </c>
      <c r="H7359" s="5">
        <v>16920</v>
      </c>
      <c r="I7359" s="6">
        <v>2641.8965516184649</v>
      </c>
      <c r="J7359" s="5">
        <v>20000</v>
      </c>
      <c r="K7359" s="6">
        <f t="shared" si="303"/>
        <v>6.4044899826356021</v>
      </c>
    </row>
    <row r="7360" spans="1:11" hidden="1">
      <c r="A7360" s="4">
        <v>2026</v>
      </c>
      <c r="B7360">
        <v>16</v>
      </c>
      <c r="C7360" t="s">
        <v>54</v>
      </c>
      <c r="D7360" t="s">
        <v>11</v>
      </c>
      <c r="E7360" t="s">
        <v>65</v>
      </c>
      <c r="F7360" t="s">
        <v>67</v>
      </c>
      <c r="G7360" t="str">
        <f t="shared" si="301"/>
        <v>003DEEP PURPLE</v>
      </c>
      <c r="H7360" s="5">
        <v>19710</v>
      </c>
      <c r="I7360" s="6">
        <v>3592.9793102010913</v>
      </c>
      <c r="J7360" s="5">
        <v>26044</v>
      </c>
      <c r="K7360" s="6">
        <f t="shared" si="303"/>
        <v>5.4856981625360026</v>
      </c>
    </row>
    <row r="7361" spans="1:11" hidden="1">
      <c r="A7361" s="4">
        <v>2026</v>
      </c>
      <c r="B7361">
        <v>16</v>
      </c>
      <c r="C7361" t="s">
        <v>54</v>
      </c>
      <c r="D7361" t="s">
        <v>11</v>
      </c>
      <c r="E7361" t="s">
        <v>65</v>
      </c>
      <c r="F7361" t="s">
        <v>57</v>
      </c>
      <c r="G7361" t="str">
        <f t="shared" si="301"/>
        <v>003EXPLORER</v>
      </c>
      <c r="H7361" s="5">
        <v>3200</v>
      </c>
      <c r="I7361" s="6">
        <v>1268.1103447768633</v>
      </c>
      <c r="J7361" s="5">
        <v>9600</v>
      </c>
      <c r="K7361" s="6">
        <f t="shared" si="303"/>
        <v>2.5234397094702925</v>
      </c>
    </row>
    <row r="7362" spans="1:11" hidden="1">
      <c r="A7362" s="4">
        <v>2026</v>
      </c>
      <c r="B7362">
        <v>16</v>
      </c>
      <c r="C7362" t="s">
        <v>54</v>
      </c>
      <c r="D7362" t="s">
        <v>11</v>
      </c>
      <c r="E7362" t="s">
        <v>65</v>
      </c>
      <c r="F7362" t="s">
        <v>68</v>
      </c>
      <c r="G7362" t="str">
        <f t="shared" si="301"/>
        <v>003JOCKER</v>
      </c>
      <c r="H7362" s="5">
        <v>2025</v>
      </c>
      <c r="I7362" s="6">
        <v>528.37931032368999</v>
      </c>
      <c r="J7362" s="5">
        <v>4000</v>
      </c>
      <c r="K7362" s="6">
        <f t="shared" si="303"/>
        <v>3.8324740587580286</v>
      </c>
    </row>
    <row r="7363" spans="1:11" hidden="1">
      <c r="A7363" s="4">
        <v>2026</v>
      </c>
      <c r="B7363">
        <v>16</v>
      </c>
      <c r="C7363" t="s">
        <v>54</v>
      </c>
      <c r="D7363" t="s">
        <v>11</v>
      </c>
      <c r="E7363" t="s">
        <v>65</v>
      </c>
      <c r="F7363" t="s">
        <v>69</v>
      </c>
      <c r="G7363" t="str">
        <f t="shared" si="301"/>
        <v>003QUICKSAND</v>
      </c>
      <c r="H7363" s="5">
        <v>3390</v>
      </c>
      <c r="I7363" s="6">
        <v>1162.4344827121247</v>
      </c>
      <c r="J7363" s="5">
        <v>8800</v>
      </c>
      <c r="K7363" s="6">
        <f t="shared" si="303"/>
        <v>2.9162933915128262</v>
      </c>
    </row>
    <row r="7364" spans="1:11" hidden="1">
      <c r="A7364" s="4">
        <v>2026</v>
      </c>
      <c r="B7364">
        <v>16</v>
      </c>
      <c r="C7364" t="s">
        <v>54</v>
      </c>
      <c r="D7364" t="s">
        <v>11</v>
      </c>
      <c r="E7364" t="s">
        <v>14</v>
      </c>
      <c r="F7364" t="s">
        <v>70</v>
      </c>
      <c r="G7364" t="str">
        <f t="shared" si="301"/>
        <v>004COTOPAXI</v>
      </c>
      <c r="H7364" s="5">
        <v>2280</v>
      </c>
      <c r="I7364" s="6">
        <v>528.3915024419166</v>
      </c>
      <c r="J7364" s="5">
        <v>4000</v>
      </c>
      <c r="K7364" s="6">
        <f t="shared" si="303"/>
        <v>4.3149823368906821</v>
      </c>
    </row>
    <row r="7365" spans="1:11" hidden="1">
      <c r="A7365" s="4">
        <v>2026</v>
      </c>
      <c r="B7365">
        <v>16</v>
      </c>
      <c r="C7365" t="s">
        <v>54</v>
      </c>
      <c r="D7365" t="s">
        <v>11</v>
      </c>
      <c r="E7365" t="s">
        <v>14</v>
      </c>
      <c r="F7365" t="s">
        <v>67</v>
      </c>
      <c r="G7365" t="str">
        <f t="shared" si="301"/>
        <v>004DEEP PURPLE</v>
      </c>
      <c r="H7365" s="5">
        <v>23910</v>
      </c>
      <c r="I7365" s="6">
        <v>3910.1071427007282</v>
      </c>
      <c r="J7365" s="5">
        <v>29260</v>
      </c>
      <c r="K7365" s="6">
        <f t="shared" si="303"/>
        <v>6.1149219515977915</v>
      </c>
    </row>
    <row r="7366" spans="1:11" hidden="1">
      <c r="A7366" s="4">
        <v>2026</v>
      </c>
      <c r="B7366">
        <v>16</v>
      </c>
      <c r="C7366" t="s">
        <v>54</v>
      </c>
      <c r="D7366" t="s">
        <v>11</v>
      </c>
      <c r="E7366" t="s">
        <v>14</v>
      </c>
      <c r="F7366" t="s">
        <v>71</v>
      </c>
      <c r="G7366" t="str">
        <f t="shared" si="301"/>
        <v>004HOT EXPLORER</v>
      </c>
      <c r="H7366" s="5">
        <v>5850</v>
      </c>
      <c r="I7366" s="6">
        <v>1902.2142856381945</v>
      </c>
      <c r="J7366" s="5">
        <v>14400</v>
      </c>
      <c r="K7366" s="6">
        <f t="shared" si="303"/>
        <v>3.0753632985346444</v>
      </c>
    </row>
    <row r="7367" spans="1:11" hidden="1">
      <c r="A7367" s="4">
        <v>2026</v>
      </c>
      <c r="B7367">
        <v>16</v>
      </c>
      <c r="C7367" t="s">
        <v>54</v>
      </c>
      <c r="D7367" t="s">
        <v>11</v>
      </c>
      <c r="E7367" t="s">
        <v>14</v>
      </c>
      <c r="F7367" t="s">
        <v>72</v>
      </c>
      <c r="G7367" t="str">
        <f t="shared" si="301"/>
        <v>004HOT MERENGUE</v>
      </c>
      <c r="H7367" s="5">
        <v>6210</v>
      </c>
      <c r="I7367" s="6">
        <v>1162.4642856677858</v>
      </c>
      <c r="J7367" s="5">
        <v>8800</v>
      </c>
      <c r="K7367" s="6">
        <f t="shared" si="303"/>
        <v>5.3420996038881503</v>
      </c>
    </row>
    <row r="7368" spans="1:11" hidden="1">
      <c r="A7368" s="4">
        <v>2026</v>
      </c>
      <c r="B7368">
        <v>16</v>
      </c>
      <c r="C7368" t="s">
        <v>54</v>
      </c>
      <c r="D7368" t="s">
        <v>11</v>
      </c>
      <c r="E7368" t="s">
        <v>14</v>
      </c>
      <c r="F7368" t="s">
        <v>64</v>
      </c>
      <c r="G7368" t="str">
        <f t="shared" si="301"/>
        <v>004SWEETNESS</v>
      </c>
      <c r="H7368" s="5">
        <v>900</v>
      </c>
      <c r="I7368" s="6">
        <v>317.03571427303262</v>
      </c>
      <c r="J7368" s="5">
        <v>2400</v>
      </c>
      <c r="K7368" s="6">
        <f t="shared" si="303"/>
        <v>2.8387968909550545</v>
      </c>
    </row>
    <row r="7369" spans="1:11" hidden="1">
      <c r="A7369" s="4">
        <v>2026</v>
      </c>
      <c r="B7369">
        <v>16</v>
      </c>
      <c r="C7369" t="s">
        <v>54</v>
      </c>
      <c r="D7369" t="s">
        <v>11</v>
      </c>
      <c r="E7369" t="s">
        <v>16</v>
      </c>
      <c r="F7369" t="s">
        <v>57</v>
      </c>
      <c r="G7369" t="str">
        <f t="shared" si="301"/>
        <v>005EXPLORER</v>
      </c>
      <c r="H7369" s="5">
        <v>2350</v>
      </c>
      <c r="I7369" s="6">
        <v>951.10714281875391</v>
      </c>
      <c r="J7369" s="5">
        <v>7200</v>
      </c>
      <c r="K7369" s="6">
        <f t="shared" si="303"/>
        <v>2.4708047013877001</v>
      </c>
    </row>
    <row r="7370" spans="1:11" hidden="1">
      <c r="A7370" s="4">
        <v>2026</v>
      </c>
      <c r="B7370">
        <v>16</v>
      </c>
      <c r="C7370" t="s">
        <v>54</v>
      </c>
      <c r="D7370" t="s">
        <v>11</v>
      </c>
      <c r="E7370" t="s">
        <v>16</v>
      </c>
      <c r="F7370" t="s">
        <v>73</v>
      </c>
      <c r="G7370" t="str">
        <f t="shared" si="301"/>
        <v>005GOLDFINCH</v>
      </c>
      <c r="H7370" s="5">
        <v>4425</v>
      </c>
      <c r="I7370" s="6">
        <v>898.26785710660101</v>
      </c>
      <c r="J7370" s="5">
        <v>6800</v>
      </c>
      <c r="K7370" s="6">
        <f t="shared" si="303"/>
        <v>4.9261475460708457</v>
      </c>
    </row>
    <row r="7371" spans="1:11" hidden="1">
      <c r="A7371" s="4">
        <v>2026</v>
      </c>
      <c r="B7371">
        <v>16</v>
      </c>
      <c r="C7371" t="s">
        <v>54</v>
      </c>
      <c r="D7371" t="s">
        <v>11</v>
      </c>
      <c r="E7371" t="s">
        <v>16</v>
      </c>
      <c r="F7371" t="s">
        <v>68</v>
      </c>
      <c r="G7371" t="str">
        <f t="shared" si="301"/>
        <v>005JOCKER</v>
      </c>
      <c r="H7371" s="5">
        <v>4875</v>
      </c>
      <c r="I7371" s="6">
        <v>1162.4642856673661</v>
      </c>
      <c r="J7371" s="5">
        <v>8800</v>
      </c>
      <c r="K7371" s="6">
        <f t="shared" si="303"/>
        <v>4.1936772252760282</v>
      </c>
    </row>
    <row r="7372" spans="1:11" hidden="1">
      <c r="A7372" s="4">
        <v>2026</v>
      </c>
      <c r="B7372">
        <v>16</v>
      </c>
      <c r="C7372" t="s">
        <v>54</v>
      </c>
      <c r="D7372" t="s">
        <v>11</v>
      </c>
      <c r="E7372" t="s">
        <v>16</v>
      </c>
      <c r="F7372" t="s">
        <v>74</v>
      </c>
      <c r="G7372" t="str">
        <f t="shared" si="301"/>
        <v>005VENDELA</v>
      </c>
      <c r="H7372" s="5">
        <v>3810</v>
      </c>
      <c r="I7372" s="6">
        <v>686.91071425798896</v>
      </c>
      <c r="J7372" s="5">
        <v>5200</v>
      </c>
      <c r="K7372" s="6">
        <f t="shared" si="303"/>
        <v>5.5465723869449581</v>
      </c>
    </row>
    <row r="7373" spans="1:11" hidden="1">
      <c r="A7373" s="4">
        <v>2026</v>
      </c>
      <c r="B7373">
        <v>16</v>
      </c>
      <c r="C7373" t="s">
        <v>54</v>
      </c>
      <c r="D7373" t="s">
        <v>11</v>
      </c>
      <c r="E7373" t="s">
        <v>75</v>
      </c>
      <c r="F7373" t="s">
        <v>76</v>
      </c>
      <c r="G7373" t="str">
        <f t="shared" si="301"/>
        <v>006ATOMIC</v>
      </c>
      <c r="H7373" s="5">
        <v>2500</v>
      </c>
      <c r="I7373" s="6">
        <v>845.428571394752</v>
      </c>
      <c r="J7373" s="5">
        <v>6400</v>
      </c>
      <c r="K7373" s="6">
        <f t="shared" si="303"/>
        <v>2.9570800947448541</v>
      </c>
    </row>
    <row r="7374" spans="1:11" hidden="1">
      <c r="A7374" s="4">
        <v>2026</v>
      </c>
      <c r="B7374">
        <v>16</v>
      </c>
      <c r="C7374" t="s">
        <v>54</v>
      </c>
      <c r="D7374" t="s">
        <v>11</v>
      </c>
      <c r="E7374" t="s">
        <v>75</v>
      </c>
      <c r="F7374" t="s">
        <v>57</v>
      </c>
      <c r="G7374" t="str">
        <f t="shared" si="301"/>
        <v>006EXPLORER</v>
      </c>
      <c r="H7374" s="5">
        <v>11825</v>
      </c>
      <c r="I7374" s="6">
        <v>3910.1071427007355</v>
      </c>
      <c r="J7374" s="5">
        <v>29600</v>
      </c>
      <c r="K7374" s="6">
        <f t="shared" si="303"/>
        <v>3.0242138050039209</v>
      </c>
    </row>
    <row r="7375" spans="1:11" hidden="1">
      <c r="A7375" s="4">
        <v>2026</v>
      </c>
      <c r="B7375">
        <v>16</v>
      </c>
      <c r="C7375" t="s">
        <v>54</v>
      </c>
      <c r="D7375" t="s">
        <v>11</v>
      </c>
      <c r="E7375" t="s">
        <v>75</v>
      </c>
      <c r="F7375" t="s">
        <v>77</v>
      </c>
      <c r="G7375" t="str">
        <f t="shared" si="301"/>
        <v>006MONDIAL</v>
      </c>
      <c r="H7375" s="5">
        <v>14575</v>
      </c>
      <c r="I7375" s="6">
        <v>4015.7857141250793</v>
      </c>
      <c r="J7375" s="5">
        <v>30400</v>
      </c>
      <c r="K7375" s="6">
        <f t="shared" si="303"/>
        <v>3.6294267268131515</v>
      </c>
    </row>
    <row r="7376" spans="1:11" hidden="1">
      <c r="A7376" s="4">
        <v>2026</v>
      </c>
      <c r="B7376">
        <v>16</v>
      </c>
      <c r="C7376" t="s">
        <v>54</v>
      </c>
      <c r="D7376" t="s">
        <v>11</v>
      </c>
      <c r="E7376" t="s">
        <v>20</v>
      </c>
      <c r="F7376" t="s">
        <v>70</v>
      </c>
      <c r="G7376" t="str">
        <f t="shared" si="301"/>
        <v>007COTOPAXI</v>
      </c>
      <c r="H7376" s="5">
        <v>12300</v>
      </c>
      <c r="I7376" s="6">
        <v>2747.5751230427709</v>
      </c>
      <c r="J7376" s="5">
        <v>20800</v>
      </c>
      <c r="K7376" s="6">
        <f t="shared" si="303"/>
        <v>4.4766746855600088</v>
      </c>
    </row>
    <row r="7377" spans="1:11" hidden="1">
      <c r="A7377" s="4">
        <v>2026</v>
      </c>
      <c r="B7377">
        <v>16</v>
      </c>
      <c r="C7377" t="s">
        <v>54</v>
      </c>
      <c r="D7377" t="s">
        <v>11</v>
      </c>
      <c r="E7377" t="s">
        <v>20</v>
      </c>
      <c r="F7377" t="s">
        <v>78</v>
      </c>
      <c r="G7377" t="str">
        <f t="shared" si="301"/>
        <v>007REDIANT</v>
      </c>
      <c r="H7377" s="5">
        <v>3660</v>
      </c>
      <c r="I7377" s="6">
        <v>1056.75862064738</v>
      </c>
      <c r="J7377" s="5">
        <v>9600</v>
      </c>
      <c r="K7377" s="6">
        <f t="shared" si="303"/>
        <v>3.4634210012479962</v>
      </c>
    </row>
    <row r="7378" spans="1:11" hidden="1">
      <c r="A7378" s="4">
        <v>2026</v>
      </c>
      <c r="B7378">
        <v>16</v>
      </c>
      <c r="C7378" t="s">
        <v>54</v>
      </c>
      <c r="D7378" t="s">
        <v>11</v>
      </c>
      <c r="E7378" t="s">
        <v>20</v>
      </c>
      <c r="F7378" t="s">
        <v>63</v>
      </c>
      <c r="G7378" t="str">
        <f t="shared" si="301"/>
        <v>007SUMMER ROMANCE</v>
      </c>
      <c r="H7378" s="5">
        <v>575</v>
      </c>
      <c r="I7378" s="6">
        <v>369.86551722658481</v>
      </c>
      <c r="J7378" s="5">
        <v>3080</v>
      </c>
      <c r="K7378" s="6">
        <f t="shared" si="303"/>
        <v>1.554619106727235</v>
      </c>
    </row>
    <row r="7379" spans="1:11" hidden="1">
      <c r="A7379" s="4">
        <v>2026</v>
      </c>
      <c r="B7379">
        <v>16</v>
      </c>
      <c r="C7379" t="s">
        <v>54</v>
      </c>
      <c r="D7379" t="s">
        <v>11</v>
      </c>
      <c r="E7379" t="s">
        <v>20</v>
      </c>
      <c r="F7379" t="s">
        <v>74</v>
      </c>
      <c r="G7379" t="str">
        <f t="shared" si="301"/>
        <v>007VENDELA</v>
      </c>
      <c r="H7379" s="5">
        <v>18960</v>
      </c>
      <c r="I7379" s="6">
        <v>3592.9793102011122</v>
      </c>
      <c r="J7379" s="5">
        <v>27820</v>
      </c>
      <c r="K7379" s="6">
        <f t="shared" si="303"/>
        <v>5.2769577453922887</v>
      </c>
    </row>
    <row r="7380" spans="1:11" hidden="1">
      <c r="A7380" s="4">
        <v>2026</v>
      </c>
      <c r="B7380">
        <v>16</v>
      </c>
      <c r="C7380" t="s">
        <v>54</v>
      </c>
      <c r="D7380" t="s">
        <v>11</v>
      </c>
      <c r="E7380" t="s">
        <v>79</v>
      </c>
      <c r="F7380" t="s">
        <v>67</v>
      </c>
      <c r="G7380" t="str">
        <f t="shared" si="301"/>
        <v>008DEEP PURPLE</v>
      </c>
      <c r="H7380" s="5">
        <v>14760</v>
      </c>
      <c r="I7380" s="6">
        <v>1585.2222221588099</v>
      </c>
      <c r="J7380" s="5">
        <v>11490</v>
      </c>
      <c r="K7380" s="6">
        <f t="shared" si="303"/>
        <v>9.31099740697511</v>
      </c>
    </row>
    <row r="7381" spans="1:11" hidden="1">
      <c r="A7381" s="4">
        <v>2026</v>
      </c>
      <c r="B7381">
        <v>16</v>
      </c>
      <c r="C7381" t="s">
        <v>54</v>
      </c>
      <c r="D7381" t="s">
        <v>11</v>
      </c>
      <c r="E7381" t="s">
        <v>79</v>
      </c>
      <c r="F7381" t="s">
        <v>81</v>
      </c>
      <c r="G7381" t="str">
        <f t="shared" si="301"/>
        <v>008FREEDOM</v>
      </c>
      <c r="H7381" s="5">
        <v>9840</v>
      </c>
      <c r="I7381" s="6">
        <v>2219.311111022334</v>
      </c>
      <c r="J7381" s="5">
        <v>16800</v>
      </c>
      <c r="K7381" s="6">
        <f t="shared" si="303"/>
        <v>4.433808289035766</v>
      </c>
    </row>
    <row r="7382" spans="1:11" hidden="1">
      <c r="A7382" s="4">
        <v>2026</v>
      </c>
      <c r="B7382">
        <v>16</v>
      </c>
      <c r="C7382" t="s">
        <v>54</v>
      </c>
      <c r="D7382" t="s">
        <v>11</v>
      </c>
      <c r="E7382" t="s">
        <v>79</v>
      </c>
      <c r="F7382" t="s">
        <v>68</v>
      </c>
      <c r="G7382" t="str">
        <f t="shared" ref="G7382:G7445" si="304">+E7382&amp;F7382</f>
        <v>008JOCKER</v>
      </c>
      <c r="H7382" s="5">
        <v>12500</v>
      </c>
      <c r="I7382" s="6">
        <v>2959.0814813631118</v>
      </c>
      <c r="J7382" s="5">
        <v>22400</v>
      </c>
      <c r="K7382" s="6">
        <f t="shared" si="303"/>
        <v>4.2242838119624295</v>
      </c>
    </row>
    <row r="7383" spans="1:11" hidden="1">
      <c r="A7383" s="4">
        <v>2026</v>
      </c>
      <c r="B7383">
        <v>16</v>
      </c>
      <c r="C7383" t="s">
        <v>54</v>
      </c>
      <c r="D7383" t="s">
        <v>11</v>
      </c>
      <c r="E7383" t="s">
        <v>79</v>
      </c>
      <c r="F7383" t="s">
        <v>61</v>
      </c>
      <c r="G7383" t="str">
        <f t="shared" si="304"/>
        <v>008LUMIA</v>
      </c>
      <c r="H7383" s="5">
        <v>4560</v>
      </c>
      <c r="I7383" s="6">
        <v>1796.5851851133182</v>
      </c>
      <c r="J7383" s="5">
        <v>13600</v>
      </c>
      <c r="K7383" s="6">
        <f t="shared" si="303"/>
        <v>2.5381485040534728</v>
      </c>
    </row>
    <row r="7384" spans="1:11" hidden="1">
      <c r="A7384" s="4">
        <v>2026</v>
      </c>
      <c r="B7384">
        <v>16</v>
      </c>
      <c r="C7384" t="s">
        <v>54</v>
      </c>
      <c r="D7384" t="s">
        <v>11</v>
      </c>
      <c r="E7384" t="s">
        <v>82</v>
      </c>
      <c r="F7384" t="s">
        <v>83</v>
      </c>
      <c r="G7384" t="str">
        <f t="shared" si="304"/>
        <v>010COOLDOWN</v>
      </c>
      <c r="H7384" s="5">
        <v>8350</v>
      </c>
      <c r="I7384" s="6">
        <v>1912.3542857142861</v>
      </c>
      <c r="J7384" s="5">
        <v>16320</v>
      </c>
      <c r="K7384" s="6">
        <f t="shared" si="303"/>
        <v>4.3663457458570134</v>
      </c>
    </row>
    <row r="7385" spans="1:11" hidden="1">
      <c r="A7385" s="4">
        <v>2026</v>
      </c>
      <c r="B7385">
        <v>16</v>
      </c>
      <c r="C7385" t="s">
        <v>54</v>
      </c>
      <c r="D7385" t="s">
        <v>11</v>
      </c>
      <c r="E7385" t="s">
        <v>82</v>
      </c>
      <c r="F7385" t="s">
        <v>84</v>
      </c>
      <c r="G7385" t="str">
        <f t="shared" si="304"/>
        <v>010VIOLET HILL</v>
      </c>
      <c r="H7385" s="5">
        <v>9990</v>
      </c>
      <c r="I7385" s="6">
        <v>2812.2857142428579</v>
      </c>
      <c r="J7385" s="5">
        <v>20000</v>
      </c>
      <c r="K7385" s="6">
        <f t="shared" si="303"/>
        <v>3.5522706492464522</v>
      </c>
    </row>
    <row r="7386" spans="1:11" hidden="1">
      <c r="A7386" s="4">
        <v>2026</v>
      </c>
      <c r="B7386">
        <v>16</v>
      </c>
      <c r="C7386" t="s">
        <v>54</v>
      </c>
      <c r="D7386" t="s">
        <v>11</v>
      </c>
      <c r="E7386" t="s">
        <v>85</v>
      </c>
      <c r="F7386" t="s">
        <v>86</v>
      </c>
      <c r="G7386" t="str">
        <f t="shared" si="304"/>
        <v>011BRIGHTON</v>
      </c>
      <c r="H7386" s="5">
        <v>4875</v>
      </c>
      <c r="I7386" s="6">
        <v>1768.8376470588223</v>
      </c>
      <c r="J7386" s="5">
        <v>12800</v>
      </c>
      <c r="K7386" s="6">
        <f t="shared" si="303"/>
        <v>2.7560471748812132</v>
      </c>
    </row>
    <row r="7387" spans="1:11" hidden="1">
      <c r="A7387" s="4">
        <v>2026</v>
      </c>
      <c r="B7387">
        <v>16</v>
      </c>
      <c r="C7387" t="s">
        <v>54</v>
      </c>
      <c r="D7387" t="s">
        <v>11</v>
      </c>
      <c r="E7387" t="s">
        <v>85</v>
      </c>
      <c r="F7387" t="s">
        <v>87</v>
      </c>
      <c r="G7387" t="str">
        <f t="shared" si="304"/>
        <v>011CANDLELIGHT</v>
      </c>
      <c r="H7387" s="5">
        <v>8920</v>
      </c>
      <c r="I7387" s="6">
        <v>2263.7999998868127</v>
      </c>
      <c r="J7387" s="5">
        <v>17920</v>
      </c>
      <c r="K7387" s="6">
        <f t="shared" si="303"/>
        <v>3.940277409862174</v>
      </c>
    </row>
    <row r="7388" spans="1:11" hidden="1">
      <c r="A7388" s="4">
        <v>2026</v>
      </c>
      <c r="B7388">
        <v>16</v>
      </c>
      <c r="C7388" t="s">
        <v>54</v>
      </c>
      <c r="D7388" t="s">
        <v>11</v>
      </c>
      <c r="E7388" t="s">
        <v>85</v>
      </c>
      <c r="F7388" t="s">
        <v>88</v>
      </c>
      <c r="G7388" t="str">
        <f t="shared" si="304"/>
        <v>011CAYENNE</v>
      </c>
      <c r="H7388" s="5">
        <v>3780</v>
      </c>
      <c r="I7388" s="6">
        <v>994.97117647058747</v>
      </c>
      <c r="J7388" s="5">
        <v>7200</v>
      </c>
      <c r="K7388" s="6">
        <f t="shared" si="303"/>
        <v>3.7991050287593344</v>
      </c>
    </row>
    <row r="7389" spans="1:11" hidden="1">
      <c r="A7389" s="4">
        <v>2026</v>
      </c>
      <c r="B7389">
        <v>16</v>
      </c>
      <c r="C7389" t="s">
        <v>54</v>
      </c>
      <c r="D7389" t="s">
        <v>11</v>
      </c>
      <c r="E7389" t="s">
        <v>85</v>
      </c>
      <c r="F7389" t="s">
        <v>61</v>
      </c>
      <c r="G7389" t="str">
        <f t="shared" si="304"/>
        <v>011LUMIA</v>
      </c>
      <c r="H7389" s="5">
        <v>4380</v>
      </c>
      <c r="I7389" s="6">
        <v>994.97117647058747</v>
      </c>
      <c r="J7389" s="5">
        <v>7920</v>
      </c>
      <c r="K7389" s="6">
        <f t="shared" si="303"/>
        <v>4.4021375730068479</v>
      </c>
    </row>
    <row r="7390" spans="1:11" hidden="1">
      <c r="A7390" s="4">
        <v>2026</v>
      </c>
      <c r="B7390">
        <v>16</v>
      </c>
      <c r="C7390" t="s">
        <v>54</v>
      </c>
      <c r="D7390" t="s">
        <v>11</v>
      </c>
      <c r="E7390" t="s">
        <v>85</v>
      </c>
      <c r="F7390" t="s">
        <v>89</v>
      </c>
      <c r="G7390" t="str">
        <f t="shared" si="304"/>
        <v>011STARDUST</v>
      </c>
      <c r="H7390" s="5">
        <v>4350</v>
      </c>
      <c r="I7390" s="6">
        <v>2263.7999998868127</v>
      </c>
      <c r="J7390" s="5">
        <v>17920</v>
      </c>
      <c r="K7390" s="6">
        <f t="shared" si="303"/>
        <v>1.921547840011262</v>
      </c>
    </row>
    <row r="7391" spans="1:11" hidden="1">
      <c r="A7391" s="4">
        <v>2026</v>
      </c>
      <c r="B7391">
        <v>16</v>
      </c>
      <c r="C7391" t="s">
        <v>54</v>
      </c>
      <c r="D7391" t="s">
        <v>11</v>
      </c>
      <c r="E7391" t="s">
        <v>90</v>
      </c>
      <c r="F7391" t="s">
        <v>67</v>
      </c>
      <c r="G7391" t="str">
        <f t="shared" si="304"/>
        <v>012DEEP PURPLE</v>
      </c>
      <c r="H7391" s="5">
        <v>45810</v>
      </c>
      <c r="I7391" s="6">
        <v>6727.0499997982479</v>
      </c>
      <c r="J7391" s="5">
        <v>49210</v>
      </c>
      <c r="K7391" s="6">
        <f t="shared" si="303"/>
        <v>6.8098200550574015</v>
      </c>
    </row>
    <row r="7392" spans="1:11" hidden="1">
      <c r="A7392" s="4">
        <v>2026</v>
      </c>
      <c r="B7392">
        <v>16</v>
      </c>
      <c r="C7392" t="s">
        <v>54</v>
      </c>
      <c r="D7392" t="s">
        <v>11</v>
      </c>
      <c r="E7392" t="s">
        <v>90</v>
      </c>
      <c r="F7392" t="s">
        <v>60</v>
      </c>
      <c r="G7392" t="str">
        <f t="shared" si="304"/>
        <v>012LIGHT HOUSE</v>
      </c>
      <c r="H7392" s="5">
        <v>4650</v>
      </c>
      <c r="I7392" s="6">
        <v>994.95</v>
      </c>
      <c r="J7392" s="5">
        <v>7200</v>
      </c>
      <c r="K7392" s="6">
        <f t="shared" si="303"/>
        <v>4.6736016885270617</v>
      </c>
    </row>
    <row r="7393" spans="1:11" hidden="1">
      <c r="A7393" s="4">
        <v>2026</v>
      </c>
      <c r="B7393">
        <v>16</v>
      </c>
      <c r="C7393" t="s">
        <v>54</v>
      </c>
      <c r="D7393" t="s">
        <v>11</v>
      </c>
      <c r="E7393" t="s">
        <v>91</v>
      </c>
      <c r="F7393" t="s">
        <v>92</v>
      </c>
      <c r="G7393" t="str">
        <f t="shared" si="304"/>
        <v>013COUNTRY BLUES</v>
      </c>
      <c r="H7393" s="5">
        <v>2940</v>
      </c>
      <c r="I7393" s="6">
        <v>831.6</v>
      </c>
      <c r="J7393" s="5">
        <v>6300</v>
      </c>
      <c r="K7393" s="6">
        <f t="shared" si="303"/>
        <v>3.5353535353535355</v>
      </c>
    </row>
    <row r="7394" spans="1:11" hidden="1">
      <c r="A7394" s="4">
        <v>2026</v>
      </c>
      <c r="B7394">
        <v>16</v>
      </c>
      <c r="C7394" t="s">
        <v>54</v>
      </c>
      <c r="D7394" t="s">
        <v>11</v>
      </c>
      <c r="E7394" t="s">
        <v>91</v>
      </c>
      <c r="F7394" t="s">
        <v>93</v>
      </c>
      <c r="G7394" t="str">
        <f t="shared" si="304"/>
        <v>013LORRAINE</v>
      </c>
      <c r="H7394" s="5">
        <v>6275</v>
      </c>
      <c r="I7394" s="6">
        <v>1267.2</v>
      </c>
      <c r="J7394" s="5">
        <v>9600</v>
      </c>
      <c r="K7394" s="6">
        <f t="shared" si="303"/>
        <v>4.9518623737373737</v>
      </c>
    </row>
    <row r="7395" spans="1:11" hidden="1">
      <c r="A7395" s="4">
        <v>2026</v>
      </c>
      <c r="B7395">
        <v>16</v>
      </c>
      <c r="C7395" t="s">
        <v>54</v>
      </c>
      <c r="D7395" t="s">
        <v>11</v>
      </c>
      <c r="E7395" t="s">
        <v>91</v>
      </c>
      <c r="F7395" t="s">
        <v>61</v>
      </c>
      <c r="G7395" t="str">
        <f t="shared" si="304"/>
        <v>013LUMIA</v>
      </c>
      <c r="H7395" s="5">
        <v>2160</v>
      </c>
      <c r="I7395" s="6">
        <v>316.8</v>
      </c>
      <c r="J7395" s="5">
        <v>2400</v>
      </c>
      <c r="K7395" s="6">
        <f t="shared" si="303"/>
        <v>6.8181818181818183</v>
      </c>
    </row>
    <row r="7396" spans="1:11" hidden="1">
      <c r="A7396" s="4">
        <v>2026</v>
      </c>
      <c r="B7396">
        <v>16</v>
      </c>
      <c r="C7396" t="s">
        <v>54</v>
      </c>
      <c r="D7396" t="s">
        <v>11</v>
      </c>
      <c r="E7396" t="s">
        <v>91</v>
      </c>
      <c r="F7396" t="s">
        <v>74</v>
      </c>
      <c r="G7396" t="str">
        <f t="shared" si="304"/>
        <v>013VENDELA</v>
      </c>
      <c r="H7396" s="5">
        <v>25350</v>
      </c>
      <c r="I7396" s="6">
        <v>3603.6</v>
      </c>
      <c r="J7396" s="5">
        <v>27296</v>
      </c>
      <c r="K7396" s="6">
        <f t="shared" si="303"/>
        <v>7.0346320346320352</v>
      </c>
    </row>
    <row r="7397" spans="1:11" hidden="1">
      <c r="A7397" s="4">
        <v>2026</v>
      </c>
      <c r="B7397">
        <v>16</v>
      </c>
      <c r="C7397" t="s">
        <v>54</v>
      </c>
      <c r="D7397" t="s">
        <v>11</v>
      </c>
      <c r="E7397" t="s">
        <v>23</v>
      </c>
      <c r="F7397" t="s">
        <v>89</v>
      </c>
      <c r="G7397" t="str">
        <f t="shared" si="304"/>
        <v>014STARDUST</v>
      </c>
      <c r="H7397" s="5">
        <v>13050</v>
      </c>
      <c r="I7397" s="6">
        <v>3682.8</v>
      </c>
      <c r="J7397" s="5">
        <v>27900</v>
      </c>
      <c r="K7397" s="6">
        <f t="shared" si="303"/>
        <v>3.5434995112414467</v>
      </c>
    </row>
    <row r="7398" spans="1:11" hidden="1">
      <c r="A7398" s="4">
        <v>2026</v>
      </c>
      <c r="B7398">
        <v>16</v>
      </c>
      <c r="C7398" t="s">
        <v>54</v>
      </c>
      <c r="D7398" t="s">
        <v>11</v>
      </c>
      <c r="E7398" t="s">
        <v>25</v>
      </c>
      <c r="F7398" t="s">
        <v>68</v>
      </c>
      <c r="G7398" t="str">
        <f t="shared" si="304"/>
        <v>015JOCKER</v>
      </c>
      <c r="H7398" s="5">
        <v>14025</v>
      </c>
      <c r="I7398" s="6">
        <v>2376</v>
      </c>
      <c r="J7398" s="5">
        <v>18000</v>
      </c>
      <c r="K7398" s="6">
        <f t="shared" si="303"/>
        <v>5.9027777777777777</v>
      </c>
    </row>
    <row r="7399" spans="1:11" hidden="1">
      <c r="A7399" s="4">
        <v>2026</v>
      </c>
      <c r="B7399">
        <v>16</v>
      </c>
      <c r="C7399" t="s">
        <v>54</v>
      </c>
      <c r="D7399" t="s">
        <v>11</v>
      </c>
      <c r="E7399" t="s">
        <v>27</v>
      </c>
      <c r="F7399" t="s">
        <v>94</v>
      </c>
      <c r="G7399" t="str">
        <f t="shared" si="304"/>
        <v>016DREAM IN PEACH</v>
      </c>
      <c r="H7399" s="5">
        <v>3450</v>
      </c>
      <c r="I7399" s="6">
        <v>950.4</v>
      </c>
      <c r="J7399" s="5">
        <v>7200</v>
      </c>
      <c r="K7399" s="6">
        <f t="shared" si="303"/>
        <v>3.6300505050505052</v>
      </c>
    </row>
    <row r="7400" spans="1:11" hidden="1">
      <c r="A7400" s="4">
        <v>2026</v>
      </c>
      <c r="B7400">
        <v>16</v>
      </c>
      <c r="C7400" t="s">
        <v>54</v>
      </c>
      <c r="D7400" t="s">
        <v>11</v>
      </c>
      <c r="E7400" t="s">
        <v>27</v>
      </c>
      <c r="F7400" t="s">
        <v>95</v>
      </c>
      <c r="G7400" t="str">
        <f t="shared" si="304"/>
        <v>016NINA</v>
      </c>
      <c r="H7400" s="5">
        <v>6400</v>
      </c>
      <c r="I7400" s="6">
        <v>1346.4</v>
      </c>
      <c r="J7400" s="5">
        <v>10200</v>
      </c>
      <c r="K7400" s="6">
        <f t="shared" si="303"/>
        <v>4.7534165181223997</v>
      </c>
    </row>
    <row r="7401" spans="1:11" hidden="1">
      <c r="A7401" s="4">
        <v>2026</v>
      </c>
      <c r="B7401">
        <v>16</v>
      </c>
      <c r="C7401" t="s">
        <v>54</v>
      </c>
      <c r="D7401" t="s">
        <v>11</v>
      </c>
      <c r="E7401" t="s">
        <v>30</v>
      </c>
      <c r="F7401" t="s">
        <v>81</v>
      </c>
      <c r="G7401" t="str">
        <f t="shared" si="304"/>
        <v>017FREEDOM</v>
      </c>
      <c r="H7401" s="5">
        <v>12450</v>
      </c>
      <c r="I7401" s="6">
        <v>2851.2</v>
      </c>
      <c r="J7401" s="5">
        <v>21600</v>
      </c>
      <c r="K7401" s="6">
        <f t="shared" si="303"/>
        <v>4.3665824915824922</v>
      </c>
    </row>
    <row r="7402" spans="1:11" hidden="1">
      <c r="A7402" s="4">
        <v>2026</v>
      </c>
      <c r="B7402">
        <v>16</v>
      </c>
      <c r="C7402" t="s">
        <v>54</v>
      </c>
      <c r="D7402" t="s">
        <v>11</v>
      </c>
      <c r="E7402" t="s">
        <v>30</v>
      </c>
      <c r="F7402" t="s">
        <v>73</v>
      </c>
      <c r="G7402" t="str">
        <f t="shared" si="304"/>
        <v>017GOLDFINCH</v>
      </c>
      <c r="H7402" s="5">
        <v>9300</v>
      </c>
      <c r="I7402" s="6">
        <v>2138.4</v>
      </c>
      <c r="J7402" s="5">
        <v>16200</v>
      </c>
      <c r="K7402" s="6">
        <f t="shared" si="303"/>
        <v>4.3490460157126822</v>
      </c>
    </row>
    <row r="7403" spans="1:11" hidden="1">
      <c r="A7403" s="4">
        <v>2026</v>
      </c>
      <c r="B7403">
        <v>16</v>
      </c>
      <c r="C7403" t="s">
        <v>54</v>
      </c>
      <c r="D7403" t="s">
        <v>11</v>
      </c>
      <c r="E7403" t="s">
        <v>32</v>
      </c>
      <c r="F7403" t="s">
        <v>86</v>
      </c>
      <c r="G7403" t="str">
        <f t="shared" si="304"/>
        <v>018BRIGHTON</v>
      </c>
      <c r="H7403" s="5">
        <v>3325</v>
      </c>
      <c r="I7403" s="6">
        <v>963.6</v>
      </c>
      <c r="J7403" s="5">
        <v>7570</v>
      </c>
      <c r="K7403" s="6">
        <f t="shared" si="303"/>
        <v>3.4506019095060192</v>
      </c>
    </row>
    <row r="7404" spans="1:11" hidden="1">
      <c r="A7404" s="4">
        <v>2026</v>
      </c>
      <c r="B7404">
        <v>16</v>
      </c>
      <c r="C7404" t="s">
        <v>54</v>
      </c>
      <c r="D7404" t="s">
        <v>11</v>
      </c>
      <c r="E7404" t="s">
        <v>35</v>
      </c>
      <c r="F7404" t="s">
        <v>86</v>
      </c>
      <c r="G7404" t="str">
        <f t="shared" si="304"/>
        <v>019BRIGHTON</v>
      </c>
      <c r="H7404" s="5">
        <v>14700</v>
      </c>
      <c r="I7404" s="6">
        <v>3168</v>
      </c>
      <c r="J7404" s="5">
        <v>24000</v>
      </c>
      <c r="K7404" s="6">
        <f t="shared" si="303"/>
        <v>4.6401515151515156</v>
      </c>
    </row>
    <row r="7405" spans="1:11" hidden="1">
      <c r="A7405" s="4">
        <v>2026</v>
      </c>
      <c r="B7405">
        <v>16</v>
      </c>
      <c r="C7405" t="s">
        <v>54</v>
      </c>
      <c r="D7405" t="s">
        <v>11</v>
      </c>
      <c r="E7405" t="s">
        <v>35</v>
      </c>
      <c r="F7405" t="s">
        <v>96</v>
      </c>
      <c r="G7405" t="str">
        <f t="shared" si="304"/>
        <v>019TABATHA</v>
      </c>
      <c r="H7405" s="5">
        <v>3870</v>
      </c>
      <c r="I7405" s="6">
        <v>1188</v>
      </c>
      <c r="J7405" s="5">
        <v>9000</v>
      </c>
      <c r="K7405" s="6">
        <f t="shared" si="303"/>
        <v>3.2575757575757578</v>
      </c>
    </row>
    <row r="7406" spans="1:11" hidden="1">
      <c r="A7406" s="4">
        <v>2026</v>
      </c>
      <c r="B7406">
        <v>16</v>
      </c>
      <c r="C7406" t="s">
        <v>54</v>
      </c>
      <c r="D7406" t="s">
        <v>11</v>
      </c>
      <c r="E7406" t="s">
        <v>36</v>
      </c>
      <c r="F7406" t="s">
        <v>86</v>
      </c>
      <c r="G7406" t="str">
        <f t="shared" si="304"/>
        <v>020BRIGHTON</v>
      </c>
      <c r="H7406" s="5">
        <v>15175</v>
      </c>
      <c r="I7406" s="6">
        <v>2732.4</v>
      </c>
      <c r="J7406" s="5">
        <v>20700</v>
      </c>
      <c r="K7406" s="6">
        <f t="shared" si="303"/>
        <v>5.5537256624213143</v>
      </c>
    </row>
    <row r="7407" spans="1:11" hidden="1">
      <c r="A7407" s="4">
        <v>2026</v>
      </c>
      <c r="B7407">
        <v>16</v>
      </c>
      <c r="C7407" t="s">
        <v>54</v>
      </c>
      <c r="D7407" t="s">
        <v>11</v>
      </c>
      <c r="E7407" t="s">
        <v>36</v>
      </c>
      <c r="F7407" t="s">
        <v>97</v>
      </c>
      <c r="G7407" t="str">
        <f t="shared" si="304"/>
        <v>020TYCOON</v>
      </c>
      <c r="H7407" s="5">
        <v>2400</v>
      </c>
      <c r="I7407" s="6">
        <v>673.2</v>
      </c>
      <c r="J7407" s="5">
        <v>5100</v>
      </c>
      <c r="K7407" s="6">
        <f t="shared" si="303"/>
        <v>3.5650623885918002</v>
      </c>
    </row>
    <row r="7408" spans="1:11" hidden="1">
      <c r="A7408" s="4">
        <v>2026</v>
      </c>
      <c r="B7408">
        <v>16</v>
      </c>
      <c r="C7408" t="s">
        <v>54</v>
      </c>
      <c r="D7408" t="s">
        <v>11</v>
      </c>
      <c r="E7408" t="s">
        <v>38</v>
      </c>
      <c r="F7408" t="s">
        <v>98</v>
      </c>
      <c r="G7408" t="str">
        <f t="shared" si="304"/>
        <v>021SHOW GIRL</v>
      </c>
      <c r="H7408" s="5">
        <v>1775</v>
      </c>
      <c r="I7408" s="6">
        <v>1100.4749999999999</v>
      </c>
      <c r="J7408" s="5">
        <v>8000</v>
      </c>
      <c r="K7408" s="6">
        <f t="shared" si="303"/>
        <v>1.6129398668756674</v>
      </c>
    </row>
    <row r="7409" spans="1:11" hidden="1">
      <c r="A7409" s="4">
        <v>2026</v>
      </c>
      <c r="B7409">
        <v>16</v>
      </c>
      <c r="C7409" t="s">
        <v>54</v>
      </c>
      <c r="D7409" t="s">
        <v>11</v>
      </c>
      <c r="E7409" t="s">
        <v>43</v>
      </c>
      <c r="F7409" t="s">
        <v>99</v>
      </c>
      <c r="G7409" t="str">
        <f t="shared" si="304"/>
        <v>022CORAL REEF</v>
      </c>
      <c r="H7409" s="5">
        <v>6075</v>
      </c>
      <c r="I7409" s="6">
        <v>1287</v>
      </c>
      <c r="J7409" s="5">
        <v>9400</v>
      </c>
      <c r="K7409" s="6">
        <f t="shared" si="303"/>
        <v>4.72027972027972</v>
      </c>
    </row>
    <row r="7410" spans="1:11" hidden="1">
      <c r="A7410" s="4">
        <v>2026</v>
      </c>
      <c r="B7410">
        <v>16</v>
      </c>
      <c r="C7410" t="s">
        <v>54</v>
      </c>
      <c r="D7410" t="s">
        <v>11</v>
      </c>
      <c r="E7410" t="s">
        <v>100</v>
      </c>
      <c r="F7410" t="s">
        <v>70</v>
      </c>
      <c r="G7410" t="str">
        <f t="shared" si="304"/>
        <v>023COTOPAXI</v>
      </c>
      <c r="H7410" s="5">
        <v>15780</v>
      </c>
      <c r="I7410" s="6">
        <v>2641.14</v>
      </c>
      <c r="J7410" s="5">
        <v>19200</v>
      </c>
      <c r="K7410" s="6">
        <f t="shared" si="303"/>
        <v>5.9746927463140915</v>
      </c>
    </row>
    <row r="7411" spans="1:11" hidden="1">
      <c r="A7411" s="4">
        <v>2026</v>
      </c>
      <c r="B7411">
        <v>16</v>
      </c>
      <c r="C7411" t="s">
        <v>54</v>
      </c>
      <c r="D7411" t="s">
        <v>11</v>
      </c>
      <c r="E7411" t="s">
        <v>100</v>
      </c>
      <c r="F7411" t="s">
        <v>101</v>
      </c>
      <c r="G7411" t="str">
        <f t="shared" si="304"/>
        <v>023FRUTTETO</v>
      </c>
      <c r="H7411" s="5">
        <v>24930</v>
      </c>
      <c r="I7411" s="6">
        <v>2641.14</v>
      </c>
      <c r="J7411" s="5">
        <v>19200</v>
      </c>
      <c r="K7411" s="6">
        <f t="shared" si="303"/>
        <v>9.4391058406597157</v>
      </c>
    </row>
    <row r="7412" spans="1:11" hidden="1">
      <c r="A7412" s="4">
        <v>2026</v>
      </c>
      <c r="B7412">
        <v>16</v>
      </c>
      <c r="C7412" t="s">
        <v>54</v>
      </c>
      <c r="D7412" t="s">
        <v>11</v>
      </c>
      <c r="E7412" t="s">
        <v>102</v>
      </c>
      <c r="F7412" t="s">
        <v>70</v>
      </c>
      <c r="G7412" t="str">
        <f t="shared" si="304"/>
        <v>024COTOPAXI</v>
      </c>
      <c r="H7412" s="5">
        <v>8700</v>
      </c>
      <c r="I7412" s="6">
        <v>1430.6174906250001</v>
      </c>
      <c r="J7412" s="5">
        <v>10400</v>
      </c>
      <c r="K7412" s="6">
        <f t="shared" si="303"/>
        <v>6.0812901121453455</v>
      </c>
    </row>
    <row r="7413" spans="1:11" hidden="1">
      <c r="A7413" s="4">
        <v>2026</v>
      </c>
      <c r="B7413">
        <v>16</v>
      </c>
      <c r="C7413" t="s">
        <v>54</v>
      </c>
      <c r="D7413" t="s">
        <v>11</v>
      </c>
      <c r="E7413" t="s">
        <v>102</v>
      </c>
      <c r="F7413" t="s">
        <v>64</v>
      </c>
      <c r="G7413" t="str">
        <f t="shared" si="304"/>
        <v>024SWEETNESS</v>
      </c>
      <c r="H7413" s="5">
        <v>4890</v>
      </c>
      <c r="I7413" s="6">
        <v>1430.6175000000001</v>
      </c>
      <c r="J7413" s="5">
        <v>10400</v>
      </c>
      <c r="K7413" s="6">
        <f t="shared" si="303"/>
        <v>3.4181044199445343</v>
      </c>
    </row>
    <row r="7414" spans="1:11" hidden="1">
      <c r="A7414" s="4">
        <v>2026</v>
      </c>
      <c r="B7414">
        <v>16</v>
      </c>
      <c r="C7414" t="s">
        <v>54</v>
      </c>
      <c r="D7414" t="s">
        <v>11</v>
      </c>
      <c r="E7414" t="s">
        <v>102</v>
      </c>
      <c r="F7414" t="s">
        <v>97</v>
      </c>
      <c r="G7414" t="str">
        <f t="shared" si="304"/>
        <v>024TYCOON</v>
      </c>
      <c r="H7414" s="5">
        <v>8760</v>
      </c>
      <c r="I7414" s="6">
        <v>2861.2350000000001</v>
      </c>
      <c r="J7414" s="5">
        <v>20800</v>
      </c>
      <c r="K7414" s="6">
        <f t="shared" si="303"/>
        <v>3.0616150019135091</v>
      </c>
    </row>
    <row r="7415" spans="1:11" hidden="1">
      <c r="A7415" s="4">
        <v>2026</v>
      </c>
      <c r="B7415">
        <v>16</v>
      </c>
      <c r="C7415" t="s">
        <v>54</v>
      </c>
      <c r="D7415" t="s">
        <v>11</v>
      </c>
      <c r="E7415" t="s">
        <v>103</v>
      </c>
      <c r="F7415" t="s">
        <v>104</v>
      </c>
      <c r="G7415" t="str">
        <f t="shared" si="304"/>
        <v>025PINK MONDIAL</v>
      </c>
      <c r="H7415" s="5">
        <v>8550</v>
      </c>
      <c r="I7415" s="6">
        <v>3071.9505625000002</v>
      </c>
      <c r="J7415" s="5">
        <v>22400</v>
      </c>
      <c r="K7415" s="6">
        <f t="shared" si="303"/>
        <v>2.7832479156311289</v>
      </c>
    </row>
    <row r="7416" spans="1:11" hidden="1">
      <c r="A7416" s="4">
        <v>2026</v>
      </c>
      <c r="B7416">
        <v>16</v>
      </c>
      <c r="C7416" t="s">
        <v>54</v>
      </c>
      <c r="D7416" t="s">
        <v>11</v>
      </c>
      <c r="E7416" t="s">
        <v>45</v>
      </c>
      <c r="F7416" t="s">
        <v>105</v>
      </c>
      <c r="G7416" t="str">
        <f t="shared" si="304"/>
        <v>026LOLA</v>
      </c>
      <c r="H7416" s="5">
        <v>9425</v>
      </c>
      <c r="I7416" s="6">
        <v>2852.5250000000001</v>
      </c>
      <c r="J7416" s="5">
        <v>20800</v>
      </c>
      <c r="K7416" s="6">
        <f t="shared" si="303"/>
        <v>3.3040902358436823</v>
      </c>
    </row>
    <row r="7417" spans="1:11" hidden="1">
      <c r="A7417" s="4">
        <v>2026</v>
      </c>
      <c r="B7417">
        <v>16</v>
      </c>
      <c r="C7417" t="s">
        <v>54</v>
      </c>
      <c r="D7417" t="s">
        <v>11</v>
      </c>
      <c r="E7417" t="s">
        <v>45</v>
      </c>
      <c r="F7417" t="s">
        <v>106</v>
      </c>
      <c r="G7417" t="str">
        <f t="shared" si="304"/>
        <v>026PALOMA</v>
      </c>
      <c r="H7417" s="5">
        <v>10775</v>
      </c>
      <c r="I7417" s="6">
        <v>2852.5250000000001</v>
      </c>
      <c r="J7417" s="5">
        <v>20800</v>
      </c>
      <c r="K7417" s="6">
        <f t="shared" si="303"/>
        <v>3.7773551502616103</v>
      </c>
    </row>
    <row r="7418" spans="1:11" hidden="1">
      <c r="A7418" s="4">
        <v>2026</v>
      </c>
      <c r="B7418">
        <v>16</v>
      </c>
      <c r="C7418" t="s">
        <v>54</v>
      </c>
      <c r="D7418" t="s">
        <v>11</v>
      </c>
      <c r="E7418" t="s">
        <v>107</v>
      </c>
      <c r="F7418" t="s">
        <v>108</v>
      </c>
      <c r="G7418" t="str">
        <f t="shared" si="304"/>
        <v>027SATISFACTION</v>
      </c>
      <c r="H7418" s="5">
        <v>11070</v>
      </c>
      <c r="I7418" s="6">
        <v>2633.1</v>
      </c>
      <c r="J7418" s="5">
        <v>19200</v>
      </c>
      <c r="K7418" s="6">
        <f t="shared" si="303"/>
        <v>4.2041699897459273</v>
      </c>
    </row>
    <row r="7419" spans="1:11" hidden="1">
      <c r="A7419" s="4">
        <v>2026</v>
      </c>
      <c r="B7419">
        <v>16</v>
      </c>
      <c r="C7419" t="s">
        <v>54</v>
      </c>
      <c r="D7419" t="s">
        <v>11</v>
      </c>
      <c r="E7419" t="s">
        <v>107</v>
      </c>
      <c r="F7419" t="s">
        <v>109</v>
      </c>
      <c r="G7419" t="str">
        <f t="shared" si="304"/>
        <v>027TIFFANY</v>
      </c>
      <c r="H7419" s="5">
        <v>9330</v>
      </c>
      <c r="I7419" s="6">
        <v>2633.1</v>
      </c>
      <c r="J7419" s="5">
        <v>19200</v>
      </c>
      <c r="K7419" s="6">
        <f t="shared" si="303"/>
        <v>3.5433519425771904</v>
      </c>
    </row>
    <row r="7420" spans="1:11" hidden="1">
      <c r="A7420" s="4">
        <v>2026</v>
      </c>
      <c r="B7420">
        <v>16</v>
      </c>
      <c r="C7420" t="s">
        <v>54</v>
      </c>
      <c r="D7420" t="s">
        <v>11</v>
      </c>
      <c r="E7420" t="s">
        <v>110</v>
      </c>
      <c r="F7420" t="s">
        <v>70</v>
      </c>
      <c r="G7420" t="str">
        <f t="shared" si="304"/>
        <v>028COTOPAXI</v>
      </c>
      <c r="H7420" s="5">
        <v>9840</v>
      </c>
      <c r="I7420" s="6">
        <v>2852.5250000000001</v>
      </c>
      <c r="J7420" s="5">
        <v>20800</v>
      </c>
      <c r="K7420" s="6">
        <f t="shared" ref="K7420:K7482" si="305">+H7420/I7420</f>
        <v>3.449575376201786</v>
      </c>
    </row>
    <row r="7421" spans="1:11" hidden="1">
      <c r="A7421" s="4">
        <v>2026</v>
      </c>
      <c r="B7421">
        <v>16</v>
      </c>
      <c r="C7421" t="s">
        <v>54</v>
      </c>
      <c r="D7421" t="s">
        <v>11</v>
      </c>
      <c r="E7421" t="s">
        <v>110</v>
      </c>
      <c r="F7421" t="s">
        <v>67</v>
      </c>
      <c r="G7421" t="str">
        <f t="shared" si="304"/>
        <v>028DEEP PURPLE</v>
      </c>
      <c r="H7421" s="5">
        <v>17640</v>
      </c>
      <c r="I7421" s="6">
        <v>2852.5250000000001</v>
      </c>
      <c r="J7421" s="5">
        <v>20800</v>
      </c>
      <c r="K7421" s="6">
        <f t="shared" si="305"/>
        <v>6.1839948817275916</v>
      </c>
    </row>
    <row r="7422" spans="1:11" hidden="1">
      <c r="A7422" s="4">
        <v>2026</v>
      </c>
      <c r="B7422">
        <v>16</v>
      </c>
      <c r="C7422" t="s">
        <v>54</v>
      </c>
      <c r="D7422" t="s">
        <v>11</v>
      </c>
      <c r="E7422" t="s">
        <v>111</v>
      </c>
      <c r="F7422" t="s">
        <v>112</v>
      </c>
      <c r="G7422" t="str">
        <f t="shared" si="304"/>
        <v>029PINK FLOYD</v>
      </c>
      <c r="H7422" s="5">
        <v>7550</v>
      </c>
      <c r="I7422" s="6">
        <v>3071.95</v>
      </c>
      <c r="J7422" s="5">
        <v>22400</v>
      </c>
      <c r="K7422" s="6">
        <f t="shared" si="305"/>
        <v>2.4577222936571235</v>
      </c>
    </row>
    <row r="7423" spans="1:11" hidden="1">
      <c r="A7423" s="4">
        <v>2026</v>
      </c>
      <c r="B7423">
        <v>16</v>
      </c>
      <c r="C7423" t="s">
        <v>54</v>
      </c>
      <c r="D7423" t="s">
        <v>11</v>
      </c>
      <c r="E7423" t="s">
        <v>47</v>
      </c>
      <c r="F7423" t="s">
        <v>57</v>
      </c>
      <c r="G7423" t="str">
        <f t="shared" si="304"/>
        <v>030EXPLORER</v>
      </c>
      <c r="H7423" s="5">
        <v>6650</v>
      </c>
      <c r="I7423" s="6">
        <v>1645.6875</v>
      </c>
      <c r="J7423" s="5">
        <v>12000</v>
      </c>
      <c r="K7423" s="6">
        <f t="shared" si="305"/>
        <v>4.0408643803881352</v>
      </c>
    </row>
    <row r="7424" spans="1:11" hidden="1">
      <c r="A7424" s="4">
        <v>2026</v>
      </c>
      <c r="B7424">
        <v>17</v>
      </c>
      <c r="C7424" t="s">
        <v>10</v>
      </c>
      <c r="D7424" t="s">
        <v>11</v>
      </c>
      <c r="E7424" t="s">
        <v>12</v>
      </c>
      <c r="F7424" t="s">
        <v>13</v>
      </c>
      <c r="G7424" t="str">
        <f t="shared" si="304"/>
        <v>002SOMERSET</v>
      </c>
      <c r="H7424" s="5">
        <v>11360</v>
      </c>
      <c r="I7424" s="6">
        <v>4121.4642855494085</v>
      </c>
      <c r="J7424" s="5">
        <v>31200</v>
      </c>
      <c r="K7424" s="6">
        <f t="shared" si="305"/>
        <v>2.7563019385683369</v>
      </c>
    </row>
    <row r="7425" spans="1:11" hidden="1">
      <c r="A7425" s="4">
        <v>2026</v>
      </c>
      <c r="B7425">
        <v>17</v>
      </c>
      <c r="C7425" t="s">
        <v>10</v>
      </c>
      <c r="D7425" t="s">
        <v>11</v>
      </c>
      <c r="E7425" t="s">
        <v>14</v>
      </c>
      <c r="F7425" t="s">
        <v>15</v>
      </c>
      <c r="G7425" t="str">
        <f t="shared" si="304"/>
        <v>004BELLINA</v>
      </c>
      <c r="H7425" s="5">
        <v>3720</v>
      </c>
      <c r="I7425" s="6">
        <v>1056.7857142434418</v>
      </c>
      <c r="J7425" s="5">
        <v>8000</v>
      </c>
      <c r="K7425" s="6">
        <f t="shared" si="305"/>
        <v>3.5201081447842686</v>
      </c>
    </row>
    <row r="7426" spans="1:11" hidden="1">
      <c r="A7426" s="4">
        <v>2026</v>
      </c>
      <c r="B7426">
        <v>17</v>
      </c>
      <c r="C7426" t="s">
        <v>10</v>
      </c>
      <c r="D7426" t="s">
        <v>11</v>
      </c>
      <c r="E7426" t="s">
        <v>16</v>
      </c>
      <c r="F7426" t="s">
        <v>17</v>
      </c>
      <c r="G7426" t="str">
        <f t="shared" si="304"/>
        <v>005ELBA</v>
      </c>
      <c r="H7426" s="5">
        <v>11760</v>
      </c>
      <c r="I7426" s="6">
        <v>2641.9642856076484</v>
      </c>
      <c r="J7426" s="5">
        <v>19996</v>
      </c>
      <c r="K7426" s="6">
        <f t="shared" si="305"/>
        <v>4.4512335250191377</v>
      </c>
    </row>
    <row r="7427" spans="1:11" hidden="1">
      <c r="A7427" s="4">
        <v>2026</v>
      </c>
      <c r="B7427">
        <v>17</v>
      </c>
      <c r="C7427" t="s">
        <v>10</v>
      </c>
      <c r="D7427" t="s">
        <v>11</v>
      </c>
      <c r="E7427" t="s">
        <v>16</v>
      </c>
      <c r="F7427" t="s">
        <v>18</v>
      </c>
      <c r="G7427" t="str">
        <f t="shared" si="304"/>
        <v>005HOT BUBBLES</v>
      </c>
      <c r="H7427" s="5">
        <v>2120</v>
      </c>
      <c r="I7427" s="6">
        <v>528.39285712153003</v>
      </c>
      <c r="J7427" s="5">
        <v>4000</v>
      </c>
      <c r="K7427" s="6">
        <f t="shared" si="305"/>
        <v>4.0121662725512603</v>
      </c>
    </row>
    <row r="7428" spans="1:11" hidden="1">
      <c r="A7428" s="4">
        <v>2026</v>
      </c>
      <c r="B7428">
        <v>17</v>
      </c>
      <c r="C7428" t="s">
        <v>10</v>
      </c>
      <c r="D7428" t="s">
        <v>11</v>
      </c>
      <c r="E7428" t="s">
        <v>16</v>
      </c>
      <c r="F7428" t="s">
        <v>19</v>
      </c>
      <c r="G7428" t="str">
        <f t="shared" si="304"/>
        <v>005SUSPIRO</v>
      </c>
      <c r="H7428" s="5">
        <v>8700</v>
      </c>
      <c r="I7428" s="6">
        <v>1902.2142856375078</v>
      </c>
      <c r="J7428" s="5">
        <v>14400</v>
      </c>
      <c r="K7428" s="6">
        <f t="shared" si="305"/>
        <v>4.5736172132070196</v>
      </c>
    </row>
    <row r="7429" spans="1:11" hidden="1">
      <c r="A7429" s="4">
        <v>2026</v>
      </c>
      <c r="B7429">
        <v>17</v>
      </c>
      <c r="C7429" t="s">
        <v>10</v>
      </c>
      <c r="D7429" t="s">
        <v>11</v>
      </c>
      <c r="E7429" t="s">
        <v>20</v>
      </c>
      <c r="F7429" t="s">
        <v>21</v>
      </c>
      <c r="G7429" t="str">
        <f t="shared" si="304"/>
        <v>007SNOW BUBBLES</v>
      </c>
      <c r="H7429" s="5">
        <v>2820</v>
      </c>
      <c r="I7429" s="6">
        <v>634.05652706821195</v>
      </c>
      <c r="J7429" s="5">
        <v>4800</v>
      </c>
      <c r="K7429" s="6">
        <f t="shared" si="305"/>
        <v>4.4475529855978024</v>
      </c>
    </row>
    <row r="7430" spans="1:11" hidden="1">
      <c r="A7430" s="4">
        <v>2026</v>
      </c>
      <c r="B7430">
        <v>17</v>
      </c>
      <c r="C7430" t="s">
        <v>10</v>
      </c>
      <c r="D7430" t="s">
        <v>11</v>
      </c>
      <c r="E7430" t="s">
        <v>22</v>
      </c>
      <c r="F7430" t="s">
        <v>18</v>
      </c>
      <c r="G7430" t="str">
        <f t="shared" si="304"/>
        <v>009HOT BUBBLES</v>
      </c>
      <c r="H7430" s="5">
        <v>15560</v>
      </c>
      <c r="I7430" s="6">
        <v>4487.9999999102474</v>
      </c>
      <c r="J7430" s="5">
        <v>31740</v>
      </c>
      <c r="K7430" s="6">
        <f t="shared" si="305"/>
        <v>3.4670231729748604</v>
      </c>
    </row>
    <row r="7431" spans="1:11" hidden="1">
      <c r="A7431" s="4">
        <v>2026</v>
      </c>
      <c r="B7431">
        <v>17</v>
      </c>
      <c r="C7431" t="s">
        <v>10</v>
      </c>
      <c r="D7431" t="s">
        <v>11</v>
      </c>
      <c r="E7431" t="s">
        <v>23</v>
      </c>
      <c r="F7431" t="s">
        <v>24</v>
      </c>
      <c r="G7431" t="str">
        <f t="shared" si="304"/>
        <v>014FRUITY BUBBLES</v>
      </c>
      <c r="H7431" s="5">
        <v>8200</v>
      </c>
      <c r="I7431" s="6">
        <v>1702.8</v>
      </c>
      <c r="J7431" s="5">
        <v>12900</v>
      </c>
      <c r="K7431" s="6">
        <f t="shared" si="305"/>
        <v>4.8155978388536527</v>
      </c>
    </row>
    <row r="7432" spans="1:11" hidden="1">
      <c r="A7432" s="4">
        <v>2026</v>
      </c>
      <c r="B7432">
        <v>17</v>
      </c>
      <c r="C7432" t="s">
        <v>10</v>
      </c>
      <c r="D7432" t="s">
        <v>11</v>
      </c>
      <c r="E7432" t="s">
        <v>25</v>
      </c>
      <c r="F7432" t="s">
        <v>26</v>
      </c>
      <c r="G7432" t="str">
        <f t="shared" si="304"/>
        <v>015FELLINI</v>
      </c>
      <c r="H7432" s="5">
        <v>10300</v>
      </c>
      <c r="I7432" s="6">
        <v>3009.6</v>
      </c>
      <c r="J7432" s="5">
        <v>22800</v>
      </c>
      <c r="K7432" s="6">
        <f t="shared" si="305"/>
        <v>3.4223817118553961</v>
      </c>
    </row>
    <row r="7433" spans="1:11" hidden="1">
      <c r="A7433" s="4">
        <v>2026</v>
      </c>
      <c r="B7433">
        <v>17</v>
      </c>
      <c r="C7433" t="s">
        <v>10</v>
      </c>
      <c r="D7433" t="s">
        <v>11</v>
      </c>
      <c r="E7433" t="s">
        <v>27</v>
      </c>
      <c r="F7433" t="s">
        <v>28</v>
      </c>
      <c r="G7433" t="str">
        <f t="shared" si="304"/>
        <v>016GOOD PEACH</v>
      </c>
      <c r="H7433" s="5">
        <v>5550</v>
      </c>
      <c r="I7433" s="6">
        <v>1386</v>
      </c>
      <c r="J7433" s="5">
        <v>10500</v>
      </c>
      <c r="K7433" s="6">
        <f t="shared" si="305"/>
        <v>4.0043290043290041</v>
      </c>
    </row>
    <row r="7434" spans="1:11" hidden="1">
      <c r="A7434" s="4">
        <v>2026</v>
      </c>
      <c r="B7434">
        <v>17</v>
      </c>
      <c r="C7434" t="s">
        <v>10</v>
      </c>
      <c r="D7434" t="s">
        <v>11</v>
      </c>
      <c r="E7434" t="s">
        <v>27</v>
      </c>
      <c r="F7434" t="s">
        <v>29</v>
      </c>
      <c r="G7434" t="str">
        <f t="shared" si="304"/>
        <v>016GOOD YELLOW</v>
      </c>
      <c r="H7434" s="5">
        <v>6030</v>
      </c>
      <c r="I7434" s="6">
        <v>1386</v>
      </c>
      <c r="J7434" s="5">
        <v>10500</v>
      </c>
      <c r="K7434" s="6">
        <f t="shared" si="305"/>
        <v>4.3506493506493502</v>
      </c>
    </row>
    <row r="7435" spans="1:11" hidden="1">
      <c r="A7435" s="4">
        <v>2026</v>
      </c>
      <c r="B7435">
        <v>17</v>
      </c>
      <c r="C7435" t="s">
        <v>10</v>
      </c>
      <c r="D7435" t="s">
        <v>11</v>
      </c>
      <c r="E7435" t="s">
        <v>30</v>
      </c>
      <c r="F7435" t="s">
        <v>31</v>
      </c>
      <c r="G7435" t="str">
        <f t="shared" si="304"/>
        <v>017ORANGE STAR</v>
      </c>
      <c r="H7435" s="5">
        <v>2875</v>
      </c>
      <c r="I7435" s="6">
        <v>1029.5999999999999</v>
      </c>
      <c r="J7435" s="5">
        <v>7800</v>
      </c>
      <c r="K7435" s="6">
        <f t="shared" si="305"/>
        <v>2.7923465423465426</v>
      </c>
    </row>
    <row r="7436" spans="1:11" hidden="1">
      <c r="A7436" s="4">
        <v>2026</v>
      </c>
      <c r="B7436">
        <v>17</v>
      </c>
      <c r="C7436" t="s">
        <v>10</v>
      </c>
      <c r="D7436" t="s">
        <v>11</v>
      </c>
      <c r="E7436" t="s">
        <v>32</v>
      </c>
      <c r="F7436" t="s">
        <v>33</v>
      </c>
      <c r="G7436" t="str">
        <f t="shared" si="304"/>
        <v>018COSMO</v>
      </c>
      <c r="H7436" s="5">
        <v>6375</v>
      </c>
      <c r="I7436" s="6">
        <v>2653.2</v>
      </c>
      <c r="J7436" s="5">
        <v>20100</v>
      </c>
      <c r="K7436" s="6">
        <f t="shared" si="305"/>
        <v>2.4027589326096792</v>
      </c>
    </row>
    <row r="7437" spans="1:11" hidden="1">
      <c r="A7437" s="4">
        <v>2026</v>
      </c>
      <c r="B7437">
        <v>17</v>
      </c>
      <c r="C7437" t="s">
        <v>10</v>
      </c>
      <c r="D7437" t="s">
        <v>11</v>
      </c>
      <c r="E7437" t="s">
        <v>32</v>
      </c>
      <c r="F7437" t="s">
        <v>34</v>
      </c>
      <c r="G7437" t="str">
        <f t="shared" si="304"/>
        <v>018RUBICON</v>
      </c>
      <c r="H7437" s="5">
        <v>5520</v>
      </c>
      <c r="I7437" s="6">
        <v>1768.8</v>
      </c>
      <c r="J7437" s="5">
        <v>13400</v>
      </c>
      <c r="K7437" s="6">
        <f t="shared" si="305"/>
        <v>3.1207598371777476</v>
      </c>
    </row>
    <row r="7438" spans="1:11" hidden="1">
      <c r="A7438" s="4">
        <v>2026</v>
      </c>
      <c r="B7438">
        <v>17</v>
      </c>
      <c r="C7438" t="s">
        <v>10</v>
      </c>
      <c r="D7438" t="s">
        <v>11</v>
      </c>
      <c r="E7438" t="s">
        <v>35</v>
      </c>
      <c r="F7438" t="s">
        <v>15</v>
      </c>
      <c r="G7438" t="str">
        <f t="shared" si="304"/>
        <v>019BELLINA</v>
      </c>
      <c r="H7438" s="5">
        <v>4425</v>
      </c>
      <c r="I7438" s="6">
        <v>1029.5999999999999</v>
      </c>
      <c r="J7438" s="5">
        <v>7800</v>
      </c>
      <c r="K7438" s="6">
        <f t="shared" si="305"/>
        <v>4.2977855477855478</v>
      </c>
    </row>
    <row r="7439" spans="1:11" hidden="1">
      <c r="A7439" s="4">
        <v>2026</v>
      </c>
      <c r="B7439">
        <v>17</v>
      </c>
      <c r="C7439" t="s">
        <v>10</v>
      </c>
      <c r="D7439" t="s">
        <v>11</v>
      </c>
      <c r="E7439" t="s">
        <v>36</v>
      </c>
      <c r="F7439" t="s">
        <v>37</v>
      </c>
      <c r="G7439" t="str">
        <f t="shared" si="304"/>
        <v>020SUMMER DANCE</v>
      </c>
      <c r="H7439" s="5">
        <v>6500</v>
      </c>
      <c r="I7439" s="6">
        <v>1346.4</v>
      </c>
      <c r="J7439" s="5">
        <v>10200</v>
      </c>
      <c r="K7439" s="6">
        <f t="shared" si="305"/>
        <v>4.8276886512180628</v>
      </c>
    </row>
    <row r="7440" spans="1:11" hidden="1">
      <c r="A7440" s="4">
        <v>2026</v>
      </c>
      <c r="B7440">
        <v>17</v>
      </c>
      <c r="C7440" t="s">
        <v>10</v>
      </c>
      <c r="D7440" t="s">
        <v>11</v>
      </c>
      <c r="E7440" t="s">
        <v>38</v>
      </c>
      <c r="F7440" t="s">
        <v>39</v>
      </c>
      <c r="G7440" t="str">
        <f t="shared" si="304"/>
        <v>021ELEGANT ROSEVER</v>
      </c>
      <c r="H7440" s="5">
        <v>2700</v>
      </c>
      <c r="I7440" s="6">
        <v>440.18999062500001</v>
      </c>
      <c r="J7440" s="5">
        <v>3200</v>
      </c>
      <c r="K7440" s="6">
        <f t="shared" si="305"/>
        <v>6.1337151173438267</v>
      </c>
    </row>
    <row r="7441" spans="1:11" hidden="1">
      <c r="A7441" s="4">
        <v>2026</v>
      </c>
      <c r="B7441">
        <v>17</v>
      </c>
      <c r="C7441" t="s">
        <v>10</v>
      </c>
      <c r="D7441" t="s">
        <v>11</v>
      </c>
      <c r="E7441" t="s">
        <v>38</v>
      </c>
      <c r="F7441" t="s">
        <v>40</v>
      </c>
      <c r="G7441" t="str">
        <f t="shared" si="304"/>
        <v>021FLAME CLUB</v>
      </c>
      <c r="H7441" s="5">
        <v>4550</v>
      </c>
      <c r="I7441" s="6">
        <v>880.38</v>
      </c>
      <c r="J7441" s="5">
        <v>6400</v>
      </c>
      <c r="K7441" s="6">
        <f t="shared" si="305"/>
        <v>5.168222812876258</v>
      </c>
    </row>
    <row r="7442" spans="1:11" hidden="1">
      <c r="A7442" s="4">
        <v>2026</v>
      </c>
      <c r="B7442">
        <v>17</v>
      </c>
      <c r="C7442" t="s">
        <v>10</v>
      </c>
      <c r="D7442" t="s">
        <v>11</v>
      </c>
      <c r="E7442" t="s">
        <v>38</v>
      </c>
      <c r="F7442" t="s">
        <v>41</v>
      </c>
      <c r="G7442" t="str">
        <f t="shared" si="304"/>
        <v>021KELLY</v>
      </c>
      <c r="H7442" s="5">
        <v>625</v>
      </c>
      <c r="I7442" s="6">
        <v>330.14249999999998</v>
      </c>
      <c r="J7442" s="5">
        <v>2400</v>
      </c>
      <c r="K7442" s="6">
        <f t="shared" si="305"/>
        <v>1.8931219094784828</v>
      </c>
    </row>
    <row r="7443" spans="1:11" hidden="1">
      <c r="A7443" s="4">
        <v>2026</v>
      </c>
      <c r="B7443">
        <v>17</v>
      </c>
      <c r="C7443" t="s">
        <v>10</v>
      </c>
      <c r="D7443" t="s">
        <v>11</v>
      </c>
      <c r="E7443" t="s">
        <v>38</v>
      </c>
      <c r="F7443" t="s">
        <v>42</v>
      </c>
      <c r="G7443" t="str">
        <f t="shared" si="304"/>
        <v>021LEILA</v>
      </c>
      <c r="H7443" s="5">
        <v>2300</v>
      </c>
      <c r="I7443" s="6">
        <v>770.33249999999998</v>
      </c>
      <c r="J7443" s="5">
        <v>5600</v>
      </c>
      <c r="K7443" s="6">
        <f t="shared" si="305"/>
        <v>2.9857236972346359</v>
      </c>
    </row>
    <row r="7444" spans="1:11" hidden="1">
      <c r="A7444" s="4">
        <v>2026</v>
      </c>
      <c r="B7444">
        <v>17</v>
      </c>
      <c r="C7444" t="s">
        <v>10</v>
      </c>
      <c r="D7444" t="s">
        <v>11</v>
      </c>
      <c r="E7444" t="s">
        <v>38</v>
      </c>
      <c r="F7444" t="s">
        <v>115</v>
      </c>
      <c r="G7444" t="str">
        <f t="shared" si="304"/>
        <v>021PISTACHIO KISS</v>
      </c>
      <c r="H7444" s="5">
        <v>25</v>
      </c>
      <c r="I7444" s="6">
        <v>880.38</v>
      </c>
      <c r="J7444" s="5">
        <v>6400</v>
      </c>
      <c r="K7444" s="6">
        <f t="shared" si="305"/>
        <v>2.8396828642177241E-2</v>
      </c>
    </row>
    <row r="7445" spans="1:11" hidden="1">
      <c r="A7445" s="4">
        <v>2026</v>
      </c>
      <c r="B7445">
        <v>17</v>
      </c>
      <c r="C7445" t="s">
        <v>10</v>
      </c>
      <c r="D7445" t="s">
        <v>11</v>
      </c>
      <c r="E7445" t="s">
        <v>38</v>
      </c>
      <c r="F7445" t="s">
        <v>21</v>
      </c>
      <c r="G7445" t="str">
        <f t="shared" si="304"/>
        <v>021SNOW BUBBLES</v>
      </c>
      <c r="H7445" s="5">
        <v>5400</v>
      </c>
      <c r="I7445" s="6">
        <v>1287.0000000000018</v>
      </c>
      <c r="J7445" s="5">
        <v>9400</v>
      </c>
      <c r="K7445" s="6">
        <f t="shared" si="305"/>
        <v>4.1958041958041896</v>
      </c>
    </row>
    <row r="7446" spans="1:11" hidden="1">
      <c r="A7446" s="4">
        <v>2026</v>
      </c>
      <c r="B7446">
        <v>17</v>
      </c>
      <c r="C7446" t="s">
        <v>10</v>
      </c>
      <c r="D7446" t="s">
        <v>11</v>
      </c>
      <c r="E7446" t="s">
        <v>43</v>
      </c>
      <c r="F7446" t="s">
        <v>24</v>
      </c>
      <c r="G7446" t="str">
        <f t="shared" ref="G7446:G7507" si="306">+E7446&amp;F7446</f>
        <v>022FRUITY BUBBLES</v>
      </c>
      <c r="H7446" s="5">
        <v>13025</v>
      </c>
      <c r="I7446" s="6">
        <v>2641.14</v>
      </c>
      <c r="J7446" s="5">
        <v>19200</v>
      </c>
      <c r="K7446" s="6">
        <f t="shared" si="305"/>
        <v>4.9315825741914479</v>
      </c>
    </row>
    <row r="7447" spans="1:11" hidden="1">
      <c r="A7447" s="4">
        <v>2026</v>
      </c>
      <c r="B7447">
        <v>17</v>
      </c>
      <c r="C7447" t="s">
        <v>10</v>
      </c>
      <c r="D7447" t="s">
        <v>11</v>
      </c>
      <c r="E7447" t="s">
        <v>43</v>
      </c>
      <c r="F7447" t="s">
        <v>28</v>
      </c>
      <c r="G7447" t="str">
        <f t="shared" si="306"/>
        <v>022GOOD PEACH</v>
      </c>
      <c r="H7447" s="5">
        <v>3990</v>
      </c>
      <c r="I7447" s="6">
        <v>880.38</v>
      </c>
      <c r="J7447" s="5">
        <v>6400</v>
      </c>
      <c r="K7447" s="6">
        <f t="shared" si="305"/>
        <v>4.5321338512914879</v>
      </c>
    </row>
    <row r="7448" spans="1:11" hidden="1">
      <c r="A7448" s="4">
        <v>2026</v>
      </c>
      <c r="B7448">
        <v>17</v>
      </c>
      <c r="C7448" t="s">
        <v>10</v>
      </c>
      <c r="D7448" t="s">
        <v>11</v>
      </c>
      <c r="E7448" t="s">
        <v>43</v>
      </c>
      <c r="F7448" t="s">
        <v>44</v>
      </c>
      <c r="G7448" t="str">
        <f t="shared" si="306"/>
        <v>022MIRABEL</v>
      </c>
      <c r="H7448" s="5">
        <v>3840</v>
      </c>
      <c r="I7448" s="6">
        <v>880.38</v>
      </c>
      <c r="J7448" s="5">
        <v>6400</v>
      </c>
      <c r="K7448" s="6">
        <f t="shared" si="305"/>
        <v>4.3617528794384244</v>
      </c>
    </row>
    <row r="7449" spans="1:11" hidden="1">
      <c r="A7449" s="4">
        <v>2026</v>
      </c>
      <c r="B7449">
        <v>17</v>
      </c>
      <c r="C7449" t="s">
        <v>10</v>
      </c>
      <c r="D7449" t="s">
        <v>11</v>
      </c>
      <c r="E7449" t="s">
        <v>47</v>
      </c>
      <c r="F7449" t="s">
        <v>44</v>
      </c>
      <c r="G7449" t="str">
        <f t="shared" si="306"/>
        <v>030MIRABEL</v>
      </c>
      <c r="H7449" s="5">
        <v>8740</v>
      </c>
      <c r="I7449" s="6">
        <v>2413.6749943750001</v>
      </c>
      <c r="J7449" s="5">
        <v>17600</v>
      </c>
      <c r="K7449" s="6">
        <f t="shared" si="305"/>
        <v>3.6210343233319802</v>
      </c>
    </row>
    <row r="7450" spans="1:11" hidden="1">
      <c r="A7450" s="4">
        <v>2026</v>
      </c>
      <c r="B7450">
        <v>17</v>
      </c>
      <c r="C7450" t="s">
        <v>10</v>
      </c>
      <c r="D7450" t="s">
        <v>11</v>
      </c>
      <c r="E7450" t="s">
        <v>47</v>
      </c>
      <c r="F7450" t="s">
        <v>13</v>
      </c>
      <c r="G7450" t="str">
        <f t="shared" si="306"/>
        <v>030SOMERSET</v>
      </c>
      <c r="H7450" s="5">
        <v>4960</v>
      </c>
      <c r="I7450" s="6">
        <v>1645.6875</v>
      </c>
      <c r="J7450" s="5">
        <v>12000</v>
      </c>
      <c r="K7450" s="6">
        <f t="shared" si="305"/>
        <v>3.0139379438684442</v>
      </c>
    </row>
    <row r="7451" spans="1:11" hidden="1">
      <c r="A7451" s="4">
        <v>2026</v>
      </c>
      <c r="B7451">
        <v>17</v>
      </c>
      <c r="C7451" t="s">
        <v>10</v>
      </c>
      <c r="D7451" t="s">
        <v>11</v>
      </c>
      <c r="E7451" t="s">
        <v>48</v>
      </c>
      <c r="F7451" t="s">
        <v>49</v>
      </c>
      <c r="G7451" t="str">
        <f t="shared" si="306"/>
        <v>03182989</v>
      </c>
      <c r="H7451" s="5">
        <v>2620</v>
      </c>
      <c r="I7451" s="6">
        <v>726.32013058333712</v>
      </c>
      <c r="J7451" s="5">
        <v>5712</v>
      </c>
      <c r="K7451" s="6">
        <f t="shared" si="305"/>
        <v>3.6072248168252914</v>
      </c>
    </row>
    <row r="7452" spans="1:11" hidden="1">
      <c r="A7452" s="4">
        <v>2026</v>
      </c>
      <c r="B7452">
        <v>17</v>
      </c>
      <c r="C7452" t="s">
        <v>10</v>
      </c>
      <c r="D7452" t="s">
        <v>11</v>
      </c>
      <c r="E7452" t="s">
        <v>48</v>
      </c>
      <c r="F7452" t="s">
        <v>34</v>
      </c>
      <c r="G7452" t="str">
        <f t="shared" si="306"/>
        <v>031RUBICON</v>
      </c>
      <c r="H7452" s="5">
        <v>3240</v>
      </c>
      <c r="I7452" s="6">
        <v>924.39958333667107</v>
      </c>
      <c r="J7452" s="5">
        <v>6720</v>
      </c>
      <c r="K7452" s="6">
        <f t="shared" si="305"/>
        <v>3.5049777806098117</v>
      </c>
    </row>
    <row r="7453" spans="1:11" hidden="1">
      <c r="A7453" s="4">
        <v>2026</v>
      </c>
      <c r="B7453">
        <v>17</v>
      </c>
      <c r="C7453" t="s">
        <v>10</v>
      </c>
      <c r="D7453" t="s">
        <v>11</v>
      </c>
      <c r="E7453" t="s">
        <v>48</v>
      </c>
      <c r="F7453" t="s">
        <v>13</v>
      </c>
      <c r="G7453" t="str">
        <f t="shared" si="306"/>
        <v>031SOMERSET</v>
      </c>
      <c r="H7453" s="5">
        <v>2540</v>
      </c>
      <c r="I7453" s="6">
        <v>1122.485208333339</v>
      </c>
      <c r="J7453" s="5">
        <v>8160</v>
      </c>
      <c r="K7453" s="6">
        <f t="shared" si="305"/>
        <v>2.2628360544468826</v>
      </c>
    </row>
    <row r="7454" spans="1:11" hidden="1">
      <c r="A7454" s="4">
        <v>2026</v>
      </c>
      <c r="B7454">
        <v>17</v>
      </c>
      <c r="C7454" t="s">
        <v>10</v>
      </c>
      <c r="D7454" t="s">
        <v>11</v>
      </c>
      <c r="E7454" t="s">
        <v>48</v>
      </c>
      <c r="F7454" t="s">
        <v>50</v>
      </c>
      <c r="G7454" t="str">
        <f t="shared" si="306"/>
        <v>031VELVET BLOSSOMS</v>
      </c>
      <c r="H7454" s="5">
        <v>1220</v>
      </c>
      <c r="I7454" s="6">
        <v>396.17125000000198</v>
      </c>
      <c r="J7454" s="5">
        <v>2880</v>
      </c>
      <c r="K7454" s="6">
        <f t="shared" si="305"/>
        <v>3.0794763628102593</v>
      </c>
    </row>
    <row r="7455" spans="1:11" hidden="1">
      <c r="A7455" s="4">
        <v>2026</v>
      </c>
      <c r="B7455">
        <v>17</v>
      </c>
      <c r="C7455" t="s">
        <v>10</v>
      </c>
      <c r="D7455" t="s">
        <v>11</v>
      </c>
      <c r="E7455" t="s">
        <v>51</v>
      </c>
      <c r="F7455" t="s">
        <v>17</v>
      </c>
      <c r="G7455" t="str">
        <f t="shared" si="306"/>
        <v>032ELBA</v>
      </c>
      <c r="H7455" s="5">
        <v>6930</v>
      </c>
      <c r="I7455" s="6">
        <v>1535.9749999999999</v>
      </c>
      <c r="J7455" s="5">
        <v>11200</v>
      </c>
      <c r="K7455" s="6">
        <f t="shared" si="305"/>
        <v>4.5117921841175805</v>
      </c>
    </row>
    <row r="7456" spans="1:11" hidden="1">
      <c r="A7456" s="4">
        <v>2026</v>
      </c>
      <c r="B7456">
        <v>17</v>
      </c>
      <c r="C7456" t="s">
        <v>10</v>
      </c>
      <c r="D7456" t="s">
        <v>11</v>
      </c>
      <c r="E7456" t="s">
        <v>51</v>
      </c>
      <c r="F7456" t="s">
        <v>44</v>
      </c>
      <c r="G7456" t="str">
        <f t="shared" si="306"/>
        <v>032MIRABEL</v>
      </c>
      <c r="H7456" s="5">
        <v>6600</v>
      </c>
      <c r="I7456" s="6">
        <v>1535.9749999999999</v>
      </c>
      <c r="J7456" s="5">
        <v>11200</v>
      </c>
      <c r="K7456" s="6">
        <f t="shared" si="305"/>
        <v>4.2969449372548381</v>
      </c>
    </row>
    <row r="7457" spans="1:11" hidden="1">
      <c r="A7457" s="4">
        <v>2026</v>
      </c>
      <c r="B7457">
        <v>17</v>
      </c>
      <c r="C7457" t="s">
        <v>10</v>
      </c>
      <c r="D7457" t="s">
        <v>11</v>
      </c>
      <c r="E7457" t="s">
        <v>52</v>
      </c>
      <c r="F7457" t="s">
        <v>53</v>
      </c>
      <c r="G7457" t="str">
        <f t="shared" si="306"/>
        <v>033CREAMY FOLIES</v>
      </c>
      <c r="H7457" s="5">
        <v>1560</v>
      </c>
      <c r="I7457" s="6">
        <v>594.25687500000299</v>
      </c>
      <c r="J7457" s="5">
        <v>4320</v>
      </c>
      <c r="K7457" s="6">
        <f t="shared" si="305"/>
        <v>2.6251273912480899</v>
      </c>
    </row>
    <row r="7458" spans="1:11" hidden="1">
      <c r="A7458" s="4">
        <v>2026</v>
      </c>
      <c r="B7458">
        <v>17</v>
      </c>
      <c r="C7458" t="s">
        <v>10</v>
      </c>
      <c r="D7458" t="s">
        <v>11</v>
      </c>
      <c r="E7458" t="s">
        <v>52</v>
      </c>
      <c r="F7458" t="s">
        <v>18</v>
      </c>
      <c r="G7458" t="str">
        <f t="shared" si="306"/>
        <v>033HOT BUBBLES</v>
      </c>
      <c r="H7458" s="5">
        <v>12420</v>
      </c>
      <c r="I7458" s="6">
        <v>2575.1131250013459</v>
      </c>
      <c r="J7458" s="5">
        <v>18720</v>
      </c>
      <c r="K7458" s="6">
        <f t="shared" si="305"/>
        <v>4.823089082734378</v>
      </c>
    </row>
    <row r="7459" spans="1:11" hidden="1">
      <c r="A7459" s="4">
        <v>2026</v>
      </c>
      <c r="B7459">
        <v>17</v>
      </c>
      <c r="C7459" t="s">
        <v>54</v>
      </c>
      <c r="D7459" t="s">
        <v>11</v>
      </c>
      <c r="E7459" t="s">
        <v>55</v>
      </c>
      <c r="F7459" t="s">
        <v>56</v>
      </c>
      <c r="G7459" t="str">
        <f t="shared" si="306"/>
        <v>001BELIEVE IN PINK</v>
      </c>
      <c r="H7459" s="5">
        <v>1830</v>
      </c>
      <c r="I7459" s="6">
        <v>528.37931032368999</v>
      </c>
      <c r="J7459" s="5">
        <v>4000</v>
      </c>
      <c r="K7459" s="6">
        <f t="shared" ref="K7459:K7464" si="307">IFERROR(H7459/I7459,"")</f>
        <v>3.4634210012479962</v>
      </c>
    </row>
    <row r="7460" spans="1:11" hidden="1">
      <c r="A7460" s="4">
        <v>2026</v>
      </c>
      <c r="B7460">
        <v>17</v>
      </c>
      <c r="C7460" t="s">
        <v>54</v>
      </c>
      <c r="D7460" t="s">
        <v>11</v>
      </c>
      <c r="E7460" t="s">
        <v>55</v>
      </c>
      <c r="F7460" t="s">
        <v>57</v>
      </c>
      <c r="G7460" t="str">
        <f t="shared" si="306"/>
        <v>001EXPLORER</v>
      </c>
      <c r="H7460" s="5">
        <v>7000</v>
      </c>
      <c r="I7460" s="6">
        <v>2272.0310343918732</v>
      </c>
      <c r="J7460" s="5">
        <v>17200</v>
      </c>
      <c r="K7460" s="6">
        <f t="shared" si="307"/>
        <v>3.0809438313300173</v>
      </c>
    </row>
    <row r="7461" spans="1:11" hidden="1">
      <c r="A7461" s="4">
        <v>2026</v>
      </c>
      <c r="B7461">
        <v>17</v>
      </c>
      <c r="C7461" t="s">
        <v>54</v>
      </c>
      <c r="D7461" t="s">
        <v>11</v>
      </c>
      <c r="E7461" t="s">
        <v>55</v>
      </c>
      <c r="F7461" t="s">
        <v>58</v>
      </c>
      <c r="G7461" t="str">
        <f t="shared" si="306"/>
        <v>001GRACE KELLY</v>
      </c>
      <c r="H7461" s="5">
        <v>4950</v>
      </c>
      <c r="I7461" s="6">
        <v>1162.4344827121224</v>
      </c>
      <c r="J7461" s="5">
        <v>8800</v>
      </c>
      <c r="K7461" s="6">
        <f t="shared" si="307"/>
        <v>4.2583045097311265</v>
      </c>
    </row>
    <row r="7462" spans="1:11" hidden="1">
      <c r="A7462" s="4">
        <v>2026</v>
      </c>
      <c r="B7462">
        <v>17</v>
      </c>
      <c r="C7462" t="s">
        <v>54</v>
      </c>
      <c r="D7462" t="s">
        <v>11</v>
      </c>
      <c r="E7462" t="s">
        <v>55</v>
      </c>
      <c r="F7462" t="s">
        <v>60</v>
      </c>
      <c r="G7462" t="str">
        <f t="shared" si="306"/>
        <v>001LIGHT HOUSE</v>
      </c>
      <c r="H7462" s="5">
        <v>3540</v>
      </c>
      <c r="I7462" s="6">
        <v>1056.7586206473827</v>
      </c>
      <c r="J7462" s="5">
        <v>8000</v>
      </c>
      <c r="K7462" s="6">
        <f t="shared" si="307"/>
        <v>3.3498662143218234</v>
      </c>
    </row>
    <row r="7463" spans="1:11" hidden="1">
      <c r="A7463" s="4">
        <v>2026</v>
      </c>
      <c r="B7463">
        <v>17</v>
      </c>
      <c r="C7463" t="s">
        <v>54</v>
      </c>
      <c r="D7463" t="s">
        <v>11</v>
      </c>
      <c r="E7463" t="s">
        <v>55</v>
      </c>
      <c r="F7463" t="s">
        <v>61</v>
      </c>
      <c r="G7463" t="str">
        <f t="shared" si="306"/>
        <v>001LUMIA</v>
      </c>
      <c r="H7463" s="5">
        <v>5400</v>
      </c>
      <c r="I7463" s="6">
        <v>1109.596551679753</v>
      </c>
      <c r="J7463" s="5">
        <v>8400</v>
      </c>
      <c r="K7463" s="6">
        <f t="shared" si="307"/>
        <v>4.8666337254070022</v>
      </c>
    </row>
    <row r="7464" spans="1:11" hidden="1">
      <c r="A7464" s="4">
        <v>2026</v>
      </c>
      <c r="B7464">
        <v>17</v>
      </c>
      <c r="C7464" t="s">
        <v>54</v>
      </c>
      <c r="D7464" t="s">
        <v>11</v>
      </c>
      <c r="E7464" t="s">
        <v>55</v>
      </c>
      <c r="F7464" t="s">
        <v>62</v>
      </c>
      <c r="G7464" t="str">
        <f t="shared" si="306"/>
        <v>001MOMENTUM</v>
      </c>
      <c r="H7464" s="5">
        <v>10050</v>
      </c>
      <c r="I7464" s="6">
        <v>1902.1655171652881</v>
      </c>
      <c r="J7464" s="5">
        <v>14400</v>
      </c>
      <c r="K7464" s="6">
        <f t="shared" si="307"/>
        <v>5.283451891703443</v>
      </c>
    </row>
    <row r="7465" spans="1:11" hidden="1">
      <c r="A7465" s="4">
        <v>2026</v>
      </c>
      <c r="B7465">
        <v>17</v>
      </c>
      <c r="C7465" t="s">
        <v>54</v>
      </c>
      <c r="D7465" t="s">
        <v>11</v>
      </c>
      <c r="E7465" t="s">
        <v>12</v>
      </c>
      <c r="F7465" t="s">
        <v>63</v>
      </c>
      <c r="G7465" t="str">
        <f t="shared" si="306"/>
        <v>002SUMMER ROMANCE</v>
      </c>
      <c r="H7465" s="5">
        <v>2050</v>
      </c>
      <c r="I7465" s="6">
        <v>951.10714281909407</v>
      </c>
      <c r="J7465" s="5">
        <v>7200</v>
      </c>
      <c r="K7465" s="6">
        <f t="shared" si="305"/>
        <v>2.1553828246140316</v>
      </c>
    </row>
    <row r="7466" spans="1:11" hidden="1">
      <c r="A7466" s="4">
        <v>2026</v>
      </c>
      <c r="B7466">
        <v>17</v>
      </c>
      <c r="C7466" t="s">
        <v>54</v>
      </c>
      <c r="D7466" t="s">
        <v>11</v>
      </c>
      <c r="E7466" t="s">
        <v>12</v>
      </c>
      <c r="F7466" t="s">
        <v>64</v>
      </c>
      <c r="G7466" t="str">
        <f t="shared" si="306"/>
        <v>002SWEETNESS</v>
      </c>
      <c r="H7466" s="5">
        <v>12390</v>
      </c>
      <c r="I7466" s="6">
        <v>3804.4285712763772</v>
      </c>
      <c r="J7466" s="5">
        <v>28800</v>
      </c>
      <c r="K7466" s="6">
        <f t="shared" si="305"/>
        <v>3.2567308776790052</v>
      </c>
    </row>
    <row r="7467" spans="1:11" hidden="1">
      <c r="A7467" s="4">
        <v>2026</v>
      </c>
      <c r="B7467">
        <v>17</v>
      </c>
      <c r="C7467" t="s">
        <v>54</v>
      </c>
      <c r="D7467" t="s">
        <v>11</v>
      </c>
      <c r="E7467" t="s">
        <v>65</v>
      </c>
      <c r="F7467" t="s">
        <v>66</v>
      </c>
      <c r="G7467" t="str">
        <f t="shared" si="306"/>
        <v>003CABARET</v>
      </c>
      <c r="H7467" s="5">
        <v>15270</v>
      </c>
      <c r="I7467" s="6">
        <v>2641.8965516184649</v>
      </c>
      <c r="J7467" s="5">
        <v>20000</v>
      </c>
      <c r="K7467" s="6">
        <f t="shared" si="305"/>
        <v>5.7799386545417049</v>
      </c>
    </row>
    <row r="7468" spans="1:11" hidden="1">
      <c r="A7468" s="4">
        <v>2026</v>
      </c>
      <c r="B7468">
        <v>17</v>
      </c>
      <c r="C7468" t="s">
        <v>54</v>
      </c>
      <c r="D7468" t="s">
        <v>11</v>
      </c>
      <c r="E7468" t="s">
        <v>65</v>
      </c>
      <c r="F7468" t="s">
        <v>67</v>
      </c>
      <c r="G7468" t="str">
        <f t="shared" si="306"/>
        <v>003DEEP PURPLE</v>
      </c>
      <c r="H7468" s="5">
        <v>21300</v>
      </c>
      <c r="I7468" s="6">
        <v>3592.9793102010913</v>
      </c>
      <c r="J7468" s="5">
        <v>26044</v>
      </c>
      <c r="K7468" s="6">
        <f t="shared" si="305"/>
        <v>5.9282278468806116</v>
      </c>
    </row>
    <row r="7469" spans="1:11" hidden="1">
      <c r="A7469" s="4">
        <v>2026</v>
      </c>
      <c r="B7469">
        <v>17</v>
      </c>
      <c r="C7469" t="s">
        <v>54</v>
      </c>
      <c r="D7469" t="s">
        <v>11</v>
      </c>
      <c r="E7469" t="s">
        <v>65</v>
      </c>
      <c r="F7469" t="s">
        <v>57</v>
      </c>
      <c r="G7469" t="str">
        <f t="shared" si="306"/>
        <v>003EXPLORER</v>
      </c>
      <c r="H7469" s="5">
        <v>3025</v>
      </c>
      <c r="I7469" s="6">
        <v>1268.1103447768633</v>
      </c>
      <c r="J7469" s="5">
        <v>9600</v>
      </c>
      <c r="K7469" s="6">
        <f t="shared" si="305"/>
        <v>2.3854391003586355</v>
      </c>
    </row>
    <row r="7470" spans="1:11" hidden="1">
      <c r="A7470" s="4">
        <v>2026</v>
      </c>
      <c r="B7470">
        <v>17</v>
      </c>
      <c r="C7470" t="s">
        <v>54</v>
      </c>
      <c r="D7470" t="s">
        <v>11</v>
      </c>
      <c r="E7470" t="s">
        <v>65</v>
      </c>
      <c r="F7470" t="s">
        <v>68</v>
      </c>
      <c r="G7470" t="str">
        <f t="shared" si="306"/>
        <v>003JOCKER</v>
      </c>
      <c r="H7470" s="5">
        <v>2575</v>
      </c>
      <c r="I7470" s="6">
        <v>528.37931032368999</v>
      </c>
      <c r="J7470" s="5">
        <v>4000</v>
      </c>
      <c r="K7470" s="6">
        <f t="shared" si="305"/>
        <v>4.8733929389145301</v>
      </c>
    </row>
    <row r="7471" spans="1:11" hidden="1">
      <c r="A7471" s="4">
        <v>2026</v>
      </c>
      <c r="B7471">
        <v>17</v>
      </c>
      <c r="C7471" t="s">
        <v>54</v>
      </c>
      <c r="D7471" t="s">
        <v>11</v>
      </c>
      <c r="E7471" t="s">
        <v>65</v>
      </c>
      <c r="F7471" t="s">
        <v>69</v>
      </c>
      <c r="G7471" t="str">
        <f t="shared" si="306"/>
        <v>003QUICKSAND</v>
      </c>
      <c r="H7471" s="5">
        <v>4260</v>
      </c>
      <c r="I7471" s="6">
        <v>1162.4344827121247</v>
      </c>
      <c r="J7471" s="5">
        <v>8800</v>
      </c>
      <c r="K7471" s="6">
        <f t="shared" si="305"/>
        <v>3.66472266898072</v>
      </c>
    </row>
    <row r="7472" spans="1:11" hidden="1">
      <c r="A7472" s="4">
        <v>2026</v>
      </c>
      <c r="B7472">
        <v>17</v>
      </c>
      <c r="C7472" t="s">
        <v>54</v>
      </c>
      <c r="D7472" t="s">
        <v>11</v>
      </c>
      <c r="E7472" t="s">
        <v>14</v>
      </c>
      <c r="F7472" t="s">
        <v>70</v>
      </c>
      <c r="G7472" t="str">
        <f t="shared" si="306"/>
        <v>004COTOPAXI</v>
      </c>
      <c r="H7472" s="5">
        <v>2610</v>
      </c>
      <c r="I7472" s="6">
        <v>528.3915024419166</v>
      </c>
      <c r="J7472" s="5">
        <v>4000</v>
      </c>
      <c r="K7472" s="6">
        <f t="shared" si="305"/>
        <v>4.9395192540722288</v>
      </c>
    </row>
    <row r="7473" spans="1:11" hidden="1">
      <c r="A7473" s="4">
        <v>2026</v>
      </c>
      <c r="B7473">
        <v>17</v>
      </c>
      <c r="C7473" t="s">
        <v>54</v>
      </c>
      <c r="D7473" t="s">
        <v>11</v>
      </c>
      <c r="E7473" t="s">
        <v>14</v>
      </c>
      <c r="F7473" t="s">
        <v>67</v>
      </c>
      <c r="G7473" t="str">
        <f t="shared" si="306"/>
        <v>004DEEP PURPLE</v>
      </c>
      <c r="H7473" s="5">
        <v>25500</v>
      </c>
      <c r="I7473" s="6">
        <v>3910.1071427007282</v>
      </c>
      <c r="J7473" s="5">
        <v>29260</v>
      </c>
      <c r="K7473" s="6">
        <f t="shared" si="305"/>
        <v>6.5215604251670296</v>
      </c>
    </row>
    <row r="7474" spans="1:11" hidden="1">
      <c r="A7474" s="4">
        <v>2026</v>
      </c>
      <c r="B7474">
        <v>17</v>
      </c>
      <c r="C7474" t="s">
        <v>54</v>
      </c>
      <c r="D7474" t="s">
        <v>11</v>
      </c>
      <c r="E7474" t="s">
        <v>14</v>
      </c>
      <c r="F7474" t="s">
        <v>71</v>
      </c>
      <c r="G7474" t="str">
        <f t="shared" si="306"/>
        <v>004HOT EXPLORER</v>
      </c>
      <c r="H7474" s="5">
        <v>4150</v>
      </c>
      <c r="I7474" s="6">
        <v>1902.2142856381945</v>
      </c>
      <c r="J7474" s="5">
        <v>14400</v>
      </c>
      <c r="K7474" s="6">
        <f t="shared" si="305"/>
        <v>2.1816679810117563</v>
      </c>
    </row>
    <row r="7475" spans="1:11" hidden="1">
      <c r="A7475" s="4">
        <v>2026</v>
      </c>
      <c r="B7475">
        <v>17</v>
      </c>
      <c r="C7475" t="s">
        <v>54</v>
      </c>
      <c r="D7475" t="s">
        <v>11</v>
      </c>
      <c r="E7475" t="s">
        <v>14</v>
      </c>
      <c r="F7475" t="s">
        <v>72</v>
      </c>
      <c r="G7475" t="str">
        <f t="shared" si="306"/>
        <v>004HOT MERENGUE</v>
      </c>
      <c r="H7475" s="5">
        <v>4980</v>
      </c>
      <c r="I7475" s="6">
        <v>1162.4642856677858</v>
      </c>
      <c r="J7475" s="5">
        <v>8800</v>
      </c>
      <c r="K7475" s="6">
        <f t="shared" si="305"/>
        <v>4.2840025808958115</v>
      </c>
    </row>
    <row r="7476" spans="1:11" hidden="1">
      <c r="A7476" s="4">
        <v>2026</v>
      </c>
      <c r="B7476">
        <v>17</v>
      </c>
      <c r="C7476" t="s">
        <v>54</v>
      </c>
      <c r="D7476" t="s">
        <v>11</v>
      </c>
      <c r="E7476" t="s">
        <v>14</v>
      </c>
      <c r="F7476" t="s">
        <v>64</v>
      </c>
      <c r="G7476" t="str">
        <f t="shared" si="306"/>
        <v>004SWEETNESS</v>
      </c>
      <c r="H7476" s="5">
        <v>1230</v>
      </c>
      <c r="I7476" s="6">
        <v>317.03571427303262</v>
      </c>
      <c r="J7476" s="5">
        <v>2400</v>
      </c>
      <c r="K7476" s="6">
        <f t="shared" si="305"/>
        <v>3.879689084305241</v>
      </c>
    </row>
    <row r="7477" spans="1:11" hidden="1">
      <c r="A7477" s="4">
        <v>2026</v>
      </c>
      <c r="B7477">
        <v>17</v>
      </c>
      <c r="C7477" t="s">
        <v>54</v>
      </c>
      <c r="D7477" t="s">
        <v>11</v>
      </c>
      <c r="E7477" t="s">
        <v>16</v>
      </c>
      <c r="F7477" t="s">
        <v>57</v>
      </c>
      <c r="G7477" t="str">
        <f t="shared" si="306"/>
        <v>005EXPLORER</v>
      </c>
      <c r="H7477" s="5">
        <v>3225</v>
      </c>
      <c r="I7477" s="6">
        <v>951.10714281875391</v>
      </c>
      <c r="J7477" s="5">
        <v>7200</v>
      </c>
      <c r="K7477" s="6">
        <f t="shared" si="305"/>
        <v>3.3907851753086522</v>
      </c>
    </row>
    <row r="7478" spans="1:11" hidden="1">
      <c r="A7478" s="4">
        <v>2026</v>
      </c>
      <c r="B7478">
        <v>17</v>
      </c>
      <c r="C7478" t="s">
        <v>54</v>
      </c>
      <c r="D7478" t="s">
        <v>11</v>
      </c>
      <c r="E7478" t="s">
        <v>16</v>
      </c>
      <c r="F7478" t="s">
        <v>73</v>
      </c>
      <c r="G7478" t="str">
        <f t="shared" si="306"/>
        <v>005GOLDFINCH</v>
      </c>
      <c r="H7478" s="5">
        <v>2500</v>
      </c>
      <c r="I7478" s="6">
        <v>898.26785710660101</v>
      </c>
      <c r="J7478" s="5">
        <v>6800</v>
      </c>
      <c r="K7478" s="6">
        <f t="shared" si="305"/>
        <v>2.7831342068196872</v>
      </c>
    </row>
    <row r="7479" spans="1:11" hidden="1">
      <c r="A7479" s="4">
        <v>2026</v>
      </c>
      <c r="B7479">
        <v>17</v>
      </c>
      <c r="C7479" t="s">
        <v>54</v>
      </c>
      <c r="D7479" t="s">
        <v>11</v>
      </c>
      <c r="E7479" t="s">
        <v>16</v>
      </c>
      <c r="F7479" t="s">
        <v>68</v>
      </c>
      <c r="G7479" t="str">
        <f t="shared" si="306"/>
        <v>005JOCKER</v>
      </c>
      <c r="H7479" s="5">
        <v>3875</v>
      </c>
      <c r="I7479" s="6">
        <v>1162.4642856673661</v>
      </c>
      <c r="J7479" s="5">
        <v>8800</v>
      </c>
      <c r="K7479" s="6">
        <f t="shared" si="305"/>
        <v>3.333435743168125</v>
      </c>
    </row>
    <row r="7480" spans="1:11" hidden="1">
      <c r="A7480" s="4">
        <v>2026</v>
      </c>
      <c r="B7480">
        <v>17</v>
      </c>
      <c r="C7480" t="s">
        <v>54</v>
      </c>
      <c r="D7480" t="s">
        <v>11</v>
      </c>
      <c r="E7480" t="s">
        <v>16</v>
      </c>
      <c r="F7480" t="s">
        <v>74</v>
      </c>
      <c r="G7480" t="str">
        <f t="shared" si="306"/>
        <v>005VENDELA</v>
      </c>
      <c r="H7480" s="5">
        <v>3030</v>
      </c>
      <c r="I7480" s="6">
        <v>686.91071425798896</v>
      </c>
      <c r="J7480" s="5">
        <v>5200</v>
      </c>
      <c r="K7480" s="6">
        <f t="shared" si="305"/>
        <v>4.4110536305625256</v>
      </c>
    </row>
    <row r="7481" spans="1:11" hidden="1">
      <c r="A7481" s="4">
        <v>2026</v>
      </c>
      <c r="B7481">
        <v>17</v>
      </c>
      <c r="C7481" t="s">
        <v>54</v>
      </c>
      <c r="D7481" t="s">
        <v>11</v>
      </c>
      <c r="E7481" t="s">
        <v>75</v>
      </c>
      <c r="F7481" t="s">
        <v>76</v>
      </c>
      <c r="G7481" t="str">
        <f t="shared" si="306"/>
        <v>006ATOMIC</v>
      </c>
      <c r="H7481" s="5">
        <v>1750</v>
      </c>
      <c r="I7481" s="6">
        <v>845.428571394752</v>
      </c>
      <c r="J7481" s="5">
        <v>6400</v>
      </c>
      <c r="K7481" s="6">
        <f t="shared" si="305"/>
        <v>2.0699560663213981</v>
      </c>
    </row>
    <row r="7482" spans="1:11" hidden="1">
      <c r="A7482" s="4">
        <v>2026</v>
      </c>
      <c r="B7482">
        <v>17</v>
      </c>
      <c r="C7482" t="s">
        <v>54</v>
      </c>
      <c r="D7482" t="s">
        <v>11</v>
      </c>
      <c r="E7482" t="s">
        <v>75</v>
      </c>
      <c r="F7482" t="s">
        <v>57</v>
      </c>
      <c r="G7482" t="str">
        <f t="shared" si="306"/>
        <v>006EXPLORER</v>
      </c>
      <c r="H7482" s="5">
        <v>13175</v>
      </c>
      <c r="I7482" s="6">
        <v>3910.1071427007355</v>
      </c>
      <c r="J7482" s="5">
        <v>29600</v>
      </c>
      <c r="K7482" s="6">
        <f t="shared" si="305"/>
        <v>3.3694728863362924</v>
      </c>
    </row>
    <row r="7483" spans="1:11" hidden="1">
      <c r="A7483" s="4">
        <v>2026</v>
      </c>
      <c r="B7483">
        <v>17</v>
      </c>
      <c r="C7483" t="s">
        <v>54</v>
      </c>
      <c r="D7483" t="s">
        <v>11</v>
      </c>
      <c r="E7483" t="s">
        <v>75</v>
      </c>
      <c r="F7483" t="s">
        <v>77</v>
      </c>
      <c r="G7483" t="str">
        <f t="shared" si="306"/>
        <v>006MONDIAL</v>
      </c>
      <c r="H7483" s="5">
        <v>19150</v>
      </c>
      <c r="I7483" s="6">
        <v>4015.7857141250793</v>
      </c>
      <c r="J7483" s="5">
        <v>30400</v>
      </c>
      <c r="K7483" s="6">
        <f t="shared" ref="K7483:K7545" si="308">+H7483/I7483</f>
        <v>4.7686807422622195</v>
      </c>
    </row>
    <row r="7484" spans="1:11" hidden="1">
      <c r="A7484" s="4">
        <v>2026</v>
      </c>
      <c r="B7484">
        <v>17</v>
      </c>
      <c r="C7484" t="s">
        <v>54</v>
      </c>
      <c r="D7484" t="s">
        <v>11</v>
      </c>
      <c r="E7484" t="s">
        <v>20</v>
      </c>
      <c r="F7484" t="s">
        <v>70</v>
      </c>
      <c r="G7484" t="str">
        <f t="shared" si="306"/>
        <v>007COTOPAXI</v>
      </c>
      <c r="H7484" s="5">
        <v>14130</v>
      </c>
      <c r="I7484" s="6">
        <v>2747.5751230427709</v>
      </c>
      <c r="J7484" s="5">
        <v>20800</v>
      </c>
      <c r="K7484" s="6">
        <f t="shared" si="308"/>
        <v>5.1427165290213761</v>
      </c>
    </row>
    <row r="7485" spans="1:11" hidden="1">
      <c r="A7485" s="4">
        <v>2026</v>
      </c>
      <c r="B7485">
        <v>17</v>
      </c>
      <c r="C7485" t="s">
        <v>54</v>
      </c>
      <c r="D7485" t="s">
        <v>11</v>
      </c>
      <c r="E7485" t="s">
        <v>20</v>
      </c>
      <c r="F7485" t="s">
        <v>78</v>
      </c>
      <c r="G7485" t="str">
        <f t="shared" si="306"/>
        <v>007REDIANT</v>
      </c>
      <c r="H7485" s="5">
        <v>2490</v>
      </c>
      <c r="I7485" s="6">
        <v>1056.75862064738</v>
      </c>
      <c r="J7485" s="5">
        <v>9600</v>
      </c>
      <c r="K7485" s="6">
        <f t="shared" si="308"/>
        <v>2.3562618287178991</v>
      </c>
    </row>
    <row r="7486" spans="1:11" hidden="1">
      <c r="A7486" s="4">
        <v>2026</v>
      </c>
      <c r="B7486">
        <v>17</v>
      </c>
      <c r="C7486" t="s">
        <v>54</v>
      </c>
      <c r="D7486" t="s">
        <v>11</v>
      </c>
      <c r="E7486" t="s">
        <v>20</v>
      </c>
      <c r="F7486" t="s">
        <v>63</v>
      </c>
      <c r="G7486" t="str">
        <f t="shared" si="306"/>
        <v>007SUMMER ROMANCE</v>
      </c>
      <c r="H7486" s="5">
        <v>950</v>
      </c>
      <c r="I7486" s="6">
        <v>369.86551722658481</v>
      </c>
      <c r="J7486" s="5">
        <v>3080</v>
      </c>
      <c r="K7486" s="6">
        <f t="shared" si="308"/>
        <v>2.5685011328536924</v>
      </c>
    </row>
    <row r="7487" spans="1:11" hidden="1">
      <c r="A7487" s="4">
        <v>2026</v>
      </c>
      <c r="B7487">
        <v>17</v>
      </c>
      <c r="C7487" t="s">
        <v>54</v>
      </c>
      <c r="D7487" t="s">
        <v>11</v>
      </c>
      <c r="E7487" t="s">
        <v>20</v>
      </c>
      <c r="F7487" t="s">
        <v>74</v>
      </c>
      <c r="G7487" t="str">
        <f t="shared" si="306"/>
        <v>007VENDELA</v>
      </c>
      <c r="H7487" s="5">
        <v>19230</v>
      </c>
      <c r="I7487" s="6">
        <v>3592.9793102011122</v>
      </c>
      <c r="J7487" s="5">
        <v>27820</v>
      </c>
      <c r="K7487" s="6">
        <f t="shared" si="308"/>
        <v>5.3521042955640139</v>
      </c>
    </row>
    <row r="7488" spans="1:11" hidden="1">
      <c r="A7488" s="4">
        <v>2026</v>
      </c>
      <c r="B7488">
        <v>17</v>
      </c>
      <c r="C7488" t="s">
        <v>54</v>
      </c>
      <c r="D7488" t="s">
        <v>11</v>
      </c>
      <c r="E7488" t="s">
        <v>79</v>
      </c>
      <c r="F7488" t="s">
        <v>67</v>
      </c>
      <c r="G7488" t="str">
        <f t="shared" si="306"/>
        <v>008DEEP PURPLE</v>
      </c>
      <c r="H7488" s="5">
        <v>12660</v>
      </c>
      <c r="I7488" s="6">
        <v>1585.2222221588099</v>
      </c>
      <c r="J7488" s="5">
        <v>11490</v>
      </c>
      <c r="K7488" s="6">
        <f t="shared" si="308"/>
        <v>7.9862620035436915</v>
      </c>
    </row>
    <row r="7489" spans="1:11" hidden="1">
      <c r="A7489" s="4">
        <v>2026</v>
      </c>
      <c r="B7489">
        <v>17</v>
      </c>
      <c r="C7489" t="s">
        <v>54</v>
      </c>
      <c r="D7489" t="s">
        <v>11</v>
      </c>
      <c r="E7489" t="s">
        <v>79</v>
      </c>
      <c r="F7489" t="s">
        <v>81</v>
      </c>
      <c r="G7489" t="str">
        <f t="shared" si="306"/>
        <v>008FREEDOM</v>
      </c>
      <c r="H7489" s="5">
        <v>10560</v>
      </c>
      <c r="I7489" s="6">
        <v>2219.311111022334</v>
      </c>
      <c r="J7489" s="5">
        <v>16800</v>
      </c>
      <c r="K7489" s="6">
        <f t="shared" si="308"/>
        <v>4.7582332857944811</v>
      </c>
    </row>
    <row r="7490" spans="1:11" hidden="1">
      <c r="A7490" s="4">
        <v>2026</v>
      </c>
      <c r="B7490">
        <v>17</v>
      </c>
      <c r="C7490" t="s">
        <v>54</v>
      </c>
      <c r="D7490" t="s">
        <v>11</v>
      </c>
      <c r="E7490" t="s">
        <v>79</v>
      </c>
      <c r="F7490" t="s">
        <v>68</v>
      </c>
      <c r="G7490" t="str">
        <f t="shared" si="306"/>
        <v>008JOCKER</v>
      </c>
      <c r="H7490" s="5">
        <v>11275</v>
      </c>
      <c r="I7490" s="6">
        <v>2959.0814813631118</v>
      </c>
      <c r="J7490" s="5">
        <v>22400</v>
      </c>
      <c r="K7490" s="6">
        <f t="shared" si="308"/>
        <v>3.8103039983901117</v>
      </c>
    </row>
    <row r="7491" spans="1:11" hidden="1">
      <c r="A7491" s="4">
        <v>2026</v>
      </c>
      <c r="B7491">
        <v>17</v>
      </c>
      <c r="C7491" t="s">
        <v>54</v>
      </c>
      <c r="D7491" t="s">
        <v>11</v>
      </c>
      <c r="E7491" t="s">
        <v>79</v>
      </c>
      <c r="F7491" t="s">
        <v>61</v>
      </c>
      <c r="G7491" t="str">
        <f t="shared" si="306"/>
        <v>008LUMIA</v>
      </c>
      <c r="H7491" s="5">
        <v>4440</v>
      </c>
      <c r="I7491" s="6">
        <v>1796.5851851133182</v>
      </c>
      <c r="J7491" s="5">
        <v>13600</v>
      </c>
      <c r="K7491" s="6">
        <f t="shared" si="308"/>
        <v>2.4713551223678549</v>
      </c>
    </row>
    <row r="7492" spans="1:11" hidden="1">
      <c r="A7492" s="4">
        <v>2026</v>
      </c>
      <c r="B7492">
        <v>17</v>
      </c>
      <c r="C7492" t="s">
        <v>54</v>
      </c>
      <c r="D7492" t="s">
        <v>11</v>
      </c>
      <c r="E7492" t="s">
        <v>82</v>
      </c>
      <c r="F7492" t="s">
        <v>83</v>
      </c>
      <c r="G7492" t="str">
        <f t="shared" si="306"/>
        <v>010COOLDOWN</v>
      </c>
      <c r="H7492" s="5">
        <v>5250</v>
      </c>
      <c r="I7492" s="6">
        <v>1912.3542857142861</v>
      </c>
      <c r="J7492" s="5">
        <v>16320</v>
      </c>
      <c r="K7492" s="6">
        <f t="shared" si="308"/>
        <v>2.7453072054789605</v>
      </c>
    </row>
    <row r="7493" spans="1:11" hidden="1">
      <c r="A7493" s="4">
        <v>2026</v>
      </c>
      <c r="B7493">
        <v>17</v>
      </c>
      <c r="C7493" t="s">
        <v>54</v>
      </c>
      <c r="D7493" t="s">
        <v>11</v>
      </c>
      <c r="E7493" t="s">
        <v>82</v>
      </c>
      <c r="F7493" t="s">
        <v>84</v>
      </c>
      <c r="G7493" t="str">
        <f t="shared" si="306"/>
        <v>010VIOLET HILL</v>
      </c>
      <c r="H7493" s="5">
        <v>10350</v>
      </c>
      <c r="I7493" s="6">
        <v>2812.2857142428579</v>
      </c>
      <c r="J7493" s="5">
        <v>20000</v>
      </c>
      <c r="K7493" s="6">
        <f t="shared" si="308"/>
        <v>3.6802804023724507</v>
      </c>
    </row>
    <row r="7494" spans="1:11" hidden="1">
      <c r="A7494" s="4">
        <v>2026</v>
      </c>
      <c r="B7494">
        <v>17</v>
      </c>
      <c r="C7494" t="s">
        <v>54</v>
      </c>
      <c r="D7494" t="s">
        <v>11</v>
      </c>
      <c r="E7494" t="s">
        <v>85</v>
      </c>
      <c r="F7494" t="s">
        <v>86</v>
      </c>
      <c r="G7494" t="str">
        <f t="shared" si="306"/>
        <v>011BRIGHTON</v>
      </c>
      <c r="H7494" s="5">
        <v>6500</v>
      </c>
      <c r="I7494" s="6">
        <v>1768.8376470588223</v>
      </c>
      <c r="J7494" s="5">
        <v>12800</v>
      </c>
      <c r="K7494" s="6">
        <f t="shared" si="308"/>
        <v>3.6747295665082844</v>
      </c>
    </row>
    <row r="7495" spans="1:11" hidden="1">
      <c r="A7495" s="4">
        <v>2026</v>
      </c>
      <c r="B7495">
        <v>17</v>
      </c>
      <c r="C7495" t="s">
        <v>54</v>
      </c>
      <c r="D7495" t="s">
        <v>11</v>
      </c>
      <c r="E7495" t="s">
        <v>85</v>
      </c>
      <c r="F7495" t="s">
        <v>87</v>
      </c>
      <c r="G7495" t="str">
        <f t="shared" si="306"/>
        <v>011CANDLELIGHT</v>
      </c>
      <c r="H7495" s="5">
        <v>7640</v>
      </c>
      <c r="I7495" s="6">
        <v>2263.7999998868127</v>
      </c>
      <c r="J7495" s="5">
        <v>17920</v>
      </c>
      <c r="K7495" s="6">
        <f t="shared" si="308"/>
        <v>3.3748564362496647</v>
      </c>
    </row>
    <row r="7496" spans="1:11" hidden="1">
      <c r="A7496" s="4">
        <v>2026</v>
      </c>
      <c r="B7496">
        <v>17</v>
      </c>
      <c r="C7496" t="s">
        <v>54</v>
      </c>
      <c r="D7496" t="s">
        <v>11</v>
      </c>
      <c r="E7496" t="s">
        <v>85</v>
      </c>
      <c r="F7496" t="s">
        <v>88</v>
      </c>
      <c r="G7496" t="str">
        <f t="shared" si="306"/>
        <v>011CAYENNE</v>
      </c>
      <c r="H7496" s="5">
        <v>3390</v>
      </c>
      <c r="I7496" s="6">
        <v>994.97117647058747</v>
      </c>
      <c r="J7496" s="5">
        <v>7200</v>
      </c>
      <c r="K7496" s="6">
        <f t="shared" si="308"/>
        <v>3.4071338749984506</v>
      </c>
    </row>
    <row r="7497" spans="1:11" hidden="1">
      <c r="A7497" s="4">
        <v>2026</v>
      </c>
      <c r="B7497">
        <v>17</v>
      </c>
      <c r="C7497" t="s">
        <v>54</v>
      </c>
      <c r="D7497" t="s">
        <v>11</v>
      </c>
      <c r="E7497" t="s">
        <v>85</v>
      </c>
      <c r="F7497" t="s">
        <v>61</v>
      </c>
      <c r="G7497" t="str">
        <f t="shared" si="306"/>
        <v>011LUMIA</v>
      </c>
      <c r="H7497" s="5">
        <v>3810</v>
      </c>
      <c r="I7497" s="6">
        <v>994.97117647058747</v>
      </c>
      <c r="J7497" s="5">
        <v>7920</v>
      </c>
      <c r="K7497" s="6">
        <f t="shared" si="308"/>
        <v>3.8292566559717103</v>
      </c>
    </row>
    <row r="7498" spans="1:11" hidden="1">
      <c r="A7498" s="4">
        <v>2026</v>
      </c>
      <c r="B7498">
        <v>17</v>
      </c>
      <c r="C7498" t="s">
        <v>54</v>
      </c>
      <c r="D7498" t="s">
        <v>11</v>
      </c>
      <c r="E7498" t="s">
        <v>85</v>
      </c>
      <c r="F7498" t="s">
        <v>89</v>
      </c>
      <c r="G7498" t="str">
        <f t="shared" si="306"/>
        <v>011STARDUST</v>
      </c>
      <c r="H7498" s="5">
        <v>8750</v>
      </c>
      <c r="I7498" s="6">
        <v>2263.7999998868127</v>
      </c>
      <c r="J7498" s="5">
        <v>17920</v>
      </c>
      <c r="K7498" s="6">
        <f t="shared" si="308"/>
        <v>3.8651824368042624</v>
      </c>
    </row>
    <row r="7499" spans="1:11" hidden="1">
      <c r="A7499" s="4">
        <v>2026</v>
      </c>
      <c r="B7499">
        <v>17</v>
      </c>
      <c r="C7499" t="s">
        <v>54</v>
      </c>
      <c r="D7499" t="s">
        <v>11</v>
      </c>
      <c r="E7499" t="s">
        <v>90</v>
      </c>
      <c r="F7499" t="s">
        <v>67</v>
      </c>
      <c r="G7499" t="str">
        <f t="shared" si="306"/>
        <v>012DEEP PURPLE</v>
      </c>
      <c r="H7499" s="5">
        <v>34260</v>
      </c>
      <c r="I7499" s="6">
        <v>6727.0499997982479</v>
      </c>
      <c r="J7499" s="5">
        <v>49210</v>
      </c>
      <c r="K7499" s="6">
        <f t="shared" si="308"/>
        <v>5.0928713181896219</v>
      </c>
    </row>
    <row r="7500" spans="1:11" hidden="1">
      <c r="A7500" s="4">
        <v>2026</v>
      </c>
      <c r="B7500">
        <v>17</v>
      </c>
      <c r="C7500" t="s">
        <v>54</v>
      </c>
      <c r="D7500" t="s">
        <v>11</v>
      </c>
      <c r="E7500" t="s">
        <v>90</v>
      </c>
      <c r="F7500" t="s">
        <v>60</v>
      </c>
      <c r="G7500" t="str">
        <f t="shared" si="306"/>
        <v>012LIGHT HOUSE</v>
      </c>
      <c r="H7500" s="5">
        <v>3690</v>
      </c>
      <c r="I7500" s="6">
        <v>994.95</v>
      </c>
      <c r="J7500" s="5">
        <v>7200</v>
      </c>
      <c r="K7500" s="6">
        <f t="shared" si="308"/>
        <v>3.7087290818634102</v>
      </c>
    </row>
    <row r="7501" spans="1:11" hidden="1">
      <c r="A7501" s="4">
        <v>2026</v>
      </c>
      <c r="B7501">
        <v>17</v>
      </c>
      <c r="C7501" t="s">
        <v>54</v>
      </c>
      <c r="D7501" t="s">
        <v>11</v>
      </c>
      <c r="E7501" t="s">
        <v>91</v>
      </c>
      <c r="F7501" t="s">
        <v>92</v>
      </c>
      <c r="G7501" t="str">
        <f t="shared" si="306"/>
        <v>013COUNTRY BLUES</v>
      </c>
      <c r="H7501" s="5">
        <v>1760</v>
      </c>
      <c r="I7501" s="6">
        <v>831.6</v>
      </c>
      <c r="J7501" s="5">
        <v>6300</v>
      </c>
      <c r="K7501" s="6">
        <f t="shared" si="308"/>
        <v>2.1164021164021163</v>
      </c>
    </row>
    <row r="7502" spans="1:11" hidden="1">
      <c r="A7502" s="4">
        <v>2026</v>
      </c>
      <c r="B7502">
        <v>17</v>
      </c>
      <c r="C7502" t="s">
        <v>54</v>
      </c>
      <c r="D7502" t="s">
        <v>11</v>
      </c>
      <c r="E7502" t="s">
        <v>91</v>
      </c>
      <c r="F7502" t="s">
        <v>93</v>
      </c>
      <c r="G7502" t="str">
        <f t="shared" si="306"/>
        <v>013LORRAINE</v>
      </c>
      <c r="H7502" s="5">
        <v>7375</v>
      </c>
      <c r="I7502" s="6">
        <v>1267.2</v>
      </c>
      <c r="J7502" s="5">
        <v>9600</v>
      </c>
      <c r="K7502" s="6">
        <f t="shared" si="308"/>
        <v>5.8199179292929291</v>
      </c>
    </row>
    <row r="7503" spans="1:11" hidden="1">
      <c r="A7503" s="4">
        <v>2026</v>
      </c>
      <c r="B7503">
        <v>17</v>
      </c>
      <c r="C7503" t="s">
        <v>54</v>
      </c>
      <c r="D7503" t="s">
        <v>11</v>
      </c>
      <c r="E7503" t="s">
        <v>91</v>
      </c>
      <c r="F7503" t="s">
        <v>61</v>
      </c>
      <c r="G7503" t="str">
        <f t="shared" si="306"/>
        <v>013LUMIA</v>
      </c>
      <c r="H7503" s="5">
        <v>1860</v>
      </c>
      <c r="I7503" s="6">
        <v>316.8</v>
      </c>
      <c r="J7503" s="5">
        <v>2400</v>
      </c>
      <c r="K7503" s="6">
        <f t="shared" si="308"/>
        <v>5.8712121212121211</v>
      </c>
    </row>
    <row r="7504" spans="1:11" hidden="1">
      <c r="A7504" s="4">
        <v>2026</v>
      </c>
      <c r="B7504">
        <v>17</v>
      </c>
      <c r="C7504" t="s">
        <v>54</v>
      </c>
      <c r="D7504" t="s">
        <v>11</v>
      </c>
      <c r="E7504" t="s">
        <v>91</v>
      </c>
      <c r="F7504" t="s">
        <v>74</v>
      </c>
      <c r="G7504" t="str">
        <f t="shared" si="306"/>
        <v>013VENDELA</v>
      </c>
      <c r="H7504" s="5">
        <v>16080</v>
      </c>
      <c r="I7504" s="6">
        <v>3603.6</v>
      </c>
      <c r="J7504" s="5">
        <v>27296</v>
      </c>
      <c r="K7504" s="6">
        <f t="shared" si="308"/>
        <v>4.4622044622044621</v>
      </c>
    </row>
    <row r="7505" spans="1:11" hidden="1">
      <c r="A7505" s="4">
        <v>2026</v>
      </c>
      <c r="B7505">
        <v>17</v>
      </c>
      <c r="C7505" t="s">
        <v>54</v>
      </c>
      <c r="D7505" t="s">
        <v>11</v>
      </c>
      <c r="E7505" t="s">
        <v>23</v>
      </c>
      <c r="F7505" t="s">
        <v>89</v>
      </c>
      <c r="G7505" t="str">
        <f t="shared" si="306"/>
        <v>014STARDUST</v>
      </c>
      <c r="H7505" s="5">
        <v>14425</v>
      </c>
      <c r="I7505" s="6">
        <v>3682.8</v>
      </c>
      <c r="J7505" s="5">
        <v>27900</v>
      </c>
      <c r="K7505" s="6">
        <f t="shared" si="308"/>
        <v>3.9168567394373843</v>
      </c>
    </row>
    <row r="7506" spans="1:11" hidden="1">
      <c r="A7506" s="4">
        <v>2026</v>
      </c>
      <c r="B7506">
        <v>17</v>
      </c>
      <c r="C7506" t="s">
        <v>54</v>
      </c>
      <c r="D7506" t="s">
        <v>11</v>
      </c>
      <c r="E7506" t="s">
        <v>25</v>
      </c>
      <c r="F7506" t="s">
        <v>68</v>
      </c>
      <c r="G7506" t="str">
        <f t="shared" si="306"/>
        <v>015JOCKER</v>
      </c>
      <c r="H7506" s="5">
        <v>13375</v>
      </c>
      <c r="I7506" s="6">
        <v>2376</v>
      </c>
      <c r="J7506" s="5">
        <v>18000</v>
      </c>
      <c r="K7506" s="6">
        <f t="shared" si="308"/>
        <v>5.6292087542087543</v>
      </c>
    </row>
    <row r="7507" spans="1:11" hidden="1">
      <c r="A7507" s="4">
        <v>2026</v>
      </c>
      <c r="B7507">
        <v>17</v>
      </c>
      <c r="C7507" t="s">
        <v>54</v>
      </c>
      <c r="D7507" t="s">
        <v>11</v>
      </c>
      <c r="E7507" t="s">
        <v>27</v>
      </c>
      <c r="F7507" t="s">
        <v>94</v>
      </c>
      <c r="G7507" t="str">
        <f t="shared" si="306"/>
        <v>016DREAM IN PEACH</v>
      </c>
      <c r="H7507" s="5">
        <v>3600</v>
      </c>
      <c r="I7507" s="6">
        <v>950.4</v>
      </c>
      <c r="J7507" s="5">
        <v>7200</v>
      </c>
      <c r="K7507" s="6">
        <f t="shared" si="308"/>
        <v>3.7878787878787881</v>
      </c>
    </row>
    <row r="7508" spans="1:11" hidden="1">
      <c r="A7508" s="4">
        <v>2026</v>
      </c>
      <c r="B7508">
        <v>17</v>
      </c>
      <c r="C7508" t="s">
        <v>54</v>
      </c>
      <c r="D7508" t="s">
        <v>11</v>
      </c>
      <c r="E7508" t="s">
        <v>27</v>
      </c>
      <c r="F7508" t="s">
        <v>95</v>
      </c>
      <c r="G7508" t="str">
        <f t="shared" ref="G7508:G7570" si="309">+E7508&amp;F7508</f>
        <v>016NINA</v>
      </c>
      <c r="H7508" s="5">
        <v>5250</v>
      </c>
      <c r="I7508" s="6">
        <v>1346.4</v>
      </c>
      <c r="J7508" s="5">
        <v>10200</v>
      </c>
      <c r="K7508" s="6">
        <f t="shared" si="308"/>
        <v>3.8992869875222813</v>
      </c>
    </row>
    <row r="7509" spans="1:11" hidden="1">
      <c r="A7509" s="4">
        <v>2026</v>
      </c>
      <c r="B7509">
        <v>17</v>
      </c>
      <c r="C7509" t="s">
        <v>54</v>
      </c>
      <c r="D7509" t="s">
        <v>11</v>
      </c>
      <c r="E7509" t="s">
        <v>30</v>
      </c>
      <c r="F7509" t="s">
        <v>81</v>
      </c>
      <c r="G7509" t="str">
        <f t="shared" si="309"/>
        <v>017FREEDOM</v>
      </c>
      <c r="H7509" s="5">
        <v>9540</v>
      </c>
      <c r="I7509" s="6">
        <v>2851.2</v>
      </c>
      <c r="J7509" s="5">
        <v>21600</v>
      </c>
      <c r="K7509" s="6">
        <f t="shared" si="308"/>
        <v>3.345959595959596</v>
      </c>
    </row>
    <row r="7510" spans="1:11" hidden="1">
      <c r="A7510" s="4">
        <v>2026</v>
      </c>
      <c r="B7510">
        <v>17</v>
      </c>
      <c r="C7510" t="s">
        <v>54</v>
      </c>
      <c r="D7510" t="s">
        <v>11</v>
      </c>
      <c r="E7510" t="s">
        <v>30</v>
      </c>
      <c r="F7510" t="s">
        <v>73</v>
      </c>
      <c r="G7510" t="str">
        <f t="shared" si="309"/>
        <v>017GOLDFINCH</v>
      </c>
      <c r="H7510" s="5">
        <v>6000</v>
      </c>
      <c r="I7510" s="6">
        <v>2138.4</v>
      </c>
      <c r="J7510" s="5">
        <v>16200</v>
      </c>
      <c r="K7510" s="6">
        <f t="shared" si="308"/>
        <v>2.8058361391694722</v>
      </c>
    </row>
    <row r="7511" spans="1:11" hidden="1">
      <c r="A7511" s="4">
        <v>2026</v>
      </c>
      <c r="B7511">
        <v>17</v>
      </c>
      <c r="C7511" t="s">
        <v>54</v>
      </c>
      <c r="D7511" t="s">
        <v>11</v>
      </c>
      <c r="E7511" t="s">
        <v>32</v>
      </c>
      <c r="F7511" t="s">
        <v>86</v>
      </c>
      <c r="G7511" t="str">
        <f t="shared" si="309"/>
        <v>018BRIGHTON</v>
      </c>
      <c r="H7511" s="5">
        <v>4525</v>
      </c>
      <c r="I7511" s="6">
        <v>963.6</v>
      </c>
      <c r="J7511" s="5">
        <v>7570</v>
      </c>
      <c r="K7511" s="6">
        <f t="shared" si="308"/>
        <v>4.6959319219593194</v>
      </c>
    </row>
    <row r="7512" spans="1:11" hidden="1">
      <c r="A7512" s="4">
        <v>2026</v>
      </c>
      <c r="B7512">
        <v>17</v>
      </c>
      <c r="C7512" t="s">
        <v>54</v>
      </c>
      <c r="D7512" t="s">
        <v>11</v>
      </c>
      <c r="E7512" t="s">
        <v>35</v>
      </c>
      <c r="F7512" t="s">
        <v>86</v>
      </c>
      <c r="G7512" t="str">
        <f t="shared" si="309"/>
        <v>019BRIGHTON</v>
      </c>
      <c r="H7512" s="5">
        <v>16100</v>
      </c>
      <c r="I7512" s="6">
        <v>3168</v>
      </c>
      <c r="J7512" s="5">
        <v>24000</v>
      </c>
      <c r="K7512" s="6">
        <f t="shared" si="308"/>
        <v>5.0820707070707067</v>
      </c>
    </row>
    <row r="7513" spans="1:11" hidden="1">
      <c r="A7513" s="4">
        <v>2026</v>
      </c>
      <c r="B7513">
        <v>17</v>
      </c>
      <c r="C7513" t="s">
        <v>54</v>
      </c>
      <c r="D7513" t="s">
        <v>11</v>
      </c>
      <c r="E7513" t="s">
        <v>35</v>
      </c>
      <c r="F7513" t="s">
        <v>96</v>
      </c>
      <c r="G7513" t="str">
        <f t="shared" si="309"/>
        <v>019TABATHA</v>
      </c>
      <c r="H7513" s="5">
        <v>4140</v>
      </c>
      <c r="I7513" s="6">
        <v>1188</v>
      </c>
      <c r="J7513" s="5">
        <v>9000</v>
      </c>
      <c r="K7513" s="6">
        <f t="shared" si="308"/>
        <v>3.4848484848484849</v>
      </c>
    </row>
    <row r="7514" spans="1:11" hidden="1">
      <c r="A7514" s="4">
        <v>2026</v>
      </c>
      <c r="B7514">
        <v>17</v>
      </c>
      <c r="C7514" t="s">
        <v>54</v>
      </c>
      <c r="D7514" t="s">
        <v>11</v>
      </c>
      <c r="E7514" t="s">
        <v>36</v>
      </c>
      <c r="F7514" t="s">
        <v>86</v>
      </c>
      <c r="G7514" t="str">
        <f t="shared" si="309"/>
        <v>020BRIGHTON</v>
      </c>
      <c r="H7514" s="5">
        <v>12850</v>
      </c>
      <c r="I7514" s="6">
        <v>2732.4</v>
      </c>
      <c r="J7514" s="5">
        <v>20700</v>
      </c>
      <c r="K7514" s="6">
        <f t="shared" si="308"/>
        <v>4.702825354999268</v>
      </c>
    </row>
    <row r="7515" spans="1:11" hidden="1">
      <c r="A7515" s="4">
        <v>2026</v>
      </c>
      <c r="B7515">
        <v>17</v>
      </c>
      <c r="C7515" t="s">
        <v>54</v>
      </c>
      <c r="D7515" t="s">
        <v>11</v>
      </c>
      <c r="E7515" t="s">
        <v>36</v>
      </c>
      <c r="F7515" t="s">
        <v>97</v>
      </c>
      <c r="G7515" t="str">
        <f t="shared" si="309"/>
        <v>020TYCOON</v>
      </c>
      <c r="H7515" s="5">
        <v>3540</v>
      </c>
      <c r="I7515" s="6">
        <v>673.2</v>
      </c>
      <c r="J7515" s="5">
        <v>5100</v>
      </c>
      <c r="K7515" s="6">
        <f t="shared" si="308"/>
        <v>5.2584670231729049</v>
      </c>
    </row>
    <row r="7516" spans="1:11" hidden="1">
      <c r="A7516" s="4">
        <v>2026</v>
      </c>
      <c r="B7516">
        <v>17</v>
      </c>
      <c r="C7516" t="s">
        <v>54</v>
      </c>
      <c r="D7516" t="s">
        <v>11</v>
      </c>
      <c r="E7516" t="s">
        <v>38</v>
      </c>
      <c r="F7516" t="s">
        <v>98</v>
      </c>
      <c r="G7516" t="str">
        <f t="shared" si="309"/>
        <v>021SHOW GIRL</v>
      </c>
      <c r="H7516" s="5">
        <v>2850</v>
      </c>
      <c r="I7516" s="6">
        <v>1100.4749999999999</v>
      </c>
      <c r="J7516" s="5">
        <v>8000</v>
      </c>
      <c r="K7516" s="6">
        <f t="shared" si="308"/>
        <v>2.5897907721665647</v>
      </c>
    </row>
    <row r="7517" spans="1:11" hidden="1">
      <c r="A7517" s="4">
        <v>2026</v>
      </c>
      <c r="B7517">
        <v>17</v>
      </c>
      <c r="C7517" t="s">
        <v>54</v>
      </c>
      <c r="D7517" t="s">
        <v>11</v>
      </c>
      <c r="E7517" t="s">
        <v>43</v>
      </c>
      <c r="F7517" t="s">
        <v>99</v>
      </c>
      <c r="G7517" t="str">
        <f t="shared" si="309"/>
        <v>022CORAL REEF</v>
      </c>
      <c r="H7517" s="5">
        <v>3575</v>
      </c>
      <c r="I7517" s="6">
        <v>1287</v>
      </c>
      <c r="J7517" s="5">
        <v>9400</v>
      </c>
      <c r="K7517" s="6">
        <f t="shared" si="308"/>
        <v>2.7777777777777777</v>
      </c>
    </row>
    <row r="7518" spans="1:11" hidden="1">
      <c r="A7518" s="4">
        <v>2026</v>
      </c>
      <c r="B7518">
        <v>17</v>
      </c>
      <c r="C7518" t="s">
        <v>54</v>
      </c>
      <c r="D7518" t="s">
        <v>11</v>
      </c>
      <c r="E7518" t="s">
        <v>100</v>
      </c>
      <c r="F7518" t="s">
        <v>70</v>
      </c>
      <c r="G7518" t="str">
        <f t="shared" si="309"/>
        <v>023COTOPAXI</v>
      </c>
      <c r="H7518" s="5">
        <v>11010</v>
      </c>
      <c r="I7518" s="6">
        <v>2641.14</v>
      </c>
      <c r="J7518" s="5">
        <v>19200</v>
      </c>
      <c r="K7518" s="6">
        <f t="shared" si="308"/>
        <v>4.1686544446716196</v>
      </c>
    </row>
    <row r="7519" spans="1:11" hidden="1">
      <c r="A7519" s="4">
        <v>2026</v>
      </c>
      <c r="B7519">
        <v>17</v>
      </c>
      <c r="C7519" t="s">
        <v>54</v>
      </c>
      <c r="D7519" t="s">
        <v>11</v>
      </c>
      <c r="E7519" t="s">
        <v>100</v>
      </c>
      <c r="F7519" t="s">
        <v>101</v>
      </c>
      <c r="G7519" t="str">
        <f t="shared" si="309"/>
        <v>023FRUTTETO</v>
      </c>
      <c r="H7519" s="5">
        <v>16230</v>
      </c>
      <c r="I7519" s="6">
        <v>2641.14</v>
      </c>
      <c r="J7519" s="5">
        <v>19200</v>
      </c>
      <c r="K7519" s="6">
        <f t="shared" si="308"/>
        <v>6.1450737181671551</v>
      </c>
    </row>
    <row r="7520" spans="1:11" hidden="1">
      <c r="A7520" s="4">
        <v>2026</v>
      </c>
      <c r="B7520">
        <v>17</v>
      </c>
      <c r="C7520" t="s">
        <v>54</v>
      </c>
      <c r="D7520" t="s">
        <v>11</v>
      </c>
      <c r="E7520" t="s">
        <v>102</v>
      </c>
      <c r="F7520" t="s">
        <v>70</v>
      </c>
      <c r="G7520" t="str">
        <f t="shared" si="309"/>
        <v>024COTOPAXI</v>
      </c>
      <c r="H7520" s="5">
        <v>7830</v>
      </c>
      <c r="I7520" s="6">
        <v>1430.6174906250001</v>
      </c>
      <c r="J7520" s="5">
        <v>10400</v>
      </c>
      <c r="K7520" s="6">
        <f t="shared" si="308"/>
        <v>5.4731611009308114</v>
      </c>
    </row>
    <row r="7521" spans="1:11" hidden="1">
      <c r="A7521" s="4">
        <v>2026</v>
      </c>
      <c r="B7521">
        <v>17</v>
      </c>
      <c r="C7521" t="s">
        <v>54</v>
      </c>
      <c r="D7521" t="s">
        <v>11</v>
      </c>
      <c r="E7521" t="s">
        <v>102</v>
      </c>
      <c r="F7521" t="s">
        <v>64</v>
      </c>
      <c r="G7521" t="str">
        <f t="shared" si="309"/>
        <v>024SWEETNESS</v>
      </c>
      <c r="H7521" s="5">
        <v>4590</v>
      </c>
      <c r="I7521" s="6">
        <v>1430.6175000000001</v>
      </c>
      <c r="J7521" s="5">
        <v>10400</v>
      </c>
      <c r="K7521" s="6">
        <f t="shared" si="308"/>
        <v>3.2084047622792253</v>
      </c>
    </row>
    <row r="7522" spans="1:11" hidden="1">
      <c r="A7522" s="4">
        <v>2026</v>
      </c>
      <c r="B7522">
        <v>17</v>
      </c>
      <c r="C7522" t="s">
        <v>54</v>
      </c>
      <c r="D7522" t="s">
        <v>11</v>
      </c>
      <c r="E7522" t="s">
        <v>102</v>
      </c>
      <c r="F7522" t="s">
        <v>97</v>
      </c>
      <c r="G7522" t="str">
        <f t="shared" si="309"/>
        <v>024TYCOON</v>
      </c>
      <c r="H7522" s="5">
        <v>9120</v>
      </c>
      <c r="I7522" s="6">
        <v>2861.2350000000001</v>
      </c>
      <c r="J7522" s="5">
        <v>20800</v>
      </c>
      <c r="K7522" s="6">
        <f t="shared" si="308"/>
        <v>3.1874347965126946</v>
      </c>
    </row>
    <row r="7523" spans="1:11" hidden="1">
      <c r="A7523" s="4">
        <v>2026</v>
      </c>
      <c r="B7523">
        <v>17</v>
      </c>
      <c r="C7523" t="s">
        <v>54</v>
      </c>
      <c r="D7523" t="s">
        <v>11</v>
      </c>
      <c r="E7523" t="s">
        <v>103</v>
      </c>
      <c r="F7523" t="s">
        <v>104</v>
      </c>
      <c r="G7523" t="str">
        <f t="shared" si="309"/>
        <v>025PINK MONDIAL</v>
      </c>
      <c r="H7523" s="5">
        <v>12150</v>
      </c>
      <c r="I7523" s="6">
        <v>3071.9505625000002</v>
      </c>
      <c r="J7523" s="5">
        <v>22400</v>
      </c>
      <c r="K7523" s="6">
        <f t="shared" si="308"/>
        <v>3.9551417748442361</v>
      </c>
    </row>
    <row r="7524" spans="1:11" hidden="1">
      <c r="A7524" s="4">
        <v>2026</v>
      </c>
      <c r="B7524">
        <v>17</v>
      </c>
      <c r="C7524" t="s">
        <v>54</v>
      </c>
      <c r="D7524" t="s">
        <v>11</v>
      </c>
      <c r="E7524" t="s">
        <v>45</v>
      </c>
      <c r="F7524" t="s">
        <v>105</v>
      </c>
      <c r="G7524" t="str">
        <f t="shared" si="309"/>
        <v>026LOLA</v>
      </c>
      <c r="H7524" s="5">
        <v>5800</v>
      </c>
      <c r="I7524" s="6">
        <v>2852.5250000000001</v>
      </c>
      <c r="J7524" s="5">
        <v>20800</v>
      </c>
      <c r="K7524" s="6">
        <f t="shared" si="308"/>
        <v>2.0332862989807277</v>
      </c>
    </row>
    <row r="7525" spans="1:11" hidden="1">
      <c r="A7525" s="4">
        <v>2026</v>
      </c>
      <c r="B7525">
        <v>17</v>
      </c>
      <c r="C7525" t="s">
        <v>54</v>
      </c>
      <c r="D7525" t="s">
        <v>11</v>
      </c>
      <c r="E7525" t="s">
        <v>45</v>
      </c>
      <c r="F7525" t="s">
        <v>106</v>
      </c>
      <c r="G7525" t="str">
        <f t="shared" si="309"/>
        <v>026PALOMA</v>
      </c>
      <c r="H7525" s="5">
        <v>7875</v>
      </c>
      <c r="I7525" s="6">
        <v>2852.5250000000001</v>
      </c>
      <c r="J7525" s="5">
        <v>20800</v>
      </c>
      <c r="K7525" s="6">
        <f t="shared" si="308"/>
        <v>2.7607120007712465</v>
      </c>
    </row>
    <row r="7526" spans="1:11" hidden="1">
      <c r="A7526" s="4">
        <v>2026</v>
      </c>
      <c r="B7526">
        <v>17</v>
      </c>
      <c r="C7526" t="s">
        <v>54</v>
      </c>
      <c r="D7526" t="s">
        <v>11</v>
      </c>
      <c r="E7526" t="s">
        <v>107</v>
      </c>
      <c r="F7526" t="s">
        <v>108</v>
      </c>
      <c r="G7526" t="str">
        <f t="shared" si="309"/>
        <v>027SATISFACTION</v>
      </c>
      <c r="H7526" s="5">
        <v>13590</v>
      </c>
      <c r="I7526" s="6">
        <v>2633.1</v>
      </c>
      <c r="J7526" s="5">
        <v>19200</v>
      </c>
      <c r="K7526" s="6">
        <f t="shared" si="308"/>
        <v>5.1612168166799588</v>
      </c>
    </row>
    <row r="7527" spans="1:11" hidden="1">
      <c r="A7527" s="4">
        <v>2026</v>
      </c>
      <c r="B7527">
        <v>17</v>
      </c>
      <c r="C7527" t="s">
        <v>54</v>
      </c>
      <c r="D7527" t="s">
        <v>11</v>
      </c>
      <c r="E7527" t="s">
        <v>107</v>
      </c>
      <c r="F7527" t="s">
        <v>109</v>
      </c>
      <c r="G7527" t="str">
        <f t="shared" si="309"/>
        <v>027TIFFANY</v>
      </c>
      <c r="H7527" s="5">
        <v>11760</v>
      </c>
      <c r="I7527" s="6">
        <v>2633.1</v>
      </c>
      <c r="J7527" s="5">
        <v>19200</v>
      </c>
      <c r="K7527" s="6">
        <f t="shared" si="308"/>
        <v>4.4662185256921498</v>
      </c>
    </row>
    <row r="7528" spans="1:11" hidden="1">
      <c r="A7528" s="4">
        <v>2026</v>
      </c>
      <c r="B7528">
        <v>17</v>
      </c>
      <c r="C7528" t="s">
        <v>54</v>
      </c>
      <c r="D7528" t="s">
        <v>11</v>
      </c>
      <c r="E7528" t="s">
        <v>110</v>
      </c>
      <c r="F7528" t="s">
        <v>70</v>
      </c>
      <c r="G7528" t="str">
        <f t="shared" si="309"/>
        <v>028COTOPAXI</v>
      </c>
      <c r="H7528" s="5">
        <v>12600</v>
      </c>
      <c r="I7528" s="6">
        <v>2852.5250000000001</v>
      </c>
      <c r="J7528" s="5">
        <v>20800</v>
      </c>
      <c r="K7528" s="6">
        <f t="shared" si="308"/>
        <v>4.4171392012339945</v>
      </c>
    </row>
    <row r="7529" spans="1:11" hidden="1">
      <c r="A7529" s="4">
        <v>2026</v>
      </c>
      <c r="B7529">
        <v>17</v>
      </c>
      <c r="C7529" t="s">
        <v>54</v>
      </c>
      <c r="D7529" t="s">
        <v>11</v>
      </c>
      <c r="E7529" t="s">
        <v>110</v>
      </c>
      <c r="F7529" t="s">
        <v>67</v>
      </c>
      <c r="G7529" t="str">
        <f t="shared" si="309"/>
        <v>028DEEP PURPLE</v>
      </c>
      <c r="H7529" s="5">
        <v>17430</v>
      </c>
      <c r="I7529" s="6">
        <v>2852.5250000000001</v>
      </c>
      <c r="J7529" s="5">
        <v>20800</v>
      </c>
      <c r="K7529" s="6">
        <f t="shared" si="308"/>
        <v>6.1103758950403586</v>
      </c>
    </row>
    <row r="7530" spans="1:11" hidden="1">
      <c r="A7530" s="4">
        <v>2026</v>
      </c>
      <c r="B7530">
        <v>17</v>
      </c>
      <c r="C7530" t="s">
        <v>54</v>
      </c>
      <c r="D7530" t="s">
        <v>11</v>
      </c>
      <c r="E7530" t="s">
        <v>111</v>
      </c>
      <c r="F7530" t="s">
        <v>112</v>
      </c>
      <c r="G7530" t="str">
        <f t="shared" si="309"/>
        <v>029PINK FLOYD</v>
      </c>
      <c r="H7530" s="5">
        <v>8750</v>
      </c>
      <c r="I7530" s="6">
        <v>3071.95</v>
      </c>
      <c r="J7530" s="5">
        <v>22400</v>
      </c>
      <c r="K7530" s="6">
        <f t="shared" si="308"/>
        <v>2.8483536515893815</v>
      </c>
    </row>
    <row r="7531" spans="1:11" hidden="1">
      <c r="A7531" s="4">
        <v>2026</v>
      </c>
      <c r="B7531">
        <v>17</v>
      </c>
      <c r="C7531" t="s">
        <v>54</v>
      </c>
      <c r="D7531" t="s">
        <v>11</v>
      </c>
      <c r="E7531" t="s">
        <v>47</v>
      </c>
      <c r="F7531" t="s">
        <v>57</v>
      </c>
      <c r="G7531" t="str">
        <f t="shared" si="309"/>
        <v>030EXPLORER</v>
      </c>
      <c r="H7531" s="5">
        <v>4525</v>
      </c>
      <c r="I7531" s="6">
        <v>1645.6875</v>
      </c>
      <c r="J7531" s="5">
        <v>12000</v>
      </c>
      <c r="K7531" s="6">
        <f t="shared" si="308"/>
        <v>2.7496107250009496</v>
      </c>
    </row>
    <row r="7532" spans="1:11" hidden="1">
      <c r="A7532" s="4">
        <v>2026</v>
      </c>
      <c r="B7532">
        <v>18</v>
      </c>
      <c r="C7532" t="s">
        <v>10</v>
      </c>
      <c r="D7532" t="s">
        <v>11</v>
      </c>
      <c r="E7532" t="s">
        <v>12</v>
      </c>
      <c r="F7532" t="s">
        <v>13</v>
      </c>
      <c r="G7532" t="str">
        <f t="shared" si="309"/>
        <v>002SOMERSET</v>
      </c>
      <c r="H7532" s="5">
        <v>9780</v>
      </c>
      <c r="I7532" s="6">
        <v>4121.4642855494085</v>
      </c>
      <c r="J7532" s="5">
        <v>31200</v>
      </c>
      <c r="K7532" s="6">
        <f t="shared" si="308"/>
        <v>2.372943042182952</v>
      </c>
    </row>
    <row r="7533" spans="1:11" hidden="1">
      <c r="A7533" s="4">
        <v>2026</v>
      </c>
      <c r="B7533">
        <v>18</v>
      </c>
      <c r="C7533" t="s">
        <v>10</v>
      </c>
      <c r="D7533" t="s">
        <v>11</v>
      </c>
      <c r="E7533" t="s">
        <v>14</v>
      </c>
      <c r="F7533" t="s">
        <v>15</v>
      </c>
      <c r="G7533" t="str">
        <f t="shared" si="309"/>
        <v>004BELLINA</v>
      </c>
      <c r="H7533" s="5">
        <v>2040</v>
      </c>
      <c r="I7533" s="6">
        <v>1056.7857142434418</v>
      </c>
      <c r="J7533" s="5">
        <v>8000</v>
      </c>
      <c r="K7533" s="6">
        <f t="shared" si="308"/>
        <v>1.9303818858494375</v>
      </c>
    </row>
    <row r="7534" spans="1:11" hidden="1">
      <c r="A7534" s="4">
        <v>2026</v>
      </c>
      <c r="B7534">
        <v>18</v>
      </c>
      <c r="C7534" t="s">
        <v>10</v>
      </c>
      <c r="D7534" t="s">
        <v>11</v>
      </c>
      <c r="E7534" t="s">
        <v>16</v>
      </c>
      <c r="F7534" t="s">
        <v>17</v>
      </c>
      <c r="G7534" t="str">
        <f t="shared" si="309"/>
        <v>005ELBA</v>
      </c>
      <c r="H7534" s="5">
        <v>10050</v>
      </c>
      <c r="I7534" s="6">
        <v>2641.9642856076484</v>
      </c>
      <c r="J7534" s="5">
        <v>19996</v>
      </c>
      <c r="K7534" s="6">
        <f t="shared" si="308"/>
        <v>3.8039878338811506</v>
      </c>
    </row>
    <row r="7535" spans="1:11" hidden="1">
      <c r="A7535" s="4">
        <v>2026</v>
      </c>
      <c r="B7535">
        <v>18</v>
      </c>
      <c r="C7535" t="s">
        <v>10</v>
      </c>
      <c r="D7535" t="s">
        <v>11</v>
      </c>
      <c r="E7535" t="s">
        <v>16</v>
      </c>
      <c r="F7535" t="s">
        <v>18</v>
      </c>
      <c r="G7535" t="str">
        <f t="shared" si="309"/>
        <v>005HOT BUBBLES</v>
      </c>
      <c r="H7535" s="5">
        <v>1940</v>
      </c>
      <c r="I7535" s="6">
        <v>528.39285712153003</v>
      </c>
      <c r="J7535" s="5">
        <v>4000</v>
      </c>
      <c r="K7535" s="6">
        <f t="shared" si="308"/>
        <v>3.671510645636531</v>
      </c>
    </row>
    <row r="7536" spans="1:11" hidden="1">
      <c r="A7536" s="4">
        <v>2026</v>
      </c>
      <c r="B7536">
        <v>18</v>
      </c>
      <c r="C7536" t="s">
        <v>10</v>
      </c>
      <c r="D7536" t="s">
        <v>11</v>
      </c>
      <c r="E7536" t="s">
        <v>16</v>
      </c>
      <c r="F7536" t="s">
        <v>19</v>
      </c>
      <c r="G7536" t="str">
        <f t="shared" si="309"/>
        <v>005SUSPIRO</v>
      </c>
      <c r="H7536" s="5">
        <v>8640</v>
      </c>
      <c r="I7536" s="6">
        <v>1902.2142856375078</v>
      </c>
      <c r="J7536" s="5">
        <v>14400</v>
      </c>
      <c r="K7536" s="6">
        <f t="shared" si="308"/>
        <v>4.54207502552973</v>
      </c>
    </row>
    <row r="7537" spans="1:11" hidden="1">
      <c r="A7537" s="4">
        <v>2026</v>
      </c>
      <c r="B7537">
        <v>18</v>
      </c>
      <c r="C7537" t="s">
        <v>10</v>
      </c>
      <c r="D7537" t="s">
        <v>11</v>
      </c>
      <c r="E7537" t="s">
        <v>20</v>
      </c>
      <c r="F7537" t="s">
        <v>21</v>
      </c>
      <c r="G7537" t="str">
        <f t="shared" si="309"/>
        <v>007SNOW BUBBLES</v>
      </c>
      <c r="H7537" s="5">
        <v>1740</v>
      </c>
      <c r="I7537" s="6">
        <v>634.05652706821195</v>
      </c>
      <c r="J7537" s="5">
        <v>4800</v>
      </c>
      <c r="K7537" s="6">
        <f t="shared" si="308"/>
        <v>2.7442348209007719</v>
      </c>
    </row>
    <row r="7538" spans="1:11" hidden="1">
      <c r="A7538" s="4">
        <v>2026</v>
      </c>
      <c r="B7538">
        <v>18</v>
      </c>
      <c r="C7538" t="s">
        <v>10</v>
      </c>
      <c r="D7538" t="s">
        <v>11</v>
      </c>
      <c r="E7538" t="s">
        <v>22</v>
      </c>
      <c r="F7538" t="s">
        <v>18</v>
      </c>
      <c r="G7538" t="str">
        <f t="shared" si="309"/>
        <v>009HOT BUBBLES</v>
      </c>
      <c r="H7538" s="5">
        <v>12780</v>
      </c>
      <c r="I7538" s="6">
        <v>4487.9999999102474</v>
      </c>
      <c r="J7538" s="5">
        <v>31740</v>
      </c>
      <c r="K7538" s="6">
        <f t="shared" si="308"/>
        <v>2.8475935829446475</v>
      </c>
    </row>
    <row r="7539" spans="1:11" hidden="1">
      <c r="A7539" s="4">
        <v>2026</v>
      </c>
      <c r="B7539">
        <v>18</v>
      </c>
      <c r="C7539" t="s">
        <v>10</v>
      </c>
      <c r="D7539" t="s">
        <v>11</v>
      </c>
      <c r="E7539" t="s">
        <v>23</v>
      </c>
      <c r="F7539" t="s">
        <v>24</v>
      </c>
      <c r="G7539" t="str">
        <f t="shared" si="309"/>
        <v>014FRUITY BUBBLES</v>
      </c>
      <c r="H7539" s="5">
        <v>4775</v>
      </c>
      <c r="I7539" s="6">
        <v>1702.8</v>
      </c>
      <c r="J7539" s="5">
        <v>12900</v>
      </c>
      <c r="K7539" s="6">
        <f t="shared" si="308"/>
        <v>2.8042048390885599</v>
      </c>
    </row>
    <row r="7540" spans="1:11" hidden="1">
      <c r="A7540" s="4">
        <v>2026</v>
      </c>
      <c r="B7540">
        <v>18</v>
      </c>
      <c r="C7540" t="s">
        <v>10</v>
      </c>
      <c r="D7540" t="s">
        <v>11</v>
      </c>
      <c r="E7540" t="s">
        <v>25</v>
      </c>
      <c r="F7540" t="s">
        <v>26</v>
      </c>
      <c r="G7540" t="str">
        <f t="shared" si="309"/>
        <v>015FELLINI</v>
      </c>
      <c r="H7540" s="5">
        <v>7520</v>
      </c>
      <c r="I7540" s="6">
        <v>3009.6</v>
      </c>
      <c r="J7540" s="5">
        <v>22800</v>
      </c>
      <c r="K7540" s="6">
        <f t="shared" si="308"/>
        <v>2.4986709197235513</v>
      </c>
    </row>
    <row r="7541" spans="1:11" hidden="1">
      <c r="A7541" s="4">
        <v>2026</v>
      </c>
      <c r="B7541">
        <v>18</v>
      </c>
      <c r="C7541" t="s">
        <v>10</v>
      </c>
      <c r="D7541" t="s">
        <v>11</v>
      </c>
      <c r="E7541" t="s">
        <v>27</v>
      </c>
      <c r="F7541" t="s">
        <v>28</v>
      </c>
      <c r="G7541" t="str">
        <f t="shared" si="309"/>
        <v>016GOOD PEACH</v>
      </c>
      <c r="H7541" s="5">
        <v>4260</v>
      </c>
      <c r="I7541" s="6">
        <v>1386</v>
      </c>
      <c r="J7541" s="5">
        <v>10500</v>
      </c>
      <c r="K7541" s="6">
        <f t="shared" si="308"/>
        <v>3.0735930735930737</v>
      </c>
    </row>
    <row r="7542" spans="1:11" hidden="1">
      <c r="A7542" s="4">
        <v>2026</v>
      </c>
      <c r="B7542">
        <v>18</v>
      </c>
      <c r="C7542" t="s">
        <v>10</v>
      </c>
      <c r="D7542" t="s">
        <v>11</v>
      </c>
      <c r="E7542" t="s">
        <v>27</v>
      </c>
      <c r="F7542" t="s">
        <v>29</v>
      </c>
      <c r="G7542" t="str">
        <f t="shared" si="309"/>
        <v>016GOOD YELLOW</v>
      </c>
      <c r="H7542" s="5">
        <v>5040</v>
      </c>
      <c r="I7542" s="6">
        <v>1386</v>
      </c>
      <c r="J7542" s="5">
        <v>10500</v>
      </c>
      <c r="K7542" s="6">
        <f t="shared" si="308"/>
        <v>3.6363636363636362</v>
      </c>
    </row>
    <row r="7543" spans="1:11" hidden="1">
      <c r="A7543" s="4">
        <v>2026</v>
      </c>
      <c r="B7543">
        <v>18</v>
      </c>
      <c r="C7543" t="s">
        <v>10</v>
      </c>
      <c r="D7543" t="s">
        <v>11</v>
      </c>
      <c r="E7543" t="s">
        <v>30</v>
      </c>
      <c r="F7543" t="s">
        <v>31</v>
      </c>
      <c r="G7543" t="str">
        <f t="shared" si="309"/>
        <v>017ORANGE STAR</v>
      </c>
      <c r="H7543" s="5">
        <v>2250</v>
      </c>
      <c r="I7543" s="6">
        <v>1029.5999999999999</v>
      </c>
      <c r="J7543" s="5">
        <v>7800</v>
      </c>
      <c r="K7543" s="6">
        <f t="shared" si="308"/>
        <v>2.1853146853146854</v>
      </c>
    </row>
    <row r="7544" spans="1:11" hidden="1">
      <c r="A7544" s="4">
        <v>2026</v>
      </c>
      <c r="B7544">
        <v>18</v>
      </c>
      <c r="C7544" t="s">
        <v>10</v>
      </c>
      <c r="D7544" t="s">
        <v>11</v>
      </c>
      <c r="E7544" t="s">
        <v>32</v>
      </c>
      <c r="F7544" t="s">
        <v>33</v>
      </c>
      <c r="G7544" t="str">
        <f t="shared" si="309"/>
        <v>018COSMO</v>
      </c>
      <c r="H7544" s="5">
        <v>7150</v>
      </c>
      <c r="I7544" s="6">
        <v>2653.2</v>
      </c>
      <c r="J7544" s="5">
        <v>20100</v>
      </c>
      <c r="K7544" s="6">
        <f t="shared" si="308"/>
        <v>2.6948590381426203</v>
      </c>
    </row>
    <row r="7545" spans="1:11" hidden="1">
      <c r="A7545" s="4">
        <v>2026</v>
      </c>
      <c r="B7545">
        <v>18</v>
      </c>
      <c r="C7545" t="s">
        <v>10</v>
      </c>
      <c r="D7545" t="s">
        <v>11</v>
      </c>
      <c r="E7545" t="s">
        <v>32</v>
      </c>
      <c r="F7545" t="s">
        <v>34</v>
      </c>
      <c r="G7545" t="str">
        <f t="shared" si="309"/>
        <v>018RUBICON</v>
      </c>
      <c r="H7545" s="5">
        <v>4350</v>
      </c>
      <c r="I7545" s="6">
        <v>1768.8</v>
      </c>
      <c r="J7545" s="5">
        <v>13400</v>
      </c>
      <c r="K7545" s="6">
        <f t="shared" si="308"/>
        <v>2.4592944369063772</v>
      </c>
    </row>
    <row r="7546" spans="1:11" hidden="1">
      <c r="A7546" s="4">
        <v>2026</v>
      </c>
      <c r="B7546">
        <v>18</v>
      </c>
      <c r="C7546" t="s">
        <v>10</v>
      </c>
      <c r="D7546" t="s">
        <v>11</v>
      </c>
      <c r="E7546" t="s">
        <v>35</v>
      </c>
      <c r="F7546" t="s">
        <v>15</v>
      </c>
      <c r="G7546" t="str">
        <f t="shared" si="309"/>
        <v>019BELLINA</v>
      </c>
      <c r="H7546" s="5">
        <v>2955</v>
      </c>
      <c r="I7546" s="6">
        <v>1029.5999999999999</v>
      </c>
      <c r="J7546" s="5">
        <v>7800</v>
      </c>
      <c r="K7546" s="6">
        <f t="shared" ref="K7546:K7607" si="310">+H7546/I7546</f>
        <v>2.8700466200466201</v>
      </c>
    </row>
    <row r="7547" spans="1:11" hidden="1">
      <c r="A7547" s="4">
        <v>2026</v>
      </c>
      <c r="B7547">
        <v>18</v>
      </c>
      <c r="C7547" t="s">
        <v>10</v>
      </c>
      <c r="D7547" t="s">
        <v>11</v>
      </c>
      <c r="E7547" t="s">
        <v>36</v>
      </c>
      <c r="F7547" t="s">
        <v>37</v>
      </c>
      <c r="G7547" t="str">
        <f t="shared" si="309"/>
        <v>020SUMMER DANCE</v>
      </c>
      <c r="H7547" s="5">
        <v>3850</v>
      </c>
      <c r="I7547" s="6">
        <v>1346.4</v>
      </c>
      <c r="J7547" s="5">
        <v>10200</v>
      </c>
      <c r="K7547" s="6">
        <f t="shared" si="310"/>
        <v>2.8594771241830061</v>
      </c>
    </row>
    <row r="7548" spans="1:11" hidden="1">
      <c r="A7548" s="4">
        <v>2026</v>
      </c>
      <c r="B7548">
        <v>18</v>
      </c>
      <c r="C7548" t="s">
        <v>10</v>
      </c>
      <c r="D7548" t="s">
        <v>11</v>
      </c>
      <c r="E7548" t="s">
        <v>38</v>
      </c>
      <c r="F7548" t="s">
        <v>39</v>
      </c>
      <c r="G7548" t="str">
        <f t="shared" si="309"/>
        <v>021ELEGANT ROSEVER</v>
      </c>
      <c r="H7548" s="5">
        <v>2160</v>
      </c>
      <c r="I7548" s="6">
        <v>440.18999062500001</v>
      </c>
      <c r="J7548" s="5">
        <v>3200</v>
      </c>
      <c r="K7548" s="6">
        <f t="shared" si="310"/>
        <v>4.9069720938750612</v>
      </c>
    </row>
    <row r="7549" spans="1:11" hidden="1">
      <c r="A7549" s="4">
        <v>2026</v>
      </c>
      <c r="B7549">
        <v>18</v>
      </c>
      <c r="C7549" t="s">
        <v>10</v>
      </c>
      <c r="D7549" t="s">
        <v>11</v>
      </c>
      <c r="E7549" t="s">
        <v>38</v>
      </c>
      <c r="F7549" t="s">
        <v>40</v>
      </c>
      <c r="G7549" t="str">
        <f t="shared" si="309"/>
        <v>021FLAME CLUB</v>
      </c>
      <c r="H7549" s="5">
        <v>3275</v>
      </c>
      <c r="I7549" s="6">
        <v>880.38</v>
      </c>
      <c r="J7549" s="5">
        <v>6400</v>
      </c>
      <c r="K7549" s="6">
        <f t="shared" si="310"/>
        <v>3.7199845521252186</v>
      </c>
    </row>
    <row r="7550" spans="1:11" hidden="1">
      <c r="A7550" s="4">
        <v>2026</v>
      </c>
      <c r="B7550">
        <v>18</v>
      </c>
      <c r="C7550" t="s">
        <v>10</v>
      </c>
      <c r="D7550" t="s">
        <v>11</v>
      </c>
      <c r="E7550" t="s">
        <v>38</v>
      </c>
      <c r="F7550" t="s">
        <v>41</v>
      </c>
      <c r="G7550" t="str">
        <f t="shared" si="309"/>
        <v>021KELLY</v>
      </c>
      <c r="H7550" s="5">
        <v>1075</v>
      </c>
      <c r="I7550" s="6">
        <v>330.14249999999998</v>
      </c>
      <c r="J7550" s="5">
        <v>2400</v>
      </c>
      <c r="K7550" s="6">
        <f t="shared" si="310"/>
        <v>3.2561696843029906</v>
      </c>
    </row>
    <row r="7551" spans="1:11" hidden="1">
      <c r="A7551" s="4">
        <v>2026</v>
      </c>
      <c r="B7551">
        <v>18</v>
      </c>
      <c r="C7551" t="s">
        <v>10</v>
      </c>
      <c r="D7551" t="s">
        <v>11</v>
      </c>
      <c r="E7551" t="s">
        <v>38</v>
      </c>
      <c r="F7551" t="s">
        <v>42</v>
      </c>
      <c r="G7551" t="str">
        <f t="shared" si="309"/>
        <v>021LEILA</v>
      </c>
      <c r="H7551" s="5">
        <v>3200</v>
      </c>
      <c r="I7551" s="6">
        <v>770.33249999999998</v>
      </c>
      <c r="J7551" s="5">
        <v>5600</v>
      </c>
      <c r="K7551" s="6">
        <f t="shared" si="310"/>
        <v>4.1540503613699284</v>
      </c>
    </row>
    <row r="7552" spans="1:11" hidden="1">
      <c r="A7552" s="4">
        <v>2026</v>
      </c>
      <c r="B7552">
        <v>18</v>
      </c>
      <c r="C7552" t="s">
        <v>10</v>
      </c>
      <c r="D7552" t="s">
        <v>11</v>
      </c>
      <c r="E7552" t="s">
        <v>38</v>
      </c>
      <c r="F7552" t="s">
        <v>115</v>
      </c>
      <c r="G7552" t="str">
        <f t="shared" si="309"/>
        <v>021PISTACHIO KISS</v>
      </c>
      <c r="H7552" s="5">
        <v>125</v>
      </c>
      <c r="I7552" s="6">
        <v>880.38</v>
      </c>
      <c r="J7552" s="5">
        <v>6400</v>
      </c>
      <c r="K7552" s="6">
        <f t="shared" si="310"/>
        <v>0.1419841432108862</v>
      </c>
    </row>
    <row r="7553" spans="1:11" hidden="1">
      <c r="A7553" s="4">
        <v>2026</v>
      </c>
      <c r="B7553">
        <v>18</v>
      </c>
      <c r="C7553" t="s">
        <v>10</v>
      </c>
      <c r="D7553" t="s">
        <v>11</v>
      </c>
      <c r="E7553" t="s">
        <v>38</v>
      </c>
      <c r="F7553" t="s">
        <v>21</v>
      </c>
      <c r="G7553" t="str">
        <f t="shared" si="309"/>
        <v>021SNOW BUBBLES</v>
      </c>
      <c r="H7553" s="5">
        <v>4840</v>
      </c>
      <c r="I7553" s="6">
        <v>1287.0000000000018</v>
      </c>
      <c r="J7553" s="5">
        <v>9400</v>
      </c>
      <c r="K7553" s="6">
        <f t="shared" si="310"/>
        <v>3.7606837606837553</v>
      </c>
    </row>
    <row r="7554" spans="1:11" hidden="1">
      <c r="A7554" s="4">
        <v>2026</v>
      </c>
      <c r="B7554">
        <v>18</v>
      </c>
      <c r="C7554" t="s">
        <v>10</v>
      </c>
      <c r="D7554" t="s">
        <v>11</v>
      </c>
      <c r="E7554" t="s">
        <v>43</v>
      </c>
      <c r="F7554" t="s">
        <v>24</v>
      </c>
      <c r="G7554" t="str">
        <f t="shared" si="309"/>
        <v>022FRUITY BUBBLES</v>
      </c>
      <c r="H7554" s="5">
        <v>8375</v>
      </c>
      <c r="I7554" s="6">
        <v>2641.14</v>
      </c>
      <c r="J7554" s="5">
        <v>19200</v>
      </c>
      <c r="K7554" s="6">
        <f t="shared" si="310"/>
        <v>3.1709791983764588</v>
      </c>
    </row>
    <row r="7555" spans="1:11" hidden="1">
      <c r="A7555" s="4">
        <v>2026</v>
      </c>
      <c r="B7555">
        <v>18</v>
      </c>
      <c r="C7555" t="s">
        <v>10</v>
      </c>
      <c r="D7555" t="s">
        <v>11</v>
      </c>
      <c r="E7555" t="s">
        <v>43</v>
      </c>
      <c r="F7555" t="s">
        <v>28</v>
      </c>
      <c r="G7555" t="str">
        <f t="shared" si="309"/>
        <v>022GOOD PEACH</v>
      </c>
      <c r="H7555" s="5">
        <v>3360</v>
      </c>
      <c r="I7555" s="6">
        <v>880.38</v>
      </c>
      <c r="J7555" s="5">
        <v>6400</v>
      </c>
      <c r="K7555" s="6">
        <f t="shared" si="310"/>
        <v>3.8165337695086214</v>
      </c>
    </row>
    <row r="7556" spans="1:11" hidden="1">
      <c r="A7556" s="4">
        <v>2026</v>
      </c>
      <c r="B7556">
        <v>18</v>
      </c>
      <c r="C7556" t="s">
        <v>10</v>
      </c>
      <c r="D7556" t="s">
        <v>11</v>
      </c>
      <c r="E7556" t="s">
        <v>43</v>
      </c>
      <c r="F7556" t="s">
        <v>44</v>
      </c>
      <c r="G7556" t="str">
        <f t="shared" si="309"/>
        <v>022MIRABEL</v>
      </c>
      <c r="H7556" s="5">
        <v>3340</v>
      </c>
      <c r="I7556" s="6">
        <v>880.38</v>
      </c>
      <c r="J7556" s="5">
        <v>6400</v>
      </c>
      <c r="K7556" s="6">
        <f t="shared" si="310"/>
        <v>3.7938163065948793</v>
      </c>
    </row>
    <row r="7557" spans="1:11" hidden="1">
      <c r="A7557" s="4">
        <v>2026</v>
      </c>
      <c r="B7557">
        <v>18</v>
      </c>
      <c r="C7557" t="s">
        <v>10</v>
      </c>
      <c r="D7557" t="s">
        <v>11</v>
      </c>
      <c r="E7557" t="s">
        <v>47</v>
      </c>
      <c r="F7557" t="s">
        <v>44</v>
      </c>
      <c r="G7557" t="str">
        <f t="shared" si="309"/>
        <v>030MIRABEL</v>
      </c>
      <c r="H7557" s="5">
        <v>5740</v>
      </c>
      <c r="I7557" s="6">
        <v>2413.6749943750001</v>
      </c>
      <c r="J7557" s="5">
        <v>17600</v>
      </c>
      <c r="K7557" s="6">
        <f t="shared" si="310"/>
        <v>2.3781163633782114</v>
      </c>
    </row>
    <row r="7558" spans="1:11" hidden="1">
      <c r="A7558" s="4">
        <v>2026</v>
      </c>
      <c r="B7558">
        <v>18</v>
      </c>
      <c r="C7558" t="s">
        <v>10</v>
      </c>
      <c r="D7558" t="s">
        <v>11</v>
      </c>
      <c r="E7558" t="s">
        <v>47</v>
      </c>
      <c r="F7558" t="s">
        <v>13</v>
      </c>
      <c r="G7558" t="str">
        <f t="shared" si="309"/>
        <v>030SOMERSET</v>
      </c>
      <c r="H7558" s="5">
        <v>3200</v>
      </c>
      <c r="I7558" s="6">
        <v>1645.6875</v>
      </c>
      <c r="J7558" s="5">
        <v>12000</v>
      </c>
      <c r="K7558" s="6">
        <f t="shared" si="310"/>
        <v>1.9444760928183511</v>
      </c>
    </row>
    <row r="7559" spans="1:11" hidden="1">
      <c r="A7559" s="4">
        <v>2026</v>
      </c>
      <c r="B7559">
        <v>18</v>
      </c>
      <c r="C7559" t="s">
        <v>10</v>
      </c>
      <c r="D7559" t="s">
        <v>11</v>
      </c>
      <c r="E7559" t="s">
        <v>48</v>
      </c>
      <c r="F7559" t="s">
        <v>49</v>
      </c>
      <c r="G7559" t="str">
        <f t="shared" si="309"/>
        <v>03182989</v>
      </c>
      <c r="H7559" s="5">
        <v>1120</v>
      </c>
      <c r="I7559" s="6">
        <v>726.32013058333712</v>
      </c>
      <c r="J7559" s="5">
        <v>5712</v>
      </c>
      <c r="K7559" s="6">
        <f t="shared" si="310"/>
        <v>1.5420197690245521</v>
      </c>
    </row>
    <row r="7560" spans="1:11" hidden="1">
      <c r="A7560" s="4">
        <v>2026</v>
      </c>
      <c r="B7560">
        <v>18</v>
      </c>
      <c r="C7560" t="s">
        <v>10</v>
      </c>
      <c r="D7560" t="s">
        <v>11</v>
      </c>
      <c r="E7560" t="s">
        <v>48</v>
      </c>
      <c r="F7560" t="s">
        <v>34</v>
      </c>
      <c r="G7560" t="str">
        <f t="shared" si="309"/>
        <v>031RUBICON</v>
      </c>
      <c r="H7560" s="5">
        <v>2400</v>
      </c>
      <c r="I7560" s="6">
        <v>924.39958333667107</v>
      </c>
      <c r="J7560" s="5">
        <v>6720</v>
      </c>
      <c r="K7560" s="6">
        <f t="shared" si="310"/>
        <v>2.5962798374887495</v>
      </c>
    </row>
    <row r="7561" spans="1:11" hidden="1">
      <c r="A7561" s="4">
        <v>2026</v>
      </c>
      <c r="B7561">
        <v>18</v>
      </c>
      <c r="C7561" t="s">
        <v>10</v>
      </c>
      <c r="D7561" t="s">
        <v>11</v>
      </c>
      <c r="E7561" t="s">
        <v>48</v>
      </c>
      <c r="F7561" t="s">
        <v>13</v>
      </c>
      <c r="G7561" t="str">
        <f t="shared" si="309"/>
        <v>031SOMERSET</v>
      </c>
      <c r="H7561" s="5">
        <v>1800</v>
      </c>
      <c r="I7561" s="6">
        <v>1122.485208333339</v>
      </c>
      <c r="J7561" s="5">
        <v>8160</v>
      </c>
      <c r="K7561" s="6">
        <f t="shared" si="310"/>
        <v>1.603584605513539</v>
      </c>
    </row>
    <row r="7562" spans="1:11" hidden="1">
      <c r="A7562" s="4">
        <v>2026</v>
      </c>
      <c r="B7562">
        <v>18</v>
      </c>
      <c r="C7562" t="s">
        <v>10</v>
      </c>
      <c r="D7562" t="s">
        <v>11</v>
      </c>
      <c r="E7562" t="s">
        <v>48</v>
      </c>
      <c r="F7562" t="s">
        <v>50</v>
      </c>
      <c r="G7562" t="str">
        <f t="shared" si="309"/>
        <v>031VELVET BLOSSOMS</v>
      </c>
      <c r="H7562" s="5">
        <v>820</v>
      </c>
      <c r="I7562" s="6">
        <v>396.17125000000198</v>
      </c>
      <c r="J7562" s="5">
        <v>2880</v>
      </c>
      <c r="K7562" s="6">
        <f t="shared" si="310"/>
        <v>2.0698119815609939</v>
      </c>
    </row>
    <row r="7563" spans="1:11" hidden="1">
      <c r="A7563" s="4">
        <v>2026</v>
      </c>
      <c r="B7563">
        <v>18</v>
      </c>
      <c r="C7563" t="s">
        <v>10</v>
      </c>
      <c r="D7563" t="s">
        <v>11</v>
      </c>
      <c r="E7563" t="s">
        <v>51</v>
      </c>
      <c r="F7563" t="s">
        <v>17</v>
      </c>
      <c r="G7563" t="str">
        <f t="shared" si="309"/>
        <v>032ELBA</v>
      </c>
      <c r="H7563" s="5">
        <v>3330</v>
      </c>
      <c r="I7563" s="6">
        <v>1535.9749999999999</v>
      </c>
      <c r="J7563" s="5">
        <v>11200</v>
      </c>
      <c r="K7563" s="6">
        <f t="shared" si="310"/>
        <v>2.1680040365240321</v>
      </c>
    </row>
    <row r="7564" spans="1:11" hidden="1">
      <c r="A7564" s="4">
        <v>2026</v>
      </c>
      <c r="B7564">
        <v>18</v>
      </c>
      <c r="C7564" t="s">
        <v>10</v>
      </c>
      <c r="D7564" t="s">
        <v>11</v>
      </c>
      <c r="E7564" t="s">
        <v>51</v>
      </c>
      <c r="F7564" t="s">
        <v>44</v>
      </c>
      <c r="G7564" t="str">
        <f t="shared" si="309"/>
        <v>032MIRABEL</v>
      </c>
      <c r="H7564" s="5">
        <v>3180</v>
      </c>
      <c r="I7564" s="6">
        <v>1535.9749999999999</v>
      </c>
      <c r="J7564" s="5">
        <v>11200</v>
      </c>
      <c r="K7564" s="6">
        <f t="shared" si="310"/>
        <v>2.0703461970409678</v>
      </c>
    </row>
    <row r="7565" spans="1:11" hidden="1">
      <c r="A7565" s="4">
        <v>2026</v>
      </c>
      <c r="B7565">
        <v>18</v>
      </c>
      <c r="C7565" t="s">
        <v>10</v>
      </c>
      <c r="D7565" t="s">
        <v>11</v>
      </c>
      <c r="E7565" t="s">
        <v>52</v>
      </c>
      <c r="F7565" t="s">
        <v>53</v>
      </c>
      <c r="G7565" t="str">
        <f t="shared" si="309"/>
        <v>033CREAMY FOLIES</v>
      </c>
      <c r="H7565" s="5">
        <v>1080</v>
      </c>
      <c r="I7565" s="6">
        <v>594.25687500000299</v>
      </c>
      <c r="J7565" s="5">
        <v>4320</v>
      </c>
      <c r="K7565" s="6">
        <f t="shared" si="310"/>
        <v>1.8173958862486774</v>
      </c>
    </row>
    <row r="7566" spans="1:11" hidden="1">
      <c r="A7566" s="4">
        <v>2026</v>
      </c>
      <c r="B7566">
        <v>18</v>
      </c>
      <c r="C7566" t="s">
        <v>10</v>
      </c>
      <c r="D7566" t="s">
        <v>11</v>
      </c>
      <c r="E7566" t="s">
        <v>52</v>
      </c>
      <c r="F7566" t="s">
        <v>18</v>
      </c>
      <c r="G7566" t="str">
        <f t="shared" si="309"/>
        <v>033HOT BUBBLES</v>
      </c>
      <c r="H7566" s="5">
        <v>6660</v>
      </c>
      <c r="I7566" s="6">
        <v>2575.1131250013459</v>
      </c>
      <c r="J7566" s="5">
        <v>18720</v>
      </c>
      <c r="K7566" s="6">
        <f t="shared" si="310"/>
        <v>2.5862941458140871</v>
      </c>
    </row>
    <row r="7567" spans="1:11" hidden="1">
      <c r="A7567" s="4">
        <v>2026</v>
      </c>
      <c r="B7567">
        <v>18</v>
      </c>
      <c r="C7567" t="s">
        <v>54</v>
      </c>
      <c r="D7567" t="s">
        <v>11</v>
      </c>
      <c r="E7567" t="s">
        <v>55</v>
      </c>
      <c r="F7567" t="s">
        <v>56</v>
      </c>
      <c r="G7567" t="str">
        <f t="shared" si="309"/>
        <v>001BELIEVE IN PINK</v>
      </c>
      <c r="H7567" s="5">
        <v>1560</v>
      </c>
      <c r="I7567" s="6">
        <v>528.37931032368999</v>
      </c>
      <c r="J7567" s="5">
        <v>4000</v>
      </c>
      <c r="K7567" s="6">
        <f t="shared" ref="K7567:K7572" si="311">IFERROR(H7567/I7567,"")</f>
        <v>2.9524244600802589</v>
      </c>
    </row>
    <row r="7568" spans="1:11" hidden="1">
      <c r="A7568" s="4">
        <v>2026</v>
      </c>
      <c r="B7568">
        <v>18</v>
      </c>
      <c r="C7568" t="s">
        <v>54</v>
      </c>
      <c r="D7568" t="s">
        <v>11</v>
      </c>
      <c r="E7568" t="s">
        <v>55</v>
      </c>
      <c r="F7568" t="s">
        <v>57</v>
      </c>
      <c r="G7568" t="str">
        <f t="shared" si="309"/>
        <v>001EXPLORER</v>
      </c>
      <c r="H7568" s="5">
        <v>5100</v>
      </c>
      <c r="I7568" s="6">
        <v>2272.0310343918732</v>
      </c>
      <c r="J7568" s="5">
        <v>17200</v>
      </c>
      <c r="K7568" s="6">
        <f t="shared" si="311"/>
        <v>2.2446876485404412</v>
      </c>
    </row>
    <row r="7569" spans="1:11" hidden="1">
      <c r="A7569" s="4">
        <v>2026</v>
      </c>
      <c r="B7569">
        <v>18</v>
      </c>
      <c r="C7569" t="s">
        <v>54</v>
      </c>
      <c r="D7569" t="s">
        <v>11</v>
      </c>
      <c r="E7569" t="s">
        <v>55</v>
      </c>
      <c r="F7569" t="s">
        <v>58</v>
      </c>
      <c r="G7569" t="str">
        <f t="shared" si="309"/>
        <v>001GRACE KELLY</v>
      </c>
      <c r="H7569" s="5">
        <v>2490</v>
      </c>
      <c r="I7569" s="6">
        <v>1162.4344827121224</v>
      </c>
      <c r="J7569" s="5">
        <v>8800</v>
      </c>
      <c r="K7569" s="6">
        <f t="shared" si="311"/>
        <v>2.1420562079253544</v>
      </c>
    </row>
    <row r="7570" spans="1:11" hidden="1">
      <c r="A7570" s="4">
        <v>2026</v>
      </c>
      <c r="B7570">
        <v>18</v>
      </c>
      <c r="C7570" t="s">
        <v>54</v>
      </c>
      <c r="D7570" t="s">
        <v>11</v>
      </c>
      <c r="E7570" t="s">
        <v>55</v>
      </c>
      <c r="F7570" t="s">
        <v>60</v>
      </c>
      <c r="G7570" t="str">
        <f t="shared" si="309"/>
        <v>001LIGHT HOUSE</v>
      </c>
      <c r="H7570" s="5">
        <v>2340</v>
      </c>
      <c r="I7570" s="6">
        <v>1056.7586206473827</v>
      </c>
      <c r="J7570" s="5">
        <v>8000</v>
      </c>
      <c r="K7570" s="6">
        <f t="shared" si="311"/>
        <v>2.2143183450601884</v>
      </c>
    </row>
    <row r="7571" spans="1:11" hidden="1">
      <c r="A7571" s="4">
        <v>2026</v>
      </c>
      <c r="B7571">
        <v>18</v>
      </c>
      <c r="C7571" t="s">
        <v>54</v>
      </c>
      <c r="D7571" t="s">
        <v>11</v>
      </c>
      <c r="E7571" t="s">
        <v>55</v>
      </c>
      <c r="F7571" t="s">
        <v>61</v>
      </c>
      <c r="G7571" t="str">
        <f t="shared" ref="G7571:G7633" si="312">+E7571&amp;F7571</f>
        <v>001LUMIA</v>
      </c>
      <c r="H7571" s="5">
        <v>2280</v>
      </c>
      <c r="I7571" s="6">
        <v>1109.596551679753</v>
      </c>
      <c r="J7571" s="5">
        <v>8400</v>
      </c>
      <c r="K7571" s="6">
        <f t="shared" si="311"/>
        <v>2.0548009062829564</v>
      </c>
    </row>
    <row r="7572" spans="1:11" hidden="1">
      <c r="A7572" s="4">
        <v>2026</v>
      </c>
      <c r="B7572">
        <v>18</v>
      </c>
      <c r="C7572" t="s">
        <v>54</v>
      </c>
      <c r="D7572" t="s">
        <v>11</v>
      </c>
      <c r="E7572" t="s">
        <v>55</v>
      </c>
      <c r="F7572" t="s">
        <v>62</v>
      </c>
      <c r="G7572" t="str">
        <f t="shared" si="312"/>
        <v>001MOMENTUM</v>
      </c>
      <c r="H7572" s="5">
        <v>5925</v>
      </c>
      <c r="I7572" s="6">
        <v>1902.1655171652881</v>
      </c>
      <c r="J7572" s="5">
        <v>14400</v>
      </c>
      <c r="K7572" s="6">
        <f t="shared" si="311"/>
        <v>3.1148708913774033</v>
      </c>
    </row>
    <row r="7573" spans="1:11" hidden="1">
      <c r="A7573" s="4">
        <v>2026</v>
      </c>
      <c r="B7573">
        <v>18</v>
      </c>
      <c r="C7573" t="s">
        <v>54</v>
      </c>
      <c r="D7573" t="s">
        <v>11</v>
      </c>
      <c r="E7573" t="s">
        <v>12</v>
      </c>
      <c r="F7573" t="s">
        <v>63</v>
      </c>
      <c r="G7573" t="str">
        <f t="shared" si="312"/>
        <v>002SUMMER ROMANCE</v>
      </c>
      <c r="H7573" s="5">
        <v>1875</v>
      </c>
      <c r="I7573" s="6">
        <v>951.10714281909407</v>
      </c>
      <c r="J7573" s="5">
        <v>7200</v>
      </c>
      <c r="K7573" s="6">
        <f t="shared" si="310"/>
        <v>1.9713867298299068</v>
      </c>
    </row>
    <row r="7574" spans="1:11" hidden="1">
      <c r="A7574" s="4">
        <v>2026</v>
      </c>
      <c r="B7574">
        <v>18</v>
      </c>
      <c r="C7574" t="s">
        <v>54</v>
      </c>
      <c r="D7574" t="s">
        <v>11</v>
      </c>
      <c r="E7574" t="s">
        <v>12</v>
      </c>
      <c r="F7574" t="s">
        <v>64</v>
      </c>
      <c r="G7574" t="str">
        <f t="shared" si="312"/>
        <v>002SWEETNESS</v>
      </c>
      <c r="H7574" s="5">
        <v>8880</v>
      </c>
      <c r="I7574" s="6">
        <v>3804.4285712763772</v>
      </c>
      <c r="J7574" s="5">
        <v>28800</v>
      </c>
      <c r="K7574" s="6">
        <f t="shared" si="310"/>
        <v>2.334121888118609</v>
      </c>
    </row>
    <row r="7575" spans="1:11" hidden="1">
      <c r="A7575" s="4">
        <v>2026</v>
      </c>
      <c r="B7575">
        <v>18</v>
      </c>
      <c r="C7575" t="s">
        <v>54</v>
      </c>
      <c r="D7575" t="s">
        <v>11</v>
      </c>
      <c r="E7575" t="s">
        <v>65</v>
      </c>
      <c r="F7575" t="s">
        <v>66</v>
      </c>
      <c r="G7575" t="str">
        <f t="shared" si="312"/>
        <v>003CABARET</v>
      </c>
      <c r="H7575" s="5">
        <v>7560</v>
      </c>
      <c r="I7575" s="6">
        <v>2641.8965516184649</v>
      </c>
      <c r="J7575" s="5">
        <v>20000</v>
      </c>
      <c r="K7575" s="6">
        <f t="shared" si="310"/>
        <v>2.8615806305393119</v>
      </c>
    </row>
    <row r="7576" spans="1:11" hidden="1">
      <c r="A7576" s="4">
        <v>2026</v>
      </c>
      <c r="B7576">
        <v>18</v>
      </c>
      <c r="C7576" t="s">
        <v>54</v>
      </c>
      <c r="D7576" t="s">
        <v>11</v>
      </c>
      <c r="E7576" t="s">
        <v>65</v>
      </c>
      <c r="F7576" t="s">
        <v>67</v>
      </c>
      <c r="G7576" t="str">
        <f t="shared" si="312"/>
        <v>003DEEP PURPLE</v>
      </c>
      <c r="H7576" s="5">
        <v>11190</v>
      </c>
      <c r="I7576" s="6">
        <v>3592.9793102010913</v>
      </c>
      <c r="J7576" s="5">
        <v>26044</v>
      </c>
      <c r="K7576" s="6">
        <f t="shared" si="310"/>
        <v>3.114407023783758</v>
      </c>
    </row>
    <row r="7577" spans="1:11" hidden="1">
      <c r="A7577" s="4">
        <v>2026</v>
      </c>
      <c r="B7577">
        <v>18</v>
      </c>
      <c r="C7577" t="s">
        <v>54</v>
      </c>
      <c r="D7577" t="s">
        <v>11</v>
      </c>
      <c r="E7577" t="s">
        <v>65</v>
      </c>
      <c r="F7577" t="s">
        <v>57</v>
      </c>
      <c r="G7577" t="str">
        <f t="shared" si="312"/>
        <v>003EXPLORER</v>
      </c>
      <c r="H7577" s="5">
        <v>2625</v>
      </c>
      <c r="I7577" s="6">
        <v>1268.1103447768633</v>
      </c>
      <c r="J7577" s="5">
        <v>9600</v>
      </c>
      <c r="K7577" s="6">
        <f t="shared" si="310"/>
        <v>2.070009136674849</v>
      </c>
    </row>
    <row r="7578" spans="1:11" hidden="1">
      <c r="A7578" s="4">
        <v>2026</v>
      </c>
      <c r="B7578">
        <v>18</v>
      </c>
      <c r="C7578" t="s">
        <v>54</v>
      </c>
      <c r="D7578" t="s">
        <v>11</v>
      </c>
      <c r="E7578" t="s">
        <v>65</v>
      </c>
      <c r="F7578" t="s">
        <v>68</v>
      </c>
      <c r="G7578" t="str">
        <f t="shared" si="312"/>
        <v>003JOCKER</v>
      </c>
      <c r="H7578" s="5">
        <v>1600</v>
      </c>
      <c r="I7578" s="6">
        <v>528.37931032368999</v>
      </c>
      <c r="J7578" s="5">
        <v>4000</v>
      </c>
      <c r="K7578" s="6">
        <f t="shared" si="310"/>
        <v>3.0281276513643682</v>
      </c>
    </row>
    <row r="7579" spans="1:11" hidden="1">
      <c r="A7579" s="4">
        <v>2026</v>
      </c>
      <c r="B7579">
        <v>18</v>
      </c>
      <c r="C7579" t="s">
        <v>54</v>
      </c>
      <c r="D7579" t="s">
        <v>11</v>
      </c>
      <c r="E7579" t="s">
        <v>65</v>
      </c>
      <c r="F7579" t="s">
        <v>69</v>
      </c>
      <c r="G7579" t="str">
        <f t="shared" si="312"/>
        <v>003QUICKSAND</v>
      </c>
      <c r="H7579" s="5">
        <v>2790</v>
      </c>
      <c r="I7579" s="6">
        <v>1162.4344827121247</v>
      </c>
      <c r="J7579" s="5">
        <v>8800</v>
      </c>
      <c r="K7579" s="6">
        <f t="shared" si="310"/>
        <v>2.4001352691211757</v>
      </c>
    </row>
    <row r="7580" spans="1:11" hidden="1">
      <c r="A7580" s="4">
        <v>2026</v>
      </c>
      <c r="B7580">
        <v>18</v>
      </c>
      <c r="C7580" t="s">
        <v>54</v>
      </c>
      <c r="D7580" t="s">
        <v>11</v>
      </c>
      <c r="E7580" t="s">
        <v>14</v>
      </c>
      <c r="F7580" t="s">
        <v>70</v>
      </c>
      <c r="G7580" t="str">
        <f t="shared" si="312"/>
        <v>004COTOPAXI</v>
      </c>
      <c r="H7580" s="5">
        <v>1170</v>
      </c>
      <c r="I7580" s="6">
        <v>528.3915024419166</v>
      </c>
      <c r="J7580" s="5">
        <v>4000</v>
      </c>
      <c r="K7580" s="6">
        <f t="shared" si="310"/>
        <v>2.2142672518254818</v>
      </c>
    </row>
    <row r="7581" spans="1:11" hidden="1">
      <c r="A7581" s="4">
        <v>2026</v>
      </c>
      <c r="B7581">
        <v>18</v>
      </c>
      <c r="C7581" t="s">
        <v>54</v>
      </c>
      <c r="D7581" t="s">
        <v>11</v>
      </c>
      <c r="E7581" t="s">
        <v>14</v>
      </c>
      <c r="F7581" t="s">
        <v>67</v>
      </c>
      <c r="G7581" t="str">
        <f t="shared" si="312"/>
        <v>004DEEP PURPLE</v>
      </c>
      <c r="H7581" s="5">
        <v>12210</v>
      </c>
      <c r="I7581" s="6">
        <v>3910.1071427007282</v>
      </c>
      <c r="J7581" s="5">
        <v>29260</v>
      </c>
      <c r="K7581" s="6">
        <f t="shared" si="310"/>
        <v>3.122676580050566</v>
      </c>
    </row>
    <row r="7582" spans="1:11" hidden="1">
      <c r="A7582" s="4">
        <v>2026</v>
      </c>
      <c r="B7582">
        <v>18</v>
      </c>
      <c r="C7582" t="s">
        <v>54</v>
      </c>
      <c r="D7582" t="s">
        <v>11</v>
      </c>
      <c r="E7582" t="s">
        <v>14</v>
      </c>
      <c r="F7582" t="s">
        <v>71</v>
      </c>
      <c r="G7582" t="str">
        <f t="shared" si="312"/>
        <v>004HOT EXPLORER</v>
      </c>
      <c r="H7582" s="5">
        <v>3200</v>
      </c>
      <c r="I7582" s="6">
        <v>1902.2142856381945</v>
      </c>
      <c r="J7582" s="5">
        <v>14400</v>
      </c>
      <c r="K7582" s="6">
        <f t="shared" si="310"/>
        <v>1.6822500094548483</v>
      </c>
    </row>
    <row r="7583" spans="1:11" hidden="1">
      <c r="A7583" s="4">
        <v>2026</v>
      </c>
      <c r="B7583">
        <v>18</v>
      </c>
      <c r="C7583" t="s">
        <v>54</v>
      </c>
      <c r="D7583" t="s">
        <v>11</v>
      </c>
      <c r="E7583" t="s">
        <v>14</v>
      </c>
      <c r="F7583" t="s">
        <v>72</v>
      </c>
      <c r="G7583" t="str">
        <f t="shared" si="312"/>
        <v>004HOT MERENGUE</v>
      </c>
      <c r="H7583" s="5">
        <v>2970</v>
      </c>
      <c r="I7583" s="6">
        <v>1162.4642856677858</v>
      </c>
      <c r="J7583" s="5">
        <v>8800</v>
      </c>
      <c r="K7583" s="6">
        <f t="shared" si="310"/>
        <v>2.5549172018595501</v>
      </c>
    </row>
    <row r="7584" spans="1:11" hidden="1">
      <c r="A7584" s="4">
        <v>2026</v>
      </c>
      <c r="B7584">
        <v>18</v>
      </c>
      <c r="C7584" t="s">
        <v>54</v>
      </c>
      <c r="D7584" t="s">
        <v>11</v>
      </c>
      <c r="E7584" t="s">
        <v>14</v>
      </c>
      <c r="F7584" t="s">
        <v>64</v>
      </c>
      <c r="G7584" t="str">
        <f t="shared" si="312"/>
        <v>004SWEETNESS</v>
      </c>
      <c r="H7584" s="5">
        <v>870</v>
      </c>
      <c r="I7584" s="6">
        <v>317.03571427303262</v>
      </c>
      <c r="J7584" s="5">
        <v>2400</v>
      </c>
      <c r="K7584" s="6">
        <f t="shared" si="310"/>
        <v>2.7441703279232192</v>
      </c>
    </row>
    <row r="7585" spans="1:11" hidden="1">
      <c r="A7585" s="4">
        <v>2026</v>
      </c>
      <c r="B7585">
        <v>18</v>
      </c>
      <c r="C7585" t="s">
        <v>54</v>
      </c>
      <c r="D7585" t="s">
        <v>11</v>
      </c>
      <c r="E7585" t="s">
        <v>16</v>
      </c>
      <c r="F7585" t="s">
        <v>57</v>
      </c>
      <c r="G7585" t="str">
        <f t="shared" si="312"/>
        <v>005EXPLORER</v>
      </c>
      <c r="H7585" s="5">
        <v>2325</v>
      </c>
      <c r="I7585" s="6">
        <v>951.10714281875391</v>
      </c>
      <c r="J7585" s="5">
        <v>7200</v>
      </c>
      <c r="K7585" s="6">
        <f t="shared" si="310"/>
        <v>2.4445195449899586</v>
      </c>
    </row>
    <row r="7586" spans="1:11" hidden="1">
      <c r="A7586" s="4">
        <v>2026</v>
      </c>
      <c r="B7586">
        <v>18</v>
      </c>
      <c r="C7586" t="s">
        <v>54</v>
      </c>
      <c r="D7586" t="s">
        <v>11</v>
      </c>
      <c r="E7586" t="s">
        <v>16</v>
      </c>
      <c r="F7586" t="s">
        <v>73</v>
      </c>
      <c r="G7586" t="str">
        <f t="shared" si="312"/>
        <v>005GOLDFINCH</v>
      </c>
      <c r="H7586" s="5">
        <v>1450</v>
      </c>
      <c r="I7586" s="6">
        <v>898.26785710660101</v>
      </c>
      <c r="J7586" s="5">
        <v>6800</v>
      </c>
      <c r="K7586" s="6">
        <f t="shared" si="310"/>
        <v>1.6142178399554186</v>
      </c>
    </row>
    <row r="7587" spans="1:11" hidden="1">
      <c r="A7587" s="4">
        <v>2026</v>
      </c>
      <c r="B7587">
        <v>18</v>
      </c>
      <c r="C7587" t="s">
        <v>54</v>
      </c>
      <c r="D7587" t="s">
        <v>11</v>
      </c>
      <c r="E7587" t="s">
        <v>16</v>
      </c>
      <c r="F7587" t="s">
        <v>68</v>
      </c>
      <c r="G7587" t="str">
        <f t="shared" si="312"/>
        <v>005JOCKER</v>
      </c>
      <c r="H7587" s="5">
        <v>2800</v>
      </c>
      <c r="I7587" s="6">
        <v>1162.4642856673661</v>
      </c>
      <c r="J7587" s="5">
        <v>8800</v>
      </c>
      <c r="K7587" s="6">
        <f t="shared" si="310"/>
        <v>2.4086761499021292</v>
      </c>
    </row>
    <row r="7588" spans="1:11" hidden="1">
      <c r="A7588" s="4">
        <v>2026</v>
      </c>
      <c r="B7588">
        <v>18</v>
      </c>
      <c r="C7588" t="s">
        <v>54</v>
      </c>
      <c r="D7588" t="s">
        <v>11</v>
      </c>
      <c r="E7588" t="s">
        <v>16</v>
      </c>
      <c r="F7588" t="s">
        <v>74</v>
      </c>
      <c r="G7588" t="str">
        <f t="shared" si="312"/>
        <v>005VENDELA</v>
      </c>
      <c r="H7588" s="5">
        <v>2280</v>
      </c>
      <c r="I7588" s="6">
        <v>686.91071425798896</v>
      </c>
      <c r="J7588" s="5">
        <v>5200</v>
      </c>
      <c r="K7588" s="6">
        <f t="shared" si="310"/>
        <v>3.3192086725024947</v>
      </c>
    </row>
    <row r="7589" spans="1:11" hidden="1">
      <c r="A7589" s="4">
        <v>2026</v>
      </c>
      <c r="B7589">
        <v>18</v>
      </c>
      <c r="C7589" t="s">
        <v>54</v>
      </c>
      <c r="D7589" t="s">
        <v>11</v>
      </c>
      <c r="E7589" t="s">
        <v>75</v>
      </c>
      <c r="F7589" t="s">
        <v>76</v>
      </c>
      <c r="G7589" t="str">
        <f t="shared" si="312"/>
        <v>006ATOMIC</v>
      </c>
      <c r="H7589" s="5">
        <v>1525</v>
      </c>
      <c r="I7589" s="6">
        <v>845.428571394752</v>
      </c>
      <c r="J7589" s="5">
        <v>6400</v>
      </c>
      <c r="K7589" s="6">
        <f t="shared" si="310"/>
        <v>1.803818857794361</v>
      </c>
    </row>
    <row r="7590" spans="1:11" hidden="1">
      <c r="A7590" s="4">
        <v>2026</v>
      </c>
      <c r="B7590">
        <v>18</v>
      </c>
      <c r="C7590" t="s">
        <v>54</v>
      </c>
      <c r="D7590" t="s">
        <v>11</v>
      </c>
      <c r="E7590" t="s">
        <v>75</v>
      </c>
      <c r="F7590" t="s">
        <v>57</v>
      </c>
      <c r="G7590" t="str">
        <f t="shared" si="312"/>
        <v>006EXPLORER</v>
      </c>
      <c r="H7590" s="5">
        <v>10200</v>
      </c>
      <c r="I7590" s="6">
        <v>3910.1071427007355</v>
      </c>
      <c r="J7590" s="5">
        <v>29600</v>
      </c>
      <c r="K7590" s="6">
        <f t="shared" si="310"/>
        <v>2.6086241700668071</v>
      </c>
    </row>
    <row r="7591" spans="1:11" hidden="1">
      <c r="A7591" s="4">
        <v>2026</v>
      </c>
      <c r="B7591">
        <v>18</v>
      </c>
      <c r="C7591" t="s">
        <v>54</v>
      </c>
      <c r="D7591" t="s">
        <v>11</v>
      </c>
      <c r="E7591" t="s">
        <v>75</v>
      </c>
      <c r="F7591" t="s">
        <v>77</v>
      </c>
      <c r="G7591" t="str">
        <f t="shared" si="312"/>
        <v>006MONDIAL</v>
      </c>
      <c r="H7591" s="5">
        <v>13550</v>
      </c>
      <c r="I7591" s="6">
        <v>4015.7857141250793</v>
      </c>
      <c r="J7591" s="5">
        <v>30400</v>
      </c>
      <c r="K7591" s="6">
        <f t="shared" si="310"/>
        <v>3.3741840238983327</v>
      </c>
    </row>
    <row r="7592" spans="1:11" hidden="1">
      <c r="A7592" s="4">
        <v>2026</v>
      </c>
      <c r="B7592">
        <v>18</v>
      </c>
      <c r="C7592" t="s">
        <v>54</v>
      </c>
      <c r="D7592" t="s">
        <v>11</v>
      </c>
      <c r="E7592" t="s">
        <v>20</v>
      </c>
      <c r="F7592" t="s">
        <v>70</v>
      </c>
      <c r="G7592" t="str">
        <f t="shared" si="312"/>
        <v>007COTOPAXI</v>
      </c>
      <c r="H7592" s="5">
        <v>8820</v>
      </c>
      <c r="I7592" s="6">
        <v>2747.5751230427709</v>
      </c>
      <c r="J7592" s="5">
        <v>20800</v>
      </c>
      <c r="K7592" s="6">
        <f t="shared" si="310"/>
        <v>3.2101033111088846</v>
      </c>
    </row>
    <row r="7593" spans="1:11" hidden="1">
      <c r="A7593" s="4">
        <v>2026</v>
      </c>
      <c r="B7593">
        <v>18</v>
      </c>
      <c r="C7593" t="s">
        <v>54</v>
      </c>
      <c r="D7593" t="s">
        <v>11</v>
      </c>
      <c r="E7593" t="s">
        <v>20</v>
      </c>
      <c r="F7593" t="s">
        <v>78</v>
      </c>
      <c r="G7593" t="str">
        <f t="shared" si="312"/>
        <v>007REDIANT</v>
      </c>
      <c r="H7593" s="5">
        <v>2100</v>
      </c>
      <c r="I7593" s="6">
        <v>1056.75862064738</v>
      </c>
      <c r="J7593" s="5">
        <v>9600</v>
      </c>
      <c r="K7593" s="6">
        <f t="shared" si="310"/>
        <v>1.9872087712078665</v>
      </c>
    </row>
    <row r="7594" spans="1:11" hidden="1">
      <c r="A7594" s="4">
        <v>2026</v>
      </c>
      <c r="B7594">
        <v>18</v>
      </c>
      <c r="C7594" t="s">
        <v>54</v>
      </c>
      <c r="D7594" t="s">
        <v>11</v>
      </c>
      <c r="E7594" t="s">
        <v>20</v>
      </c>
      <c r="F7594" t="s">
        <v>63</v>
      </c>
      <c r="G7594" t="str">
        <f t="shared" si="312"/>
        <v>007SUMMER ROMANCE</v>
      </c>
      <c r="H7594" s="5">
        <v>1100</v>
      </c>
      <c r="I7594" s="6">
        <v>369.86551722658481</v>
      </c>
      <c r="J7594" s="5">
        <v>3080</v>
      </c>
      <c r="K7594" s="6">
        <f t="shared" si="310"/>
        <v>2.9740539433042756</v>
      </c>
    </row>
    <row r="7595" spans="1:11" hidden="1">
      <c r="A7595" s="4">
        <v>2026</v>
      </c>
      <c r="B7595">
        <v>18</v>
      </c>
      <c r="C7595" t="s">
        <v>54</v>
      </c>
      <c r="D7595" t="s">
        <v>11</v>
      </c>
      <c r="E7595" t="s">
        <v>20</v>
      </c>
      <c r="F7595" t="s">
        <v>74</v>
      </c>
      <c r="G7595" t="str">
        <f t="shared" si="312"/>
        <v>007VENDELA</v>
      </c>
      <c r="H7595" s="5">
        <v>13620</v>
      </c>
      <c r="I7595" s="6">
        <v>3592.9793102011122</v>
      </c>
      <c r="J7595" s="5">
        <v>27820</v>
      </c>
      <c r="K7595" s="6">
        <f t="shared" si="310"/>
        <v>3.7907259753292704</v>
      </c>
    </row>
    <row r="7596" spans="1:11" hidden="1">
      <c r="A7596" s="4">
        <v>2026</v>
      </c>
      <c r="B7596">
        <v>18</v>
      </c>
      <c r="C7596" t="s">
        <v>54</v>
      </c>
      <c r="D7596" t="s">
        <v>11</v>
      </c>
      <c r="E7596" t="s">
        <v>79</v>
      </c>
      <c r="F7596" t="s">
        <v>67</v>
      </c>
      <c r="G7596" t="str">
        <f t="shared" si="312"/>
        <v>008DEEP PURPLE</v>
      </c>
      <c r="H7596" s="5">
        <v>6630</v>
      </c>
      <c r="I7596" s="6">
        <v>1585.2222221588099</v>
      </c>
      <c r="J7596" s="5">
        <v>11490</v>
      </c>
      <c r="K7596" s="6">
        <f t="shared" si="310"/>
        <v>4.1823789165477629</v>
      </c>
    </row>
    <row r="7597" spans="1:11" hidden="1">
      <c r="A7597" s="4">
        <v>2026</v>
      </c>
      <c r="B7597">
        <v>18</v>
      </c>
      <c r="C7597" t="s">
        <v>54</v>
      </c>
      <c r="D7597" t="s">
        <v>11</v>
      </c>
      <c r="E7597" t="s">
        <v>79</v>
      </c>
      <c r="F7597" t="s">
        <v>81</v>
      </c>
      <c r="G7597" t="str">
        <f t="shared" si="312"/>
        <v>008FREEDOM</v>
      </c>
      <c r="H7597" s="5">
        <v>4440</v>
      </c>
      <c r="I7597" s="6">
        <v>2219.311111022334</v>
      </c>
      <c r="J7597" s="5">
        <v>16800</v>
      </c>
      <c r="K7597" s="6">
        <f t="shared" si="310"/>
        <v>2.0006208133454066</v>
      </c>
    </row>
    <row r="7598" spans="1:11" hidden="1">
      <c r="A7598" s="4">
        <v>2026</v>
      </c>
      <c r="B7598">
        <v>18</v>
      </c>
      <c r="C7598" t="s">
        <v>54</v>
      </c>
      <c r="D7598" t="s">
        <v>11</v>
      </c>
      <c r="E7598" t="s">
        <v>79</v>
      </c>
      <c r="F7598" t="s">
        <v>68</v>
      </c>
      <c r="G7598" t="str">
        <f t="shared" si="312"/>
        <v>008JOCKER</v>
      </c>
      <c r="H7598" s="5">
        <v>7825</v>
      </c>
      <c r="I7598" s="6">
        <v>2959.0814813631118</v>
      </c>
      <c r="J7598" s="5">
        <v>22400</v>
      </c>
      <c r="K7598" s="6">
        <f t="shared" si="310"/>
        <v>2.6444016662884811</v>
      </c>
    </row>
    <row r="7599" spans="1:11" hidden="1">
      <c r="A7599" s="4">
        <v>2026</v>
      </c>
      <c r="B7599">
        <v>18</v>
      </c>
      <c r="C7599" t="s">
        <v>54</v>
      </c>
      <c r="D7599" t="s">
        <v>11</v>
      </c>
      <c r="E7599" t="s">
        <v>79</v>
      </c>
      <c r="F7599" t="s">
        <v>61</v>
      </c>
      <c r="G7599" t="str">
        <f t="shared" si="312"/>
        <v>008LUMIA</v>
      </c>
      <c r="H7599" s="5">
        <v>2100</v>
      </c>
      <c r="I7599" s="6">
        <v>1796.5851851133182</v>
      </c>
      <c r="J7599" s="5">
        <v>13600</v>
      </c>
      <c r="K7599" s="6">
        <f t="shared" si="310"/>
        <v>1.1688841794983098</v>
      </c>
    </row>
    <row r="7600" spans="1:11" hidden="1">
      <c r="A7600" s="4">
        <v>2026</v>
      </c>
      <c r="B7600">
        <v>18</v>
      </c>
      <c r="C7600" t="s">
        <v>54</v>
      </c>
      <c r="D7600" t="s">
        <v>11</v>
      </c>
      <c r="E7600" t="s">
        <v>82</v>
      </c>
      <c r="F7600" t="s">
        <v>83</v>
      </c>
      <c r="G7600" t="str">
        <f t="shared" si="312"/>
        <v>010COOLDOWN</v>
      </c>
      <c r="H7600" s="5">
        <v>4000</v>
      </c>
      <c r="I7600" s="6">
        <v>1912.3542857142861</v>
      </c>
      <c r="J7600" s="5">
        <v>16320</v>
      </c>
      <c r="K7600" s="6">
        <f t="shared" si="310"/>
        <v>2.0916626327458747</v>
      </c>
    </row>
    <row r="7601" spans="1:11" hidden="1">
      <c r="A7601" s="4">
        <v>2026</v>
      </c>
      <c r="B7601">
        <v>18</v>
      </c>
      <c r="C7601" t="s">
        <v>54</v>
      </c>
      <c r="D7601" t="s">
        <v>11</v>
      </c>
      <c r="E7601" t="s">
        <v>82</v>
      </c>
      <c r="F7601" t="s">
        <v>84</v>
      </c>
      <c r="G7601" t="str">
        <f t="shared" si="312"/>
        <v>010VIOLET HILL</v>
      </c>
      <c r="H7601" s="5">
        <v>5670</v>
      </c>
      <c r="I7601" s="6">
        <v>2812.2857142428579</v>
      </c>
      <c r="J7601" s="5">
        <v>20000</v>
      </c>
      <c r="K7601" s="6">
        <f t="shared" si="310"/>
        <v>2.0161536117344729</v>
      </c>
    </row>
    <row r="7602" spans="1:11" hidden="1">
      <c r="A7602" s="4">
        <v>2026</v>
      </c>
      <c r="B7602">
        <v>18</v>
      </c>
      <c r="C7602" t="s">
        <v>54</v>
      </c>
      <c r="D7602" t="s">
        <v>11</v>
      </c>
      <c r="E7602" t="s">
        <v>85</v>
      </c>
      <c r="F7602" t="s">
        <v>86</v>
      </c>
      <c r="G7602" t="str">
        <f t="shared" si="312"/>
        <v>011BRIGHTON</v>
      </c>
      <c r="H7602" s="5">
        <v>5200</v>
      </c>
      <c r="I7602" s="6">
        <v>1768.8376470588223</v>
      </c>
      <c r="J7602" s="5">
        <v>12800</v>
      </c>
      <c r="K7602" s="6">
        <f t="shared" si="310"/>
        <v>2.9397836532066277</v>
      </c>
    </row>
    <row r="7603" spans="1:11" hidden="1">
      <c r="A7603" s="4">
        <v>2026</v>
      </c>
      <c r="B7603">
        <v>18</v>
      </c>
      <c r="C7603" t="s">
        <v>54</v>
      </c>
      <c r="D7603" t="s">
        <v>11</v>
      </c>
      <c r="E7603" t="s">
        <v>85</v>
      </c>
      <c r="F7603" t="s">
        <v>87</v>
      </c>
      <c r="G7603" t="str">
        <f t="shared" si="312"/>
        <v>011CANDLELIGHT</v>
      </c>
      <c r="H7603" s="5">
        <v>4320</v>
      </c>
      <c r="I7603" s="6">
        <v>2263.7999998868127</v>
      </c>
      <c r="J7603" s="5">
        <v>17920</v>
      </c>
      <c r="K7603" s="6">
        <f t="shared" si="310"/>
        <v>1.9082957859422187</v>
      </c>
    </row>
    <row r="7604" spans="1:11" hidden="1">
      <c r="A7604" s="4">
        <v>2026</v>
      </c>
      <c r="B7604">
        <v>18</v>
      </c>
      <c r="C7604" t="s">
        <v>54</v>
      </c>
      <c r="D7604" t="s">
        <v>11</v>
      </c>
      <c r="E7604" t="s">
        <v>85</v>
      </c>
      <c r="F7604" t="s">
        <v>88</v>
      </c>
      <c r="G7604" t="str">
        <f t="shared" si="312"/>
        <v>011CAYENNE</v>
      </c>
      <c r="H7604" s="5">
        <v>1320</v>
      </c>
      <c r="I7604" s="6">
        <v>994.97117647058747</v>
      </c>
      <c r="J7604" s="5">
        <v>7200</v>
      </c>
      <c r="K7604" s="6">
        <f t="shared" si="310"/>
        <v>1.3266715973445296</v>
      </c>
    </row>
    <row r="7605" spans="1:11" hidden="1">
      <c r="A7605" s="4">
        <v>2026</v>
      </c>
      <c r="B7605">
        <v>18</v>
      </c>
      <c r="C7605" t="s">
        <v>54</v>
      </c>
      <c r="D7605" t="s">
        <v>11</v>
      </c>
      <c r="E7605" t="s">
        <v>85</v>
      </c>
      <c r="F7605" t="s">
        <v>61</v>
      </c>
      <c r="G7605" t="str">
        <f t="shared" si="312"/>
        <v>011LUMIA</v>
      </c>
      <c r="H7605" s="5">
        <v>2190</v>
      </c>
      <c r="I7605" s="6">
        <v>994.97117647058747</v>
      </c>
      <c r="J7605" s="5">
        <v>7920</v>
      </c>
      <c r="K7605" s="6">
        <f t="shared" si="310"/>
        <v>2.201068786503424</v>
      </c>
    </row>
    <row r="7606" spans="1:11" hidden="1">
      <c r="A7606" s="4">
        <v>2026</v>
      </c>
      <c r="B7606">
        <v>18</v>
      </c>
      <c r="C7606" t="s">
        <v>54</v>
      </c>
      <c r="D7606" t="s">
        <v>11</v>
      </c>
      <c r="E7606" t="s">
        <v>85</v>
      </c>
      <c r="F7606" t="s">
        <v>89</v>
      </c>
      <c r="G7606" t="str">
        <f t="shared" si="312"/>
        <v>011STARDUST</v>
      </c>
      <c r="H7606" s="5">
        <v>4650</v>
      </c>
      <c r="I7606" s="6">
        <v>2263.7999998868127</v>
      </c>
      <c r="J7606" s="5">
        <v>17920</v>
      </c>
      <c r="K7606" s="6">
        <f t="shared" si="310"/>
        <v>2.0540683807016937</v>
      </c>
    </row>
    <row r="7607" spans="1:11" hidden="1">
      <c r="A7607" s="4">
        <v>2026</v>
      </c>
      <c r="B7607">
        <v>18</v>
      </c>
      <c r="C7607" t="s">
        <v>54</v>
      </c>
      <c r="D7607" t="s">
        <v>11</v>
      </c>
      <c r="E7607" t="s">
        <v>90</v>
      </c>
      <c r="F7607" t="s">
        <v>67</v>
      </c>
      <c r="G7607" t="str">
        <f t="shared" si="312"/>
        <v>012DEEP PURPLE</v>
      </c>
      <c r="H7607" s="5">
        <v>23640</v>
      </c>
      <c r="I7607" s="6">
        <v>6727.0499997982479</v>
      </c>
      <c r="J7607" s="5">
        <v>49210</v>
      </c>
      <c r="K7607" s="6">
        <f t="shared" si="310"/>
        <v>3.5141704016930144</v>
      </c>
    </row>
    <row r="7608" spans="1:11" hidden="1">
      <c r="A7608" s="4">
        <v>2026</v>
      </c>
      <c r="B7608">
        <v>18</v>
      </c>
      <c r="C7608" t="s">
        <v>54</v>
      </c>
      <c r="D7608" t="s">
        <v>11</v>
      </c>
      <c r="E7608" t="s">
        <v>90</v>
      </c>
      <c r="F7608" t="s">
        <v>60</v>
      </c>
      <c r="G7608" t="str">
        <f t="shared" si="312"/>
        <v>012LIGHT HOUSE</v>
      </c>
      <c r="H7608" s="5">
        <v>2280</v>
      </c>
      <c r="I7608" s="6">
        <v>994.95</v>
      </c>
      <c r="J7608" s="5">
        <v>7200</v>
      </c>
      <c r="K7608" s="6">
        <f t="shared" ref="K7608:K7671" si="313">+H7608/I7608</f>
        <v>2.291572440826172</v>
      </c>
    </row>
    <row r="7609" spans="1:11" hidden="1">
      <c r="A7609" s="4">
        <v>2026</v>
      </c>
      <c r="B7609">
        <v>18</v>
      </c>
      <c r="C7609" t="s">
        <v>54</v>
      </c>
      <c r="D7609" t="s">
        <v>11</v>
      </c>
      <c r="E7609" t="s">
        <v>91</v>
      </c>
      <c r="F7609" t="s">
        <v>92</v>
      </c>
      <c r="G7609" t="str">
        <f t="shared" si="312"/>
        <v>013COUNTRY BLUES</v>
      </c>
      <c r="H7609" s="5">
        <v>740</v>
      </c>
      <c r="I7609" s="6">
        <v>831.6</v>
      </c>
      <c r="J7609" s="5">
        <v>6300</v>
      </c>
      <c r="K7609" s="6">
        <f t="shared" si="313"/>
        <v>0.88985088985088978</v>
      </c>
    </row>
    <row r="7610" spans="1:11" hidden="1">
      <c r="A7610" s="4">
        <v>2026</v>
      </c>
      <c r="B7610">
        <v>18</v>
      </c>
      <c r="C7610" t="s">
        <v>54</v>
      </c>
      <c r="D7610" t="s">
        <v>11</v>
      </c>
      <c r="E7610" t="s">
        <v>91</v>
      </c>
      <c r="F7610" t="s">
        <v>93</v>
      </c>
      <c r="G7610" t="str">
        <f t="shared" si="312"/>
        <v>013LORRAINE</v>
      </c>
      <c r="H7610" s="5">
        <v>3600</v>
      </c>
      <c r="I7610" s="6">
        <v>1267.2</v>
      </c>
      <c r="J7610" s="5">
        <v>9600</v>
      </c>
      <c r="K7610" s="6">
        <f t="shared" si="313"/>
        <v>2.8409090909090908</v>
      </c>
    </row>
    <row r="7611" spans="1:11" hidden="1">
      <c r="A7611" s="4">
        <v>2026</v>
      </c>
      <c r="B7611">
        <v>18</v>
      </c>
      <c r="C7611" t="s">
        <v>54</v>
      </c>
      <c r="D7611" t="s">
        <v>11</v>
      </c>
      <c r="E7611" t="s">
        <v>91</v>
      </c>
      <c r="F7611" t="s">
        <v>61</v>
      </c>
      <c r="G7611" t="str">
        <f t="shared" si="312"/>
        <v>013LUMIA</v>
      </c>
      <c r="H7611" s="5">
        <v>660</v>
      </c>
      <c r="I7611" s="6">
        <v>316.8</v>
      </c>
      <c r="J7611" s="5">
        <v>2400</v>
      </c>
      <c r="K7611" s="6">
        <f t="shared" si="313"/>
        <v>2.083333333333333</v>
      </c>
    </row>
    <row r="7612" spans="1:11" hidden="1">
      <c r="A7612" s="4">
        <v>2026</v>
      </c>
      <c r="B7612">
        <v>18</v>
      </c>
      <c r="C7612" t="s">
        <v>54</v>
      </c>
      <c r="D7612" t="s">
        <v>11</v>
      </c>
      <c r="E7612" t="s">
        <v>91</v>
      </c>
      <c r="F7612" t="s">
        <v>74</v>
      </c>
      <c r="G7612" t="str">
        <f t="shared" si="312"/>
        <v>013VENDELA</v>
      </c>
      <c r="H7612" s="5">
        <v>9330</v>
      </c>
      <c r="I7612" s="6">
        <v>3603.6</v>
      </c>
      <c r="J7612" s="5">
        <v>27296</v>
      </c>
      <c r="K7612" s="6">
        <f t="shared" si="313"/>
        <v>2.589077589077589</v>
      </c>
    </row>
    <row r="7613" spans="1:11" hidden="1">
      <c r="A7613" s="4">
        <v>2026</v>
      </c>
      <c r="B7613">
        <v>18</v>
      </c>
      <c r="C7613" t="s">
        <v>54</v>
      </c>
      <c r="D7613" t="s">
        <v>11</v>
      </c>
      <c r="E7613" t="s">
        <v>23</v>
      </c>
      <c r="F7613" t="s">
        <v>89</v>
      </c>
      <c r="G7613" t="str">
        <f t="shared" si="312"/>
        <v>014STARDUST</v>
      </c>
      <c r="H7613" s="5">
        <v>7000</v>
      </c>
      <c r="I7613" s="6">
        <v>3682.8</v>
      </c>
      <c r="J7613" s="5">
        <v>27900</v>
      </c>
      <c r="K7613" s="6">
        <f t="shared" si="313"/>
        <v>1.90072770717932</v>
      </c>
    </row>
    <row r="7614" spans="1:11" hidden="1">
      <c r="A7614" s="4">
        <v>2026</v>
      </c>
      <c r="B7614">
        <v>18</v>
      </c>
      <c r="C7614" t="s">
        <v>54</v>
      </c>
      <c r="D7614" t="s">
        <v>11</v>
      </c>
      <c r="E7614" t="s">
        <v>25</v>
      </c>
      <c r="F7614" t="s">
        <v>68</v>
      </c>
      <c r="G7614" t="str">
        <f t="shared" si="312"/>
        <v>015JOCKER</v>
      </c>
      <c r="H7614" s="5">
        <v>5800</v>
      </c>
      <c r="I7614" s="6">
        <v>2376</v>
      </c>
      <c r="J7614" s="5">
        <v>18000</v>
      </c>
      <c r="K7614" s="6">
        <f t="shared" si="313"/>
        <v>2.4410774410774412</v>
      </c>
    </row>
    <row r="7615" spans="1:11" hidden="1">
      <c r="A7615" s="4">
        <v>2026</v>
      </c>
      <c r="B7615">
        <v>18</v>
      </c>
      <c r="C7615" t="s">
        <v>54</v>
      </c>
      <c r="D7615" t="s">
        <v>11</v>
      </c>
      <c r="E7615" t="s">
        <v>27</v>
      </c>
      <c r="F7615" t="s">
        <v>94</v>
      </c>
      <c r="G7615" t="str">
        <f t="shared" si="312"/>
        <v>016DREAM IN PEACH</v>
      </c>
      <c r="H7615" s="5">
        <v>2280</v>
      </c>
      <c r="I7615" s="6">
        <v>950.4</v>
      </c>
      <c r="J7615" s="5">
        <v>7200</v>
      </c>
      <c r="K7615" s="6">
        <f t="shared" si="313"/>
        <v>2.3989898989898992</v>
      </c>
    </row>
    <row r="7616" spans="1:11" hidden="1">
      <c r="A7616" s="4">
        <v>2026</v>
      </c>
      <c r="B7616">
        <v>18</v>
      </c>
      <c r="C7616" t="s">
        <v>54</v>
      </c>
      <c r="D7616" t="s">
        <v>11</v>
      </c>
      <c r="E7616" t="s">
        <v>27</v>
      </c>
      <c r="F7616" t="s">
        <v>95</v>
      </c>
      <c r="G7616" t="str">
        <f t="shared" si="312"/>
        <v>016NINA</v>
      </c>
      <c r="H7616" s="5">
        <v>3300</v>
      </c>
      <c r="I7616" s="6">
        <v>1346.4</v>
      </c>
      <c r="J7616" s="5">
        <v>10200</v>
      </c>
      <c r="K7616" s="6">
        <f t="shared" si="313"/>
        <v>2.4509803921568625</v>
      </c>
    </row>
    <row r="7617" spans="1:11" hidden="1">
      <c r="A7617" s="4">
        <v>2026</v>
      </c>
      <c r="B7617">
        <v>18</v>
      </c>
      <c r="C7617" t="s">
        <v>54</v>
      </c>
      <c r="D7617" t="s">
        <v>11</v>
      </c>
      <c r="E7617" t="s">
        <v>30</v>
      </c>
      <c r="F7617" t="s">
        <v>81</v>
      </c>
      <c r="G7617" t="str">
        <f t="shared" si="312"/>
        <v>017FREEDOM</v>
      </c>
      <c r="H7617" s="5">
        <v>7320</v>
      </c>
      <c r="I7617" s="6">
        <v>2851.2</v>
      </c>
      <c r="J7617" s="5">
        <v>21600</v>
      </c>
      <c r="K7617" s="6">
        <f t="shared" si="313"/>
        <v>2.5673400673400675</v>
      </c>
    </row>
    <row r="7618" spans="1:11" hidden="1">
      <c r="A7618" s="4">
        <v>2026</v>
      </c>
      <c r="B7618">
        <v>18</v>
      </c>
      <c r="C7618" t="s">
        <v>54</v>
      </c>
      <c r="D7618" t="s">
        <v>11</v>
      </c>
      <c r="E7618" t="s">
        <v>30</v>
      </c>
      <c r="F7618" t="s">
        <v>73</v>
      </c>
      <c r="G7618" t="str">
        <f t="shared" si="312"/>
        <v>017GOLDFINCH</v>
      </c>
      <c r="H7618" s="5">
        <v>4750</v>
      </c>
      <c r="I7618" s="6">
        <v>2138.4</v>
      </c>
      <c r="J7618" s="5">
        <v>16200</v>
      </c>
      <c r="K7618" s="6">
        <f t="shared" si="313"/>
        <v>2.2212869435091656</v>
      </c>
    </row>
    <row r="7619" spans="1:11" hidden="1">
      <c r="A7619" s="4">
        <v>2026</v>
      </c>
      <c r="B7619">
        <v>18</v>
      </c>
      <c r="C7619" t="s">
        <v>54</v>
      </c>
      <c r="D7619" t="s">
        <v>11</v>
      </c>
      <c r="E7619" t="s">
        <v>32</v>
      </c>
      <c r="F7619" t="s">
        <v>86</v>
      </c>
      <c r="G7619" t="str">
        <f t="shared" si="312"/>
        <v>018BRIGHTON</v>
      </c>
      <c r="H7619" s="5">
        <v>3175</v>
      </c>
      <c r="I7619" s="6">
        <v>963.6</v>
      </c>
      <c r="J7619" s="5">
        <v>7570</v>
      </c>
      <c r="K7619" s="6">
        <f t="shared" si="313"/>
        <v>3.2949356579493565</v>
      </c>
    </row>
    <row r="7620" spans="1:11" hidden="1">
      <c r="A7620" s="4">
        <v>2026</v>
      </c>
      <c r="B7620">
        <v>18</v>
      </c>
      <c r="C7620" t="s">
        <v>54</v>
      </c>
      <c r="D7620" t="s">
        <v>11</v>
      </c>
      <c r="E7620" t="s">
        <v>35</v>
      </c>
      <c r="F7620" t="s">
        <v>86</v>
      </c>
      <c r="G7620" t="str">
        <f t="shared" si="312"/>
        <v>019BRIGHTON</v>
      </c>
      <c r="H7620" s="5">
        <v>8875</v>
      </c>
      <c r="I7620" s="6">
        <v>3168</v>
      </c>
      <c r="J7620" s="5">
        <v>24000</v>
      </c>
      <c r="K7620" s="6">
        <f t="shared" si="313"/>
        <v>2.8014520202020203</v>
      </c>
    </row>
    <row r="7621" spans="1:11" hidden="1">
      <c r="A7621" s="4">
        <v>2026</v>
      </c>
      <c r="B7621">
        <v>18</v>
      </c>
      <c r="C7621" t="s">
        <v>54</v>
      </c>
      <c r="D7621" t="s">
        <v>11</v>
      </c>
      <c r="E7621" t="s">
        <v>35</v>
      </c>
      <c r="F7621" t="s">
        <v>96</v>
      </c>
      <c r="G7621" t="str">
        <f t="shared" si="312"/>
        <v>019TABATHA</v>
      </c>
      <c r="H7621" s="5">
        <v>3930</v>
      </c>
      <c r="I7621" s="6">
        <v>1188</v>
      </c>
      <c r="J7621" s="5">
        <v>9000</v>
      </c>
      <c r="K7621" s="6">
        <f t="shared" si="313"/>
        <v>3.308080808080808</v>
      </c>
    </row>
    <row r="7622" spans="1:11" hidden="1">
      <c r="A7622" s="4">
        <v>2026</v>
      </c>
      <c r="B7622">
        <v>18</v>
      </c>
      <c r="C7622" t="s">
        <v>54</v>
      </c>
      <c r="D7622" t="s">
        <v>11</v>
      </c>
      <c r="E7622" t="s">
        <v>36</v>
      </c>
      <c r="F7622" t="s">
        <v>86</v>
      </c>
      <c r="G7622" t="str">
        <f t="shared" si="312"/>
        <v>020BRIGHTON</v>
      </c>
      <c r="H7622" s="5">
        <v>6875</v>
      </c>
      <c r="I7622" s="6">
        <v>2732.4</v>
      </c>
      <c r="J7622" s="5">
        <v>20700</v>
      </c>
      <c r="K7622" s="6">
        <f t="shared" si="313"/>
        <v>2.5161030595813205</v>
      </c>
    </row>
    <row r="7623" spans="1:11" hidden="1">
      <c r="A7623" s="4">
        <v>2026</v>
      </c>
      <c r="B7623">
        <v>18</v>
      </c>
      <c r="C7623" t="s">
        <v>54</v>
      </c>
      <c r="D7623" t="s">
        <v>11</v>
      </c>
      <c r="E7623" t="s">
        <v>36</v>
      </c>
      <c r="F7623" t="s">
        <v>97</v>
      </c>
      <c r="G7623" t="str">
        <f t="shared" si="312"/>
        <v>020TYCOON</v>
      </c>
      <c r="H7623" s="5">
        <v>1650</v>
      </c>
      <c r="I7623" s="6">
        <v>673.2</v>
      </c>
      <c r="J7623" s="5">
        <v>5100</v>
      </c>
      <c r="K7623" s="6">
        <f t="shared" si="313"/>
        <v>2.4509803921568625</v>
      </c>
    </row>
    <row r="7624" spans="1:11" hidden="1">
      <c r="A7624" s="4">
        <v>2026</v>
      </c>
      <c r="B7624">
        <v>18</v>
      </c>
      <c r="C7624" t="s">
        <v>54</v>
      </c>
      <c r="D7624" t="s">
        <v>11</v>
      </c>
      <c r="E7624" t="s">
        <v>38</v>
      </c>
      <c r="F7624" t="s">
        <v>98</v>
      </c>
      <c r="G7624" t="str">
        <f t="shared" si="312"/>
        <v>021SHOW GIRL</v>
      </c>
      <c r="H7624" s="5">
        <v>2300</v>
      </c>
      <c r="I7624" s="6">
        <v>1100.4749999999999</v>
      </c>
      <c r="J7624" s="5">
        <v>8000</v>
      </c>
      <c r="K7624" s="6">
        <f t="shared" si="313"/>
        <v>2.0900065880642451</v>
      </c>
    </row>
    <row r="7625" spans="1:11" hidden="1">
      <c r="A7625" s="4">
        <v>2026</v>
      </c>
      <c r="B7625">
        <v>18</v>
      </c>
      <c r="C7625" t="s">
        <v>54</v>
      </c>
      <c r="D7625" t="s">
        <v>11</v>
      </c>
      <c r="E7625" t="s">
        <v>43</v>
      </c>
      <c r="F7625" t="s">
        <v>99</v>
      </c>
      <c r="G7625" t="str">
        <f t="shared" si="312"/>
        <v>022CORAL REEF</v>
      </c>
      <c r="H7625" s="5">
        <v>4950</v>
      </c>
      <c r="I7625" s="6">
        <v>1287</v>
      </c>
      <c r="J7625" s="5">
        <v>9400</v>
      </c>
      <c r="K7625" s="6">
        <f t="shared" si="313"/>
        <v>3.8461538461538463</v>
      </c>
    </row>
    <row r="7626" spans="1:11" hidden="1">
      <c r="A7626" s="4">
        <v>2026</v>
      </c>
      <c r="B7626">
        <v>18</v>
      </c>
      <c r="C7626" t="s">
        <v>54</v>
      </c>
      <c r="D7626" t="s">
        <v>11</v>
      </c>
      <c r="E7626" t="s">
        <v>100</v>
      </c>
      <c r="F7626" t="s">
        <v>70</v>
      </c>
      <c r="G7626" t="str">
        <f t="shared" si="312"/>
        <v>023COTOPAXI</v>
      </c>
      <c r="H7626" s="5">
        <v>9450</v>
      </c>
      <c r="I7626" s="6">
        <v>2641.14</v>
      </c>
      <c r="J7626" s="5">
        <v>19200</v>
      </c>
      <c r="K7626" s="6">
        <f t="shared" si="313"/>
        <v>3.5780004089143325</v>
      </c>
    </row>
    <row r="7627" spans="1:11" hidden="1">
      <c r="A7627" s="4">
        <v>2026</v>
      </c>
      <c r="B7627">
        <v>18</v>
      </c>
      <c r="C7627" t="s">
        <v>54</v>
      </c>
      <c r="D7627" t="s">
        <v>11</v>
      </c>
      <c r="E7627" t="s">
        <v>100</v>
      </c>
      <c r="F7627" t="s">
        <v>101</v>
      </c>
      <c r="G7627" t="str">
        <f t="shared" si="312"/>
        <v>023FRUTTETO</v>
      </c>
      <c r="H7627" s="5">
        <v>11670</v>
      </c>
      <c r="I7627" s="6">
        <v>2641.14</v>
      </c>
      <c r="J7627" s="5">
        <v>19200</v>
      </c>
      <c r="K7627" s="6">
        <f t="shared" si="313"/>
        <v>4.4185465367227792</v>
      </c>
    </row>
    <row r="7628" spans="1:11" hidden="1">
      <c r="A7628" s="4">
        <v>2026</v>
      </c>
      <c r="B7628">
        <v>18</v>
      </c>
      <c r="C7628" t="s">
        <v>54</v>
      </c>
      <c r="D7628" t="s">
        <v>11</v>
      </c>
      <c r="E7628" t="s">
        <v>102</v>
      </c>
      <c r="F7628" t="s">
        <v>70</v>
      </c>
      <c r="G7628" t="str">
        <f t="shared" si="312"/>
        <v>024COTOPAXI</v>
      </c>
      <c r="H7628" s="5">
        <v>4920</v>
      </c>
      <c r="I7628" s="6">
        <v>1430.6174906250001</v>
      </c>
      <c r="J7628" s="5">
        <v>10400</v>
      </c>
      <c r="K7628" s="6">
        <f t="shared" si="313"/>
        <v>3.4390744082477127</v>
      </c>
    </row>
    <row r="7629" spans="1:11" hidden="1">
      <c r="A7629" s="4">
        <v>2026</v>
      </c>
      <c r="B7629">
        <v>18</v>
      </c>
      <c r="C7629" t="s">
        <v>54</v>
      </c>
      <c r="D7629" t="s">
        <v>11</v>
      </c>
      <c r="E7629" t="s">
        <v>102</v>
      </c>
      <c r="F7629" t="s">
        <v>64</v>
      </c>
      <c r="G7629" t="str">
        <f t="shared" si="312"/>
        <v>024SWEETNESS</v>
      </c>
      <c r="H7629" s="5">
        <v>2880</v>
      </c>
      <c r="I7629" s="6">
        <v>1430.6175000000001</v>
      </c>
      <c r="J7629" s="5">
        <v>10400</v>
      </c>
      <c r="K7629" s="6">
        <f t="shared" si="313"/>
        <v>2.0131167135869652</v>
      </c>
    </row>
    <row r="7630" spans="1:11" hidden="1">
      <c r="A7630" s="4">
        <v>2026</v>
      </c>
      <c r="B7630">
        <v>18</v>
      </c>
      <c r="C7630" t="s">
        <v>54</v>
      </c>
      <c r="D7630" t="s">
        <v>11</v>
      </c>
      <c r="E7630" t="s">
        <v>102</v>
      </c>
      <c r="F7630" t="s">
        <v>97</v>
      </c>
      <c r="G7630" t="str">
        <f t="shared" si="312"/>
        <v>024TYCOON</v>
      </c>
      <c r="H7630" s="5">
        <v>5610</v>
      </c>
      <c r="I7630" s="6">
        <v>2861.2350000000001</v>
      </c>
      <c r="J7630" s="5">
        <v>20800</v>
      </c>
      <c r="K7630" s="6">
        <f t="shared" si="313"/>
        <v>1.9606917991706379</v>
      </c>
    </row>
    <row r="7631" spans="1:11" hidden="1">
      <c r="A7631" s="4">
        <v>2026</v>
      </c>
      <c r="B7631">
        <v>18</v>
      </c>
      <c r="C7631" t="s">
        <v>54</v>
      </c>
      <c r="D7631" t="s">
        <v>11</v>
      </c>
      <c r="E7631" t="s">
        <v>103</v>
      </c>
      <c r="F7631" t="s">
        <v>104</v>
      </c>
      <c r="G7631" t="str">
        <f t="shared" si="312"/>
        <v>025PINK MONDIAL</v>
      </c>
      <c r="H7631" s="5">
        <v>9700</v>
      </c>
      <c r="I7631" s="6">
        <v>3071.9505625000002</v>
      </c>
      <c r="J7631" s="5">
        <v>22400</v>
      </c>
      <c r="K7631" s="6">
        <f t="shared" si="313"/>
        <v>3.1576028984353162</v>
      </c>
    </row>
    <row r="7632" spans="1:11" hidden="1">
      <c r="A7632" s="4">
        <v>2026</v>
      </c>
      <c r="B7632">
        <v>18</v>
      </c>
      <c r="C7632" t="s">
        <v>54</v>
      </c>
      <c r="D7632" t="s">
        <v>11</v>
      </c>
      <c r="E7632" t="s">
        <v>45</v>
      </c>
      <c r="F7632" t="s">
        <v>105</v>
      </c>
      <c r="G7632" t="str">
        <f t="shared" si="312"/>
        <v>026LOLA</v>
      </c>
      <c r="H7632" s="5">
        <v>4900</v>
      </c>
      <c r="I7632" s="6">
        <v>2852.5250000000001</v>
      </c>
      <c r="J7632" s="5">
        <v>20800</v>
      </c>
      <c r="K7632" s="6">
        <f t="shared" si="313"/>
        <v>1.7177763560354422</v>
      </c>
    </row>
    <row r="7633" spans="1:11" hidden="1">
      <c r="A7633" s="4">
        <v>2026</v>
      </c>
      <c r="B7633">
        <v>18</v>
      </c>
      <c r="C7633" t="s">
        <v>54</v>
      </c>
      <c r="D7633" t="s">
        <v>11</v>
      </c>
      <c r="E7633" t="s">
        <v>45</v>
      </c>
      <c r="F7633" t="s">
        <v>106</v>
      </c>
      <c r="G7633" t="str">
        <f t="shared" si="312"/>
        <v>026PALOMA</v>
      </c>
      <c r="H7633" s="5">
        <v>7075</v>
      </c>
      <c r="I7633" s="6">
        <v>2852.5250000000001</v>
      </c>
      <c r="J7633" s="5">
        <v>20800</v>
      </c>
      <c r="K7633" s="6">
        <f t="shared" si="313"/>
        <v>2.4802587181532152</v>
      </c>
    </row>
    <row r="7634" spans="1:11" hidden="1">
      <c r="A7634" s="4">
        <v>2026</v>
      </c>
      <c r="B7634">
        <v>18</v>
      </c>
      <c r="C7634" t="s">
        <v>54</v>
      </c>
      <c r="D7634" t="s">
        <v>11</v>
      </c>
      <c r="E7634" t="s">
        <v>107</v>
      </c>
      <c r="F7634" t="s">
        <v>108</v>
      </c>
      <c r="G7634" t="str">
        <f t="shared" ref="G7634:G7696" si="314">+E7634&amp;F7634</f>
        <v>027SATISFACTION</v>
      </c>
      <c r="H7634" s="5">
        <v>8550</v>
      </c>
      <c r="I7634" s="6">
        <v>2633.1</v>
      </c>
      <c r="J7634" s="5">
        <v>19200</v>
      </c>
      <c r="K7634" s="6">
        <f t="shared" si="313"/>
        <v>3.2471231628118948</v>
      </c>
    </row>
    <row r="7635" spans="1:11" hidden="1">
      <c r="A7635" s="4">
        <v>2026</v>
      </c>
      <c r="B7635">
        <v>18</v>
      </c>
      <c r="C7635" t="s">
        <v>54</v>
      </c>
      <c r="D7635" t="s">
        <v>11</v>
      </c>
      <c r="E7635" t="s">
        <v>107</v>
      </c>
      <c r="F7635" t="s">
        <v>109</v>
      </c>
      <c r="G7635" t="str">
        <f t="shared" si="314"/>
        <v>027TIFFANY</v>
      </c>
      <c r="H7635" s="5">
        <v>7860</v>
      </c>
      <c r="I7635" s="6">
        <v>2633.1</v>
      </c>
      <c r="J7635" s="5">
        <v>19200</v>
      </c>
      <c r="K7635" s="6">
        <f t="shared" si="313"/>
        <v>2.9850746268656718</v>
      </c>
    </row>
    <row r="7636" spans="1:11" hidden="1">
      <c r="A7636" s="4">
        <v>2026</v>
      </c>
      <c r="B7636">
        <v>18</v>
      </c>
      <c r="C7636" t="s">
        <v>54</v>
      </c>
      <c r="D7636" t="s">
        <v>11</v>
      </c>
      <c r="E7636" t="s">
        <v>110</v>
      </c>
      <c r="F7636" t="s">
        <v>70</v>
      </c>
      <c r="G7636" t="str">
        <f t="shared" si="314"/>
        <v>028COTOPAXI</v>
      </c>
      <c r="H7636" s="5">
        <v>8430</v>
      </c>
      <c r="I7636" s="6">
        <v>2852.5250000000001</v>
      </c>
      <c r="J7636" s="5">
        <v>20800</v>
      </c>
      <c r="K7636" s="6">
        <f t="shared" si="313"/>
        <v>2.9552764655875059</v>
      </c>
    </row>
    <row r="7637" spans="1:11" hidden="1">
      <c r="A7637" s="4">
        <v>2026</v>
      </c>
      <c r="B7637">
        <v>18</v>
      </c>
      <c r="C7637" t="s">
        <v>54</v>
      </c>
      <c r="D7637" t="s">
        <v>11</v>
      </c>
      <c r="E7637" t="s">
        <v>110</v>
      </c>
      <c r="F7637" t="s">
        <v>67</v>
      </c>
      <c r="G7637" t="str">
        <f t="shared" si="314"/>
        <v>028DEEP PURPLE</v>
      </c>
      <c r="H7637" s="5">
        <v>12330</v>
      </c>
      <c r="I7637" s="6">
        <v>2852.5250000000001</v>
      </c>
      <c r="J7637" s="5">
        <v>20800</v>
      </c>
      <c r="K7637" s="6">
        <f t="shared" si="313"/>
        <v>4.3224862183504085</v>
      </c>
    </row>
    <row r="7638" spans="1:11" hidden="1">
      <c r="A7638" s="4">
        <v>2026</v>
      </c>
      <c r="B7638">
        <v>18</v>
      </c>
      <c r="C7638" t="s">
        <v>54</v>
      </c>
      <c r="D7638" t="s">
        <v>11</v>
      </c>
      <c r="E7638" t="s">
        <v>111</v>
      </c>
      <c r="F7638" t="s">
        <v>112</v>
      </c>
      <c r="G7638" t="str">
        <f t="shared" si="314"/>
        <v>029PINK FLOYD</v>
      </c>
      <c r="H7638" s="5">
        <v>7150</v>
      </c>
      <c r="I7638" s="6">
        <v>3071.95</v>
      </c>
      <c r="J7638" s="5">
        <v>22400</v>
      </c>
      <c r="K7638" s="6">
        <f t="shared" si="313"/>
        <v>2.3275118410130373</v>
      </c>
    </row>
    <row r="7639" spans="1:11" hidden="1">
      <c r="A7639" s="4">
        <v>2026</v>
      </c>
      <c r="B7639">
        <v>18</v>
      </c>
      <c r="C7639" t="s">
        <v>54</v>
      </c>
      <c r="D7639" t="s">
        <v>11</v>
      </c>
      <c r="E7639" t="s">
        <v>47</v>
      </c>
      <c r="F7639" t="s">
        <v>57</v>
      </c>
      <c r="G7639" t="str">
        <f t="shared" si="314"/>
        <v>030EXPLORER</v>
      </c>
      <c r="H7639" s="5">
        <v>3275</v>
      </c>
      <c r="I7639" s="6">
        <v>1645.6875</v>
      </c>
      <c r="J7639" s="5">
        <v>12000</v>
      </c>
      <c r="K7639" s="6">
        <f t="shared" si="313"/>
        <v>1.9900497512437811</v>
      </c>
    </row>
    <row r="7640" spans="1:11" hidden="1">
      <c r="A7640" s="4">
        <v>2026</v>
      </c>
      <c r="B7640">
        <v>19</v>
      </c>
      <c r="C7640" t="s">
        <v>10</v>
      </c>
      <c r="D7640" t="s">
        <v>11</v>
      </c>
      <c r="E7640" t="s">
        <v>12</v>
      </c>
      <c r="F7640" t="s">
        <v>13</v>
      </c>
      <c r="G7640" t="str">
        <f t="shared" si="314"/>
        <v>002SOMERSET</v>
      </c>
      <c r="H7640" s="5">
        <v>9880</v>
      </c>
      <c r="I7640" s="6">
        <v>4121.4642855494158</v>
      </c>
      <c r="J7640" s="5">
        <v>31200</v>
      </c>
      <c r="K7640" s="6">
        <f t="shared" si="313"/>
        <v>2.3972062634731621</v>
      </c>
    </row>
    <row r="7641" spans="1:11" hidden="1">
      <c r="A7641" s="4">
        <v>2026</v>
      </c>
      <c r="B7641">
        <v>19</v>
      </c>
      <c r="C7641" t="s">
        <v>10</v>
      </c>
      <c r="D7641" t="s">
        <v>11</v>
      </c>
      <c r="E7641" t="s">
        <v>14</v>
      </c>
      <c r="F7641" t="s">
        <v>15</v>
      </c>
      <c r="G7641" t="str">
        <f t="shared" si="314"/>
        <v>004BELLINA</v>
      </c>
      <c r="H7641" s="5">
        <v>1980</v>
      </c>
      <c r="I7641" s="6">
        <v>1056.785714243442</v>
      </c>
      <c r="J7641" s="5">
        <v>8000</v>
      </c>
      <c r="K7641" s="6">
        <f t="shared" si="313"/>
        <v>1.873605948030336</v>
      </c>
    </row>
    <row r="7642" spans="1:11" hidden="1">
      <c r="A7642" s="4">
        <v>2026</v>
      </c>
      <c r="B7642">
        <v>19</v>
      </c>
      <c r="C7642" t="s">
        <v>10</v>
      </c>
      <c r="D7642" t="s">
        <v>11</v>
      </c>
      <c r="E7642" t="s">
        <v>16</v>
      </c>
      <c r="F7642" t="s">
        <v>17</v>
      </c>
      <c r="G7642" t="str">
        <f t="shared" si="314"/>
        <v>005ELBA</v>
      </c>
      <c r="H7642" s="5">
        <v>9660</v>
      </c>
      <c r="I7642" s="6">
        <v>2641.9642856076448</v>
      </c>
      <c r="J7642" s="5">
        <v>19996</v>
      </c>
      <c r="K7642" s="6">
        <f t="shared" si="313"/>
        <v>3.6563703955514395</v>
      </c>
    </row>
    <row r="7643" spans="1:11" hidden="1">
      <c r="A7643" s="4">
        <v>2026</v>
      </c>
      <c r="B7643">
        <v>19</v>
      </c>
      <c r="C7643" t="s">
        <v>10</v>
      </c>
      <c r="D7643" t="s">
        <v>11</v>
      </c>
      <c r="E7643" t="s">
        <v>16</v>
      </c>
      <c r="F7643" t="s">
        <v>18</v>
      </c>
      <c r="G7643" t="str">
        <f t="shared" si="314"/>
        <v>005HOT BUBBLES</v>
      </c>
      <c r="H7643" s="5">
        <v>1480</v>
      </c>
      <c r="I7643" s="6">
        <v>528.39285712153003</v>
      </c>
      <c r="J7643" s="5">
        <v>4000</v>
      </c>
      <c r="K7643" s="6">
        <f t="shared" si="313"/>
        <v>2.8009462657433328</v>
      </c>
    </row>
    <row r="7644" spans="1:11" hidden="1">
      <c r="A7644" s="4">
        <v>2026</v>
      </c>
      <c r="B7644">
        <v>19</v>
      </c>
      <c r="C7644" t="s">
        <v>10</v>
      </c>
      <c r="D7644" t="s">
        <v>11</v>
      </c>
      <c r="E7644" t="s">
        <v>16</v>
      </c>
      <c r="F7644" t="s">
        <v>19</v>
      </c>
      <c r="G7644" t="str">
        <f t="shared" si="314"/>
        <v>005SUSPIRO</v>
      </c>
      <c r="H7644" s="5">
        <v>8370</v>
      </c>
      <c r="I7644" s="6">
        <v>1902.2142856375083</v>
      </c>
      <c r="J7644" s="5">
        <v>14400</v>
      </c>
      <c r="K7644" s="6">
        <f t="shared" si="313"/>
        <v>4.4001351809819242</v>
      </c>
    </row>
    <row r="7645" spans="1:11" hidden="1">
      <c r="A7645" s="4">
        <v>2026</v>
      </c>
      <c r="B7645">
        <v>19</v>
      </c>
      <c r="C7645" t="s">
        <v>10</v>
      </c>
      <c r="D7645" t="s">
        <v>11</v>
      </c>
      <c r="E7645" t="s">
        <v>20</v>
      </c>
      <c r="F7645" t="s">
        <v>21</v>
      </c>
      <c r="G7645" t="str">
        <f t="shared" si="314"/>
        <v>007SNOW BUBBLES</v>
      </c>
      <c r="H7645" s="5">
        <v>1380</v>
      </c>
      <c r="I7645" s="6">
        <v>634.05652706821184</v>
      </c>
      <c r="J7645" s="5">
        <v>4800</v>
      </c>
      <c r="K7645" s="6">
        <f t="shared" si="313"/>
        <v>2.1764620993350952</v>
      </c>
    </row>
    <row r="7646" spans="1:11" hidden="1">
      <c r="A7646" s="4">
        <v>2026</v>
      </c>
      <c r="B7646">
        <v>19</v>
      </c>
      <c r="C7646" t="s">
        <v>10</v>
      </c>
      <c r="D7646" t="s">
        <v>11</v>
      </c>
      <c r="E7646" t="s">
        <v>22</v>
      </c>
      <c r="F7646" t="s">
        <v>18</v>
      </c>
      <c r="G7646" t="str">
        <f t="shared" si="314"/>
        <v>009HOT BUBBLES</v>
      </c>
      <c r="H7646" s="5">
        <v>12220</v>
      </c>
      <c r="I7646" s="6">
        <v>4487.9999999102447</v>
      </c>
      <c r="J7646" s="5">
        <v>31740</v>
      </c>
      <c r="K7646" s="6">
        <f t="shared" si="313"/>
        <v>2.7228163993414412</v>
      </c>
    </row>
    <row r="7647" spans="1:11" hidden="1">
      <c r="A7647" s="4">
        <v>2026</v>
      </c>
      <c r="B7647">
        <v>19</v>
      </c>
      <c r="C7647" t="s">
        <v>10</v>
      </c>
      <c r="D7647" t="s">
        <v>11</v>
      </c>
      <c r="E7647" t="s">
        <v>23</v>
      </c>
      <c r="F7647" t="s">
        <v>24</v>
      </c>
      <c r="G7647" t="str">
        <f t="shared" si="314"/>
        <v>014FRUITY BUBBLES</v>
      </c>
      <c r="H7647" s="5">
        <v>4050</v>
      </c>
      <c r="I7647" s="6">
        <v>1702.7999999999988</v>
      </c>
      <c r="J7647" s="5">
        <v>12900</v>
      </c>
      <c r="K7647" s="6">
        <f t="shared" si="313"/>
        <v>2.3784355179704035</v>
      </c>
    </row>
    <row r="7648" spans="1:11" hidden="1">
      <c r="A7648" s="4">
        <v>2026</v>
      </c>
      <c r="B7648">
        <v>19</v>
      </c>
      <c r="C7648" t="s">
        <v>10</v>
      </c>
      <c r="D7648" t="s">
        <v>11</v>
      </c>
      <c r="E7648" t="s">
        <v>25</v>
      </c>
      <c r="F7648" t="s">
        <v>26</v>
      </c>
      <c r="G7648" t="str">
        <f t="shared" si="314"/>
        <v>015FELLINI</v>
      </c>
      <c r="H7648" s="5">
        <v>8340</v>
      </c>
      <c r="I7648" s="6">
        <v>3009.5999999999958</v>
      </c>
      <c r="J7648" s="5">
        <v>22800</v>
      </c>
      <c r="K7648" s="6">
        <f t="shared" si="313"/>
        <v>2.771132376395538</v>
      </c>
    </row>
    <row r="7649" spans="1:11" hidden="1">
      <c r="A7649" s="4">
        <v>2026</v>
      </c>
      <c r="B7649">
        <v>19</v>
      </c>
      <c r="C7649" t="s">
        <v>10</v>
      </c>
      <c r="D7649" t="s">
        <v>11</v>
      </c>
      <c r="E7649" t="s">
        <v>27</v>
      </c>
      <c r="F7649" t="s">
        <v>28</v>
      </c>
      <c r="G7649" t="str">
        <f t="shared" si="314"/>
        <v>016GOOD PEACH</v>
      </c>
      <c r="H7649" s="5">
        <v>3720</v>
      </c>
      <c r="I7649" s="6">
        <v>1385.9999999999995</v>
      </c>
      <c r="J7649" s="5">
        <v>10500</v>
      </c>
      <c r="K7649" s="6">
        <f t="shared" si="313"/>
        <v>2.683982683982685</v>
      </c>
    </row>
    <row r="7650" spans="1:11" hidden="1">
      <c r="A7650" s="4">
        <v>2026</v>
      </c>
      <c r="B7650">
        <v>19</v>
      </c>
      <c r="C7650" t="s">
        <v>10</v>
      </c>
      <c r="D7650" t="s">
        <v>11</v>
      </c>
      <c r="E7650" t="s">
        <v>27</v>
      </c>
      <c r="F7650" t="s">
        <v>29</v>
      </c>
      <c r="G7650" t="str">
        <f t="shared" si="314"/>
        <v>016GOOD YELLOW</v>
      </c>
      <c r="H7650" s="5">
        <v>4680</v>
      </c>
      <c r="I7650" s="6">
        <v>1385.9999999999995</v>
      </c>
      <c r="J7650" s="5">
        <v>10500</v>
      </c>
      <c r="K7650" s="6">
        <f t="shared" si="313"/>
        <v>3.3766233766233777</v>
      </c>
    </row>
    <row r="7651" spans="1:11" hidden="1">
      <c r="A7651" s="4">
        <v>2026</v>
      </c>
      <c r="B7651">
        <v>19</v>
      </c>
      <c r="C7651" t="s">
        <v>10</v>
      </c>
      <c r="D7651" t="s">
        <v>11</v>
      </c>
      <c r="E7651" t="s">
        <v>30</v>
      </c>
      <c r="F7651" t="s">
        <v>31</v>
      </c>
      <c r="G7651" t="str">
        <f t="shared" si="314"/>
        <v>017ORANGE STAR</v>
      </c>
      <c r="H7651" s="5">
        <v>1775</v>
      </c>
      <c r="I7651" s="6">
        <v>1029.6000000000004</v>
      </c>
      <c r="J7651" s="5">
        <v>7800</v>
      </c>
      <c r="K7651" s="6">
        <f t="shared" si="313"/>
        <v>1.7239704739704733</v>
      </c>
    </row>
    <row r="7652" spans="1:11" hidden="1">
      <c r="A7652" s="4">
        <v>2026</v>
      </c>
      <c r="B7652">
        <v>19</v>
      </c>
      <c r="C7652" t="s">
        <v>10</v>
      </c>
      <c r="D7652" t="s">
        <v>11</v>
      </c>
      <c r="E7652" t="s">
        <v>32</v>
      </c>
      <c r="F7652" t="s">
        <v>33</v>
      </c>
      <c r="G7652" t="str">
        <f t="shared" si="314"/>
        <v>018COSMO</v>
      </c>
      <c r="H7652" s="5">
        <v>5075</v>
      </c>
      <c r="I7652" s="6">
        <v>2653.1999999999966</v>
      </c>
      <c r="J7652" s="5">
        <v>20100</v>
      </c>
      <c r="K7652" s="6">
        <f t="shared" si="313"/>
        <v>1.9127845620382957</v>
      </c>
    </row>
    <row r="7653" spans="1:11" hidden="1">
      <c r="A7653" s="4">
        <v>2026</v>
      </c>
      <c r="B7653">
        <v>19</v>
      </c>
      <c r="C7653" t="s">
        <v>10</v>
      </c>
      <c r="D7653" t="s">
        <v>11</v>
      </c>
      <c r="E7653" t="s">
        <v>32</v>
      </c>
      <c r="F7653" t="s">
        <v>34</v>
      </c>
      <c r="G7653" t="str">
        <f t="shared" si="314"/>
        <v>018RUBICON</v>
      </c>
      <c r="H7653" s="5">
        <v>3570</v>
      </c>
      <c r="I7653" s="6">
        <v>1768.7999999999988</v>
      </c>
      <c r="J7653" s="5">
        <v>13400</v>
      </c>
      <c r="K7653" s="6">
        <f t="shared" si="313"/>
        <v>2.0183175033921317</v>
      </c>
    </row>
    <row r="7654" spans="1:11" hidden="1">
      <c r="A7654" s="4">
        <v>2026</v>
      </c>
      <c r="B7654">
        <v>19</v>
      </c>
      <c r="C7654" t="s">
        <v>10</v>
      </c>
      <c r="D7654" t="s">
        <v>11</v>
      </c>
      <c r="E7654" t="s">
        <v>35</v>
      </c>
      <c r="F7654" t="s">
        <v>15</v>
      </c>
      <c r="G7654" t="str">
        <f t="shared" si="314"/>
        <v>019BELLINA</v>
      </c>
      <c r="H7654" s="5">
        <v>2670</v>
      </c>
      <c r="I7654" s="6">
        <v>1029.6000000000004</v>
      </c>
      <c r="J7654" s="5">
        <v>7800</v>
      </c>
      <c r="K7654" s="6">
        <f t="shared" si="313"/>
        <v>2.5932400932400923</v>
      </c>
    </row>
    <row r="7655" spans="1:11" hidden="1">
      <c r="A7655" s="4">
        <v>2026</v>
      </c>
      <c r="B7655">
        <v>19</v>
      </c>
      <c r="C7655" t="s">
        <v>10</v>
      </c>
      <c r="D7655" t="s">
        <v>11</v>
      </c>
      <c r="E7655" t="s">
        <v>36</v>
      </c>
      <c r="F7655" t="s">
        <v>37</v>
      </c>
      <c r="G7655" t="str">
        <f t="shared" si="314"/>
        <v>020SUMMER DANCE</v>
      </c>
      <c r="H7655" s="5">
        <v>2575</v>
      </c>
      <c r="I7655" s="6">
        <v>1346.3999999999996</v>
      </c>
      <c r="J7655" s="5">
        <v>10200</v>
      </c>
      <c r="K7655" s="6">
        <f t="shared" si="313"/>
        <v>1.91250742721331</v>
      </c>
    </row>
    <row r="7656" spans="1:11" hidden="1">
      <c r="A7656" s="4">
        <v>2026</v>
      </c>
      <c r="B7656">
        <v>19</v>
      </c>
      <c r="C7656" t="s">
        <v>10</v>
      </c>
      <c r="D7656" t="s">
        <v>11</v>
      </c>
      <c r="E7656" t="s">
        <v>38</v>
      </c>
      <c r="F7656" t="s">
        <v>39</v>
      </c>
      <c r="G7656" t="str">
        <f t="shared" si="314"/>
        <v>021ELEGANT ROSEVER</v>
      </c>
      <c r="H7656" s="5">
        <v>1920</v>
      </c>
      <c r="I7656" s="6">
        <v>440.18999062500001</v>
      </c>
      <c r="J7656" s="5">
        <v>3200</v>
      </c>
      <c r="K7656" s="6">
        <f t="shared" si="313"/>
        <v>4.3617529723333881</v>
      </c>
    </row>
    <row r="7657" spans="1:11" hidden="1">
      <c r="A7657" s="4">
        <v>2026</v>
      </c>
      <c r="B7657">
        <v>19</v>
      </c>
      <c r="C7657" t="s">
        <v>10</v>
      </c>
      <c r="D7657" t="s">
        <v>11</v>
      </c>
      <c r="E7657" t="s">
        <v>38</v>
      </c>
      <c r="F7657" t="s">
        <v>40</v>
      </c>
      <c r="G7657" t="str">
        <f t="shared" si="314"/>
        <v>021FLAME CLUB</v>
      </c>
      <c r="H7657" s="5">
        <v>2975</v>
      </c>
      <c r="I7657" s="6">
        <v>880.37999999999965</v>
      </c>
      <c r="J7657" s="5">
        <v>6400</v>
      </c>
      <c r="K7657" s="6">
        <f t="shared" si="313"/>
        <v>3.3792226084190933</v>
      </c>
    </row>
    <row r="7658" spans="1:11" hidden="1">
      <c r="A7658" s="4">
        <v>2026</v>
      </c>
      <c r="B7658">
        <v>19</v>
      </c>
      <c r="C7658" t="s">
        <v>10</v>
      </c>
      <c r="D7658" t="s">
        <v>11</v>
      </c>
      <c r="E7658" t="s">
        <v>38</v>
      </c>
      <c r="F7658" t="s">
        <v>41</v>
      </c>
      <c r="G7658" t="str">
        <f t="shared" si="314"/>
        <v>021KELLY</v>
      </c>
      <c r="H7658" s="5">
        <v>875</v>
      </c>
      <c r="I7658" s="6">
        <v>330.14249999999998</v>
      </c>
      <c r="J7658" s="5">
        <v>2400</v>
      </c>
      <c r="K7658" s="6">
        <f t="shared" si="313"/>
        <v>2.650370673269876</v>
      </c>
    </row>
    <row r="7659" spans="1:11" hidden="1">
      <c r="A7659" s="4">
        <v>2026</v>
      </c>
      <c r="B7659">
        <v>19</v>
      </c>
      <c r="C7659" t="s">
        <v>10</v>
      </c>
      <c r="D7659" t="s">
        <v>11</v>
      </c>
      <c r="E7659" t="s">
        <v>38</v>
      </c>
      <c r="F7659" t="s">
        <v>42</v>
      </c>
      <c r="G7659" t="str">
        <f t="shared" si="314"/>
        <v>021LEILA</v>
      </c>
      <c r="H7659" s="5">
        <v>3525</v>
      </c>
      <c r="I7659" s="6">
        <v>770.33249999999975</v>
      </c>
      <c r="J7659" s="5">
        <v>5600</v>
      </c>
      <c r="K7659" s="6">
        <f t="shared" si="313"/>
        <v>4.5759461011965623</v>
      </c>
    </row>
    <row r="7660" spans="1:11" hidden="1">
      <c r="A7660" s="4">
        <v>2026</v>
      </c>
      <c r="B7660">
        <v>19</v>
      </c>
      <c r="C7660" t="s">
        <v>10</v>
      </c>
      <c r="D7660" t="s">
        <v>11</v>
      </c>
      <c r="E7660" t="s">
        <v>38</v>
      </c>
      <c r="F7660" t="s">
        <v>115</v>
      </c>
      <c r="G7660" t="str">
        <f t="shared" si="314"/>
        <v>021PISTACHIO KISS</v>
      </c>
      <c r="H7660" s="5">
        <v>50</v>
      </c>
      <c r="I7660" s="6">
        <v>880.37999999999965</v>
      </c>
      <c r="J7660" s="5">
        <v>6400</v>
      </c>
      <c r="K7660" s="6">
        <f t="shared" si="313"/>
        <v>5.6793657284354503E-2</v>
      </c>
    </row>
    <row r="7661" spans="1:11" hidden="1">
      <c r="A7661" s="4">
        <v>2026</v>
      </c>
      <c r="B7661">
        <v>19</v>
      </c>
      <c r="C7661" t="s">
        <v>10</v>
      </c>
      <c r="D7661" t="s">
        <v>11</v>
      </c>
      <c r="E7661" t="s">
        <v>38</v>
      </c>
      <c r="F7661" t="s">
        <v>21</v>
      </c>
      <c r="G7661" t="str">
        <f t="shared" si="314"/>
        <v>021SNOW BUBBLES</v>
      </c>
      <c r="H7661" s="5">
        <v>4480</v>
      </c>
      <c r="I7661" s="6">
        <v>1287.0000000000018</v>
      </c>
      <c r="J7661" s="5">
        <v>9400</v>
      </c>
      <c r="K7661" s="6">
        <f t="shared" si="313"/>
        <v>3.4809634809634762</v>
      </c>
    </row>
    <row r="7662" spans="1:11" hidden="1">
      <c r="A7662" s="4">
        <v>2026</v>
      </c>
      <c r="B7662">
        <v>19</v>
      </c>
      <c r="C7662" t="s">
        <v>10</v>
      </c>
      <c r="D7662" t="s">
        <v>11</v>
      </c>
      <c r="E7662" t="s">
        <v>43</v>
      </c>
      <c r="F7662" t="s">
        <v>24</v>
      </c>
      <c r="G7662" t="str">
        <f t="shared" si="314"/>
        <v>022FRUITY BUBBLES</v>
      </c>
      <c r="H7662" s="5">
        <v>7500</v>
      </c>
      <c r="I7662" s="6">
        <v>2641.139999999999</v>
      </c>
      <c r="J7662" s="5">
        <v>19200</v>
      </c>
      <c r="K7662" s="6">
        <f t="shared" si="313"/>
        <v>2.8396828642177252</v>
      </c>
    </row>
    <row r="7663" spans="1:11" hidden="1">
      <c r="A7663" s="4">
        <v>2026</v>
      </c>
      <c r="B7663">
        <v>19</v>
      </c>
      <c r="C7663" t="s">
        <v>10</v>
      </c>
      <c r="D7663" t="s">
        <v>11</v>
      </c>
      <c r="E7663" t="s">
        <v>43</v>
      </c>
      <c r="F7663" t="s">
        <v>28</v>
      </c>
      <c r="G7663" t="str">
        <f t="shared" si="314"/>
        <v>022GOOD PEACH</v>
      </c>
      <c r="H7663" s="5">
        <v>2640</v>
      </c>
      <c r="I7663" s="6">
        <v>880.37999999999965</v>
      </c>
      <c r="J7663" s="5">
        <v>6400</v>
      </c>
      <c r="K7663" s="6">
        <f t="shared" si="313"/>
        <v>2.9987051046139177</v>
      </c>
    </row>
    <row r="7664" spans="1:11" hidden="1">
      <c r="A7664" s="4">
        <v>2026</v>
      </c>
      <c r="B7664">
        <v>19</v>
      </c>
      <c r="C7664" t="s">
        <v>10</v>
      </c>
      <c r="D7664" t="s">
        <v>11</v>
      </c>
      <c r="E7664" t="s">
        <v>43</v>
      </c>
      <c r="F7664" t="s">
        <v>44</v>
      </c>
      <c r="G7664" t="str">
        <f t="shared" si="314"/>
        <v>022MIRABEL</v>
      </c>
      <c r="H7664" s="5">
        <v>2280</v>
      </c>
      <c r="I7664" s="6">
        <v>880.37999999999965</v>
      </c>
      <c r="J7664" s="5">
        <v>6400</v>
      </c>
      <c r="K7664" s="6">
        <f t="shared" si="313"/>
        <v>2.5897907721665656</v>
      </c>
    </row>
    <row r="7665" spans="1:11" hidden="1">
      <c r="A7665" s="4">
        <v>2026</v>
      </c>
      <c r="B7665">
        <v>19</v>
      </c>
      <c r="C7665" t="s">
        <v>10</v>
      </c>
      <c r="D7665" t="s">
        <v>11</v>
      </c>
      <c r="E7665" t="s">
        <v>47</v>
      </c>
      <c r="F7665" t="s">
        <v>44</v>
      </c>
      <c r="G7665" t="str">
        <f t="shared" si="314"/>
        <v>030MIRABEL</v>
      </c>
      <c r="H7665" s="5">
        <v>3980</v>
      </c>
      <c r="I7665" s="6">
        <v>2413.6749943750001</v>
      </c>
      <c r="J7665" s="5">
        <v>17600</v>
      </c>
      <c r="K7665" s="6">
        <f t="shared" si="313"/>
        <v>1.6489378268720003</v>
      </c>
    </row>
    <row r="7666" spans="1:11" hidden="1">
      <c r="A7666" s="4">
        <v>2026</v>
      </c>
      <c r="B7666">
        <v>19</v>
      </c>
      <c r="C7666" t="s">
        <v>10</v>
      </c>
      <c r="D7666" t="s">
        <v>11</v>
      </c>
      <c r="E7666" t="s">
        <v>47</v>
      </c>
      <c r="F7666" t="s">
        <v>13</v>
      </c>
      <c r="G7666" t="str">
        <f t="shared" si="314"/>
        <v>030SOMERSET</v>
      </c>
      <c r="H7666" s="5">
        <v>4000</v>
      </c>
      <c r="I7666" s="6">
        <v>1645.6875000000009</v>
      </c>
      <c r="J7666" s="5">
        <v>12000</v>
      </c>
      <c r="K7666" s="6">
        <f t="shared" si="313"/>
        <v>2.4305951160229373</v>
      </c>
    </row>
    <row r="7667" spans="1:11" hidden="1">
      <c r="A7667" s="4">
        <v>2026</v>
      </c>
      <c r="B7667">
        <v>19</v>
      </c>
      <c r="C7667" t="s">
        <v>10</v>
      </c>
      <c r="D7667" t="s">
        <v>11</v>
      </c>
      <c r="E7667" t="s">
        <v>48</v>
      </c>
      <c r="F7667" t="s">
        <v>49</v>
      </c>
      <c r="G7667" t="str">
        <f t="shared" si="314"/>
        <v>03182989</v>
      </c>
      <c r="H7667" s="5">
        <v>740</v>
      </c>
      <c r="I7667" s="6">
        <v>726.32013058333712</v>
      </c>
      <c r="J7667" s="5">
        <v>5712</v>
      </c>
      <c r="K7667" s="6">
        <f t="shared" si="313"/>
        <v>1.0188344902483648</v>
      </c>
    </row>
    <row r="7668" spans="1:11" hidden="1">
      <c r="A7668" s="4">
        <v>2026</v>
      </c>
      <c r="B7668">
        <v>19</v>
      </c>
      <c r="C7668" t="s">
        <v>10</v>
      </c>
      <c r="D7668" t="s">
        <v>11</v>
      </c>
      <c r="E7668" t="s">
        <v>48</v>
      </c>
      <c r="F7668" t="s">
        <v>34</v>
      </c>
      <c r="G7668" t="str">
        <f t="shared" si="314"/>
        <v>031RUBICON</v>
      </c>
      <c r="H7668" s="5">
        <v>2010</v>
      </c>
      <c r="I7668" s="6">
        <v>924.39958333667118</v>
      </c>
      <c r="J7668" s="5">
        <v>6720</v>
      </c>
      <c r="K7668" s="6">
        <f t="shared" si="313"/>
        <v>2.1743843638968272</v>
      </c>
    </row>
    <row r="7669" spans="1:11" hidden="1">
      <c r="A7669" s="4">
        <v>2026</v>
      </c>
      <c r="B7669">
        <v>19</v>
      </c>
      <c r="C7669" t="s">
        <v>10</v>
      </c>
      <c r="D7669" t="s">
        <v>11</v>
      </c>
      <c r="E7669" t="s">
        <v>48</v>
      </c>
      <c r="F7669" t="s">
        <v>13</v>
      </c>
      <c r="G7669" t="str">
        <f t="shared" si="314"/>
        <v>031SOMERSET</v>
      </c>
      <c r="H7669" s="5">
        <v>2040</v>
      </c>
      <c r="I7669" s="6">
        <v>1122.4852083333392</v>
      </c>
      <c r="J7669" s="5">
        <v>8160</v>
      </c>
      <c r="K7669" s="6">
        <f t="shared" si="313"/>
        <v>1.8173958862486772</v>
      </c>
    </row>
    <row r="7670" spans="1:11" hidden="1">
      <c r="A7670" s="4">
        <v>2026</v>
      </c>
      <c r="B7670">
        <v>19</v>
      </c>
      <c r="C7670" t="s">
        <v>10</v>
      </c>
      <c r="D7670" t="s">
        <v>11</v>
      </c>
      <c r="E7670" t="s">
        <v>48</v>
      </c>
      <c r="F7670" t="s">
        <v>50</v>
      </c>
      <c r="G7670" t="str">
        <f t="shared" si="314"/>
        <v>031VELVET BLOSSOMS</v>
      </c>
      <c r="H7670" s="5">
        <v>660</v>
      </c>
      <c r="I7670" s="6">
        <v>396.17125000000203</v>
      </c>
      <c r="J7670" s="5">
        <v>2880</v>
      </c>
      <c r="K7670" s="6">
        <f t="shared" si="313"/>
        <v>1.6659462290612876</v>
      </c>
    </row>
    <row r="7671" spans="1:11" hidden="1">
      <c r="A7671" s="4">
        <v>2026</v>
      </c>
      <c r="B7671">
        <v>19</v>
      </c>
      <c r="C7671" t="s">
        <v>10</v>
      </c>
      <c r="D7671" t="s">
        <v>11</v>
      </c>
      <c r="E7671" t="s">
        <v>51</v>
      </c>
      <c r="F7671" t="s">
        <v>17</v>
      </c>
      <c r="G7671" t="str">
        <f t="shared" si="314"/>
        <v>032ELBA</v>
      </c>
      <c r="H7671" s="5">
        <v>4260</v>
      </c>
      <c r="I7671" s="6">
        <v>1535.9749999999992</v>
      </c>
      <c r="J7671" s="5">
        <v>11200</v>
      </c>
      <c r="K7671" s="6">
        <f t="shared" si="313"/>
        <v>2.7734826413190334</v>
      </c>
    </row>
    <row r="7672" spans="1:11" hidden="1">
      <c r="A7672" s="4">
        <v>2026</v>
      </c>
      <c r="B7672">
        <v>19</v>
      </c>
      <c r="C7672" t="s">
        <v>10</v>
      </c>
      <c r="D7672" t="s">
        <v>11</v>
      </c>
      <c r="E7672" t="s">
        <v>51</v>
      </c>
      <c r="F7672" t="s">
        <v>44</v>
      </c>
      <c r="G7672" t="str">
        <f t="shared" si="314"/>
        <v>032MIRABEL</v>
      </c>
      <c r="H7672" s="5">
        <v>2100</v>
      </c>
      <c r="I7672" s="6">
        <v>1535.9749999999995</v>
      </c>
      <c r="J7672" s="5">
        <v>11200</v>
      </c>
      <c r="K7672" s="6">
        <f t="shared" ref="K7672:K7733" si="315">+H7672/I7672</f>
        <v>1.3672097527629035</v>
      </c>
    </row>
    <row r="7673" spans="1:11" hidden="1">
      <c r="A7673" s="4">
        <v>2026</v>
      </c>
      <c r="B7673">
        <v>19</v>
      </c>
      <c r="C7673" t="s">
        <v>10</v>
      </c>
      <c r="D7673" t="s">
        <v>11</v>
      </c>
      <c r="E7673" t="s">
        <v>52</v>
      </c>
      <c r="F7673" t="s">
        <v>53</v>
      </c>
      <c r="G7673" t="str">
        <f t="shared" si="314"/>
        <v>033CREAMY FOLIES</v>
      </c>
      <c r="H7673" s="5">
        <v>810</v>
      </c>
      <c r="I7673" s="6">
        <v>594.25687500000311</v>
      </c>
      <c r="J7673" s="5">
        <v>4320</v>
      </c>
      <c r="K7673" s="6">
        <f t="shared" si="315"/>
        <v>1.3630469146865078</v>
      </c>
    </row>
    <row r="7674" spans="1:11" hidden="1">
      <c r="A7674" s="4">
        <v>2026</v>
      </c>
      <c r="B7674">
        <v>19</v>
      </c>
      <c r="C7674" t="s">
        <v>10</v>
      </c>
      <c r="D7674" t="s">
        <v>11</v>
      </c>
      <c r="E7674" t="s">
        <v>52</v>
      </c>
      <c r="F7674" t="s">
        <v>18</v>
      </c>
      <c r="G7674" t="str">
        <f t="shared" si="314"/>
        <v>033HOT BUBBLES</v>
      </c>
      <c r="H7674" s="5">
        <v>3620</v>
      </c>
      <c r="I7674" s="6">
        <v>2575.1131250013464</v>
      </c>
      <c r="J7674" s="5">
        <v>18720</v>
      </c>
      <c r="K7674" s="6">
        <f t="shared" si="315"/>
        <v>1.4057634846617106</v>
      </c>
    </row>
    <row r="7675" spans="1:11" hidden="1">
      <c r="A7675" s="4">
        <v>2026</v>
      </c>
      <c r="B7675">
        <v>19</v>
      </c>
      <c r="C7675" t="s">
        <v>54</v>
      </c>
      <c r="D7675" t="s">
        <v>11</v>
      </c>
      <c r="E7675" t="s">
        <v>55</v>
      </c>
      <c r="F7675" t="s">
        <v>56</v>
      </c>
      <c r="G7675" t="str">
        <f t="shared" si="314"/>
        <v>001BELIEVE IN PINK</v>
      </c>
      <c r="H7675" s="5">
        <v>1410</v>
      </c>
      <c r="I7675" s="6">
        <v>528.37931032368999</v>
      </c>
      <c r="J7675" s="5">
        <v>4000</v>
      </c>
      <c r="K7675" s="6">
        <f t="shared" si="315"/>
        <v>2.6685374927648495</v>
      </c>
    </row>
    <row r="7676" spans="1:11" hidden="1">
      <c r="A7676" s="4">
        <v>2026</v>
      </c>
      <c r="B7676">
        <v>19</v>
      </c>
      <c r="C7676" t="s">
        <v>54</v>
      </c>
      <c r="D7676" t="s">
        <v>11</v>
      </c>
      <c r="E7676" t="s">
        <v>55</v>
      </c>
      <c r="F7676" t="s">
        <v>57</v>
      </c>
      <c r="G7676" t="str">
        <f t="shared" si="314"/>
        <v>001EXPLORER</v>
      </c>
      <c r="H7676" s="5">
        <v>6225</v>
      </c>
      <c r="I7676" s="6">
        <v>2272.0310343918723</v>
      </c>
      <c r="J7676" s="5">
        <v>17200</v>
      </c>
      <c r="K7676" s="6">
        <f t="shared" si="315"/>
        <v>2.7398393357184809</v>
      </c>
    </row>
    <row r="7677" spans="1:11" hidden="1">
      <c r="A7677" s="4">
        <v>2026</v>
      </c>
      <c r="B7677">
        <v>19</v>
      </c>
      <c r="C7677" t="s">
        <v>54</v>
      </c>
      <c r="D7677" t="s">
        <v>11</v>
      </c>
      <c r="E7677" t="s">
        <v>55</v>
      </c>
      <c r="F7677" t="s">
        <v>58</v>
      </c>
      <c r="G7677" t="str">
        <f t="shared" si="314"/>
        <v>001GRACE KELLY</v>
      </c>
      <c r="H7677" s="5">
        <v>2520</v>
      </c>
      <c r="I7677" s="6">
        <v>1162.434482712122</v>
      </c>
      <c r="J7677" s="5">
        <v>8800</v>
      </c>
      <c r="K7677" s="6">
        <f t="shared" si="315"/>
        <v>2.1678641140449377</v>
      </c>
    </row>
    <row r="7678" spans="1:11" hidden="1">
      <c r="A7678" s="4">
        <v>2026</v>
      </c>
      <c r="B7678">
        <v>19</v>
      </c>
      <c r="C7678" t="s">
        <v>54</v>
      </c>
      <c r="D7678" t="s">
        <v>11</v>
      </c>
      <c r="E7678" t="s">
        <v>55</v>
      </c>
      <c r="F7678" t="s">
        <v>60</v>
      </c>
      <c r="G7678" t="str">
        <f t="shared" si="314"/>
        <v>001LIGHT HOUSE</v>
      </c>
      <c r="H7678" s="5">
        <v>2460</v>
      </c>
      <c r="I7678" s="6">
        <v>1056.7586206473825</v>
      </c>
      <c r="J7678" s="5">
        <v>8000</v>
      </c>
      <c r="K7678" s="6">
        <f t="shared" si="315"/>
        <v>2.3278731319863524</v>
      </c>
    </row>
    <row r="7679" spans="1:11" hidden="1">
      <c r="A7679" s="4">
        <v>2026</v>
      </c>
      <c r="B7679">
        <v>19</v>
      </c>
      <c r="C7679" t="s">
        <v>54</v>
      </c>
      <c r="D7679" t="s">
        <v>11</v>
      </c>
      <c r="E7679" t="s">
        <v>55</v>
      </c>
      <c r="F7679" t="s">
        <v>61</v>
      </c>
      <c r="G7679" t="str">
        <f t="shared" si="314"/>
        <v>001LUMIA</v>
      </c>
      <c r="H7679" s="5">
        <v>2370</v>
      </c>
      <c r="I7679" s="6">
        <v>1109.5965516797528</v>
      </c>
      <c r="J7679" s="5">
        <v>8400</v>
      </c>
      <c r="K7679" s="6">
        <f t="shared" si="315"/>
        <v>2.1359114683730738</v>
      </c>
    </row>
    <row r="7680" spans="1:11" hidden="1">
      <c r="A7680" s="4">
        <v>2026</v>
      </c>
      <c r="B7680">
        <v>19</v>
      </c>
      <c r="C7680" t="s">
        <v>54</v>
      </c>
      <c r="D7680" t="s">
        <v>11</v>
      </c>
      <c r="E7680" t="s">
        <v>55</v>
      </c>
      <c r="F7680" t="s">
        <v>62</v>
      </c>
      <c r="G7680" t="str">
        <f t="shared" si="314"/>
        <v>001MOMENTUM</v>
      </c>
      <c r="H7680" s="5">
        <v>6125</v>
      </c>
      <c r="I7680" s="6">
        <v>1902.1655171652874</v>
      </c>
      <c r="J7680" s="5">
        <v>14400</v>
      </c>
      <c r="K7680" s="6">
        <f t="shared" si="315"/>
        <v>3.2200142126053337</v>
      </c>
    </row>
    <row r="7681" spans="1:11" hidden="1">
      <c r="A7681" s="4">
        <v>2026</v>
      </c>
      <c r="B7681">
        <v>19</v>
      </c>
      <c r="C7681" t="s">
        <v>54</v>
      </c>
      <c r="D7681" t="s">
        <v>11</v>
      </c>
      <c r="E7681" t="s">
        <v>12</v>
      </c>
      <c r="F7681" t="s">
        <v>63</v>
      </c>
      <c r="G7681" t="str">
        <f t="shared" si="314"/>
        <v>002SUMMER ROMANCE</v>
      </c>
      <c r="H7681" s="5">
        <v>2000</v>
      </c>
      <c r="I7681" s="6">
        <v>951.10714281909407</v>
      </c>
      <c r="J7681" s="5">
        <v>7200</v>
      </c>
      <c r="K7681" s="6">
        <f t="shared" si="315"/>
        <v>2.1028125118185672</v>
      </c>
    </row>
    <row r="7682" spans="1:11" hidden="1">
      <c r="A7682" s="4">
        <v>2026</v>
      </c>
      <c r="B7682">
        <v>19</v>
      </c>
      <c r="C7682" t="s">
        <v>54</v>
      </c>
      <c r="D7682" t="s">
        <v>11</v>
      </c>
      <c r="E7682" t="s">
        <v>12</v>
      </c>
      <c r="F7682" t="s">
        <v>64</v>
      </c>
      <c r="G7682" t="str">
        <f t="shared" si="314"/>
        <v>002SWEETNESS</v>
      </c>
      <c r="H7682" s="5">
        <v>6750</v>
      </c>
      <c r="I7682" s="6">
        <v>3804.4285712763835</v>
      </c>
      <c r="J7682" s="5">
        <v>28800</v>
      </c>
      <c r="K7682" s="6">
        <f t="shared" si="315"/>
        <v>1.7742480568469128</v>
      </c>
    </row>
    <row r="7683" spans="1:11" hidden="1">
      <c r="A7683" s="4">
        <v>2026</v>
      </c>
      <c r="B7683">
        <v>19</v>
      </c>
      <c r="C7683" t="s">
        <v>54</v>
      </c>
      <c r="D7683" t="s">
        <v>11</v>
      </c>
      <c r="E7683" t="s">
        <v>65</v>
      </c>
      <c r="F7683" t="s">
        <v>66</v>
      </c>
      <c r="G7683" t="str">
        <f t="shared" si="314"/>
        <v>003CABARET</v>
      </c>
      <c r="H7683" s="5">
        <v>6090</v>
      </c>
      <c r="I7683" s="6">
        <v>2641.8965516184676</v>
      </c>
      <c r="J7683" s="5">
        <v>20000</v>
      </c>
      <c r="K7683" s="6">
        <f t="shared" si="315"/>
        <v>2.3051621746011097</v>
      </c>
    </row>
    <row r="7684" spans="1:11" hidden="1">
      <c r="A7684" s="4">
        <v>2026</v>
      </c>
      <c r="B7684">
        <v>19</v>
      </c>
      <c r="C7684" t="s">
        <v>54</v>
      </c>
      <c r="D7684" t="s">
        <v>11</v>
      </c>
      <c r="E7684" t="s">
        <v>65</v>
      </c>
      <c r="F7684" t="s">
        <v>67</v>
      </c>
      <c r="G7684" t="str">
        <f t="shared" si="314"/>
        <v>003DEEP PURPLE</v>
      </c>
      <c r="H7684" s="5">
        <v>9990</v>
      </c>
      <c r="I7684" s="6">
        <v>3592.9793102010881</v>
      </c>
      <c r="J7684" s="5">
        <v>26044</v>
      </c>
      <c r="K7684" s="6">
        <f t="shared" si="315"/>
        <v>2.7804223563538666</v>
      </c>
    </row>
    <row r="7685" spans="1:11" hidden="1">
      <c r="A7685" s="4">
        <v>2026</v>
      </c>
      <c r="B7685">
        <v>19</v>
      </c>
      <c r="C7685" t="s">
        <v>54</v>
      </c>
      <c r="D7685" t="s">
        <v>11</v>
      </c>
      <c r="E7685" t="s">
        <v>65</v>
      </c>
      <c r="F7685" t="s">
        <v>57</v>
      </c>
      <c r="G7685" t="str">
        <f t="shared" si="314"/>
        <v>003EXPLORER</v>
      </c>
      <c r="H7685" s="5">
        <v>2850</v>
      </c>
      <c r="I7685" s="6">
        <v>1268.1103447768635</v>
      </c>
      <c r="J7685" s="5">
        <v>9600</v>
      </c>
      <c r="K7685" s="6">
        <f t="shared" si="315"/>
        <v>2.2474384912469785</v>
      </c>
    </row>
    <row r="7686" spans="1:11" hidden="1">
      <c r="A7686" s="4">
        <v>2026</v>
      </c>
      <c r="B7686">
        <v>19</v>
      </c>
      <c r="C7686" t="s">
        <v>54</v>
      </c>
      <c r="D7686" t="s">
        <v>11</v>
      </c>
      <c r="E7686" t="s">
        <v>65</v>
      </c>
      <c r="F7686" t="s">
        <v>68</v>
      </c>
      <c r="G7686" t="str">
        <f t="shared" si="314"/>
        <v>003JOCKER</v>
      </c>
      <c r="H7686" s="5">
        <v>1550</v>
      </c>
      <c r="I7686" s="6">
        <v>528.37931032368999</v>
      </c>
      <c r="J7686" s="5">
        <v>4000</v>
      </c>
      <c r="K7686" s="6">
        <f t="shared" si="315"/>
        <v>2.9334986622592316</v>
      </c>
    </row>
    <row r="7687" spans="1:11" hidden="1">
      <c r="A7687" s="4">
        <v>2026</v>
      </c>
      <c r="B7687">
        <v>19</v>
      </c>
      <c r="C7687" t="s">
        <v>54</v>
      </c>
      <c r="D7687" t="s">
        <v>11</v>
      </c>
      <c r="E7687" t="s">
        <v>65</v>
      </c>
      <c r="F7687" t="s">
        <v>69</v>
      </c>
      <c r="G7687" t="str">
        <f t="shared" si="314"/>
        <v>003QUICKSAND</v>
      </c>
      <c r="H7687" s="5">
        <v>2850</v>
      </c>
      <c r="I7687" s="6">
        <v>1162.4344827121247</v>
      </c>
      <c r="J7687" s="5">
        <v>8800</v>
      </c>
      <c r="K7687" s="6">
        <f t="shared" si="315"/>
        <v>2.4517510813603409</v>
      </c>
    </row>
    <row r="7688" spans="1:11" hidden="1">
      <c r="A7688" s="4">
        <v>2026</v>
      </c>
      <c r="B7688">
        <v>19</v>
      </c>
      <c r="C7688" t="s">
        <v>54</v>
      </c>
      <c r="D7688" t="s">
        <v>11</v>
      </c>
      <c r="E7688" t="s">
        <v>14</v>
      </c>
      <c r="F7688" t="s">
        <v>70</v>
      </c>
      <c r="G7688" t="str">
        <f t="shared" si="314"/>
        <v>004COTOPAXI</v>
      </c>
      <c r="H7688" s="5">
        <v>990</v>
      </c>
      <c r="I7688" s="6">
        <v>528.39150244191671</v>
      </c>
      <c r="J7688" s="5">
        <v>4000</v>
      </c>
      <c r="K7688" s="6">
        <f t="shared" si="315"/>
        <v>1.8736107515446381</v>
      </c>
    </row>
    <row r="7689" spans="1:11" hidden="1">
      <c r="A7689" s="4">
        <v>2026</v>
      </c>
      <c r="B7689">
        <v>19</v>
      </c>
      <c r="C7689" t="s">
        <v>54</v>
      </c>
      <c r="D7689" t="s">
        <v>11</v>
      </c>
      <c r="E7689" t="s">
        <v>14</v>
      </c>
      <c r="F7689" t="s">
        <v>67</v>
      </c>
      <c r="G7689" t="str">
        <f t="shared" si="314"/>
        <v>004DEEP PURPLE</v>
      </c>
      <c r="H7689" s="5">
        <v>10380</v>
      </c>
      <c r="I7689" s="6">
        <v>3910.1071427007341</v>
      </c>
      <c r="J7689" s="5">
        <v>29260</v>
      </c>
      <c r="K7689" s="6">
        <f t="shared" si="315"/>
        <v>2.6546587142444573</v>
      </c>
    </row>
    <row r="7690" spans="1:11" hidden="1">
      <c r="A7690" s="4">
        <v>2026</v>
      </c>
      <c r="B7690">
        <v>19</v>
      </c>
      <c r="C7690" t="s">
        <v>54</v>
      </c>
      <c r="D7690" t="s">
        <v>11</v>
      </c>
      <c r="E7690" t="s">
        <v>14</v>
      </c>
      <c r="F7690" t="s">
        <v>71</v>
      </c>
      <c r="G7690" t="str">
        <f t="shared" si="314"/>
        <v>004HOT EXPLORER</v>
      </c>
      <c r="H7690" s="5">
        <v>4625</v>
      </c>
      <c r="I7690" s="6">
        <v>1902.2142856381947</v>
      </c>
      <c r="J7690" s="5">
        <v>14400</v>
      </c>
      <c r="K7690" s="6">
        <f t="shared" si="315"/>
        <v>2.4313769667902099</v>
      </c>
    </row>
    <row r="7691" spans="1:11" hidden="1">
      <c r="A7691" s="4">
        <v>2026</v>
      </c>
      <c r="B7691">
        <v>19</v>
      </c>
      <c r="C7691" t="s">
        <v>54</v>
      </c>
      <c r="D7691" t="s">
        <v>11</v>
      </c>
      <c r="E7691" t="s">
        <v>14</v>
      </c>
      <c r="F7691" t="s">
        <v>72</v>
      </c>
      <c r="G7691" t="str">
        <f t="shared" si="314"/>
        <v>004HOT MERENGUE</v>
      </c>
      <c r="H7691" s="5">
        <v>2670</v>
      </c>
      <c r="I7691" s="6">
        <v>1162.4642856677858</v>
      </c>
      <c r="J7691" s="5">
        <v>8800</v>
      </c>
      <c r="K7691" s="6">
        <f t="shared" si="315"/>
        <v>2.2968447572272721</v>
      </c>
    </row>
    <row r="7692" spans="1:11" hidden="1">
      <c r="A7692" s="4">
        <v>2026</v>
      </c>
      <c r="B7692">
        <v>19</v>
      </c>
      <c r="C7692" t="s">
        <v>54</v>
      </c>
      <c r="D7692" t="s">
        <v>11</v>
      </c>
      <c r="E7692" t="s">
        <v>14</v>
      </c>
      <c r="F7692" t="s">
        <v>64</v>
      </c>
      <c r="G7692" t="str">
        <f t="shared" si="314"/>
        <v>004SWEETNESS</v>
      </c>
      <c r="H7692" s="5">
        <v>750</v>
      </c>
      <c r="I7692" s="6">
        <v>317.03571427303262</v>
      </c>
      <c r="J7692" s="5">
        <v>2400</v>
      </c>
      <c r="K7692" s="6">
        <f t="shared" si="315"/>
        <v>2.3656640757958787</v>
      </c>
    </row>
    <row r="7693" spans="1:11" hidden="1">
      <c r="A7693" s="4">
        <v>2026</v>
      </c>
      <c r="B7693">
        <v>19</v>
      </c>
      <c r="C7693" t="s">
        <v>54</v>
      </c>
      <c r="D7693" t="s">
        <v>11</v>
      </c>
      <c r="E7693" t="s">
        <v>16</v>
      </c>
      <c r="F7693" t="s">
        <v>57</v>
      </c>
      <c r="G7693" t="str">
        <f t="shared" si="314"/>
        <v>005EXPLORER</v>
      </c>
      <c r="H7693" s="5">
        <v>2375</v>
      </c>
      <c r="I7693" s="6">
        <v>951.10714281875414</v>
      </c>
      <c r="J7693" s="5">
        <v>7200</v>
      </c>
      <c r="K7693" s="6">
        <f t="shared" si="315"/>
        <v>2.4970898577854412</v>
      </c>
    </row>
    <row r="7694" spans="1:11" hidden="1">
      <c r="A7694" s="4">
        <v>2026</v>
      </c>
      <c r="B7694">
        <v>19</v>
      </c>
      <c r="C7694" t="s">
        <v>54</v>
      </c>
      <c r="D7694" t="s">
        <v>11</v>
      </c>
      <c r="E7694" t="s">
        <v>16</v>
      </c>
      <c r="F7694" t="s">
        <v>73</v>
      </c>
      <c r="G7694" t="str">
        <f t="shared" si="314"/>
        <v>005GOLDFINCH</v>
      </c>
      <c r="H7694" s="5">
        <v>1075</v>
      </c>
      <c r="I7694" s="6">
        <v>898.26785710660113</v>
      </c>
      <c r="J7694" s="5">
        <v>6800</v>
      </c>
      <c r="K7694" s="6">
        <f t="shared" si="315"/>
        <v>1.1967477089324652</v>
      </c>
    </row>
    <row r="7695" spans="1:11" hidden="1">
      <c r="A7695" s="4">
        <v>2026</v>
      </c>
      <c r="B7695">
        <v>19</v>
      </c>
      <c r="C7695" t="s">
        <v>54</v>
      </c>
      <c r="D7695" t="s">
        <v>11</v>
      </c>
      <c r="E7695" t="s">
        <v>16</v>
      </c>
      <c r="F7695" t="s">
        <v>68</v>
      </c>
      <c r="G7695" t="str">
        <f t="shared" si="314"/>
        <v>005JOCKER</v>
      </c>
      <c r="H7695" s="5">
        <v>2425</v>
      </c>
      <c r="I7695" s="6">
        <v>1162.4642856673661</v>
      </c>
      <c r="J7695" s="5">
        <v>8800</v>
      </c>
      <c r="K7695" s="6">
        <f t="shared" si="315"/>
        <v>2.0860855941116654</v>
      </c>
    </row>
    <row r="7696" spans="1:11" hidden="1">
      <c r="A7696" s="4">
        <v>2026</v>
      </c>
      <c r="B7696">
        <v>19</v>
      </c>
      <c r="C7696" t="s">
        <v>54</v>
      </c>
      <c r="D7696" t="s">
        <v>11</v>
      </c>
      <c r="E7696" t="s">
        <v>16</v>
      </c>
      <c r="F7696" t="s">
        <v>74</v>
      </c>
      <c r="G7696" t="str">
        <f t="shared" si="314"/>
        <v>005VENDELA</v>
      </c>
      <c r="H7696" s="5">
        <v>1830</v>
      </c>
      <c r="I7696" s="6">
        <v>686.91071425798907</v>
      </c>
      <c r="J7696" s="5">
        <v>5200</v>
      </c>
      <c r="K7696" s="6">
        <f t="shared" si="315"/>
        <v>2.6641016976664758</v>
      </c>
    </row>
    <row r="7697" spans="1:11" hidden="1">
      <c r="A7697" s="4">
        <v>2026</v>
      </c>
      <c r="B7697">
        <v>19</v>
      </c>
      <c r="C7697" t="s">
        <v>54</v>
      </c>
      <c r="D7697" t="s">
        <v>11</v>
      </c>
      <c r="E7697" t="s">
        <v>75</v>
      </c>
      <c r="F7697" t="s">
        <v>76</v>
      </c>
      <c r="G7697" t="str">
        <f t="shared" ref="G7697:G7759" si="316">+E7697&amp;F7697</f>
        <v>006ATOMIC</v>
      </c>
      <c r="H7697" s="5">
        <v>1475</v>
      </c>
      <c r="I7697" s="6">
        <v>845.428571394752</v>
      </c>
      <c r="J7697" s="5">
        <v>6400</v>
      </c>
      <c r="K7697" s="6">
        <f t="shared" si="315"/>
        <v>1.7446772558994641</v>
      </c>
    </row>
    <row r="7698" spans="1:11" hidden="1">
      <c r="A7698" s="4">
        <v>2026</v>
      </c>
      <c r="B7698">
        <v>19</v>
      </c>
      <c r="C7698" t="s">
        <v>54</v>
      </c>
      <c r="D7698" t="s">
        <v>11</v>
      </c>
      <c r="E7698" t="s">
        <v>75</v>
      </c>
      <c r="F7698" t="s">
        <v>57</v>
      </c>
      <c r="G7698" t="str">
        <f t="shared" si="316"/>
        <v>006EXPLORER</v>
      </c>
      <c r="H7698" s="5">
        <v>9925</v>
      </c>
      <c r="I7698" s="6">
        <v>3910.1071427007359</v>
      </c>
      <c r="J7698" s="5">
        <v>29600</v>
      </c>
      <c r="K7698" s="6">
        <f t="shared" si="315"/>
        <v>2.5382936164620644</v>
      </c>
    </row>
    <row r="7699" spans="1:11" hidden="1">
      <c r="A7699" s="4">
        <v>2026</v>
      </c>
      <c r="B7699">
        <v>19</v>
      </c>
      <c r="C7699" t="s">
        <v>54</v>
      </c>
      <c r="D7699" t="s">
        <v>11</v>
      </c>
      <c r="E7699" t="s">
        <v>75</v>
      </c>
      <c r="F7699" t="s">
        <v>77</v>
      </c>
      <c r="G7699" t="str">
        <f t="shared" si="316"/>
        <v>006MONDIAL</v>
      </c>
      <c r="H7699" s="5">
        <v>8675</v>
      </c>
      <c r="I7699" s="6">
        <v>4015.7857141250797</v>
      </c>
      <c r="J7699" s="5">
        <v>30400</v>
      </c>
      <c r="K7699" s="6">
        <f t="shared" si="315"/>
        <v>2.1602248271083422</v>
      </c>
    </row>
    <row r="7700" spans="1:11" hidden="1">
      <c r="A7700" s="4">
        <v>2026</v>
      </c>
      <c r="B7700">
        <v>19</v>
      </c>
      <c r="C7700" t="s">
        <v>54</v>
      </c>
      <c r="D7700" t="s">
        <v>11</v>
      </c>
      <c r="E7700" t="s">
        <v>20</v>
      </c>
      <c r="F7700" t="s">
        <v>70</v>
      </c>
      <c r="G7700" t="str">
        <f t="shared" si="316"/>
        <v>007COTOPAXI</v>
      </c>
      <c r="H7700" s="5">
        <v>6720</v>
      </c>
      <c r="I7700" s="6">
        <v>2747.5751230427732</v>
      </c>
      <c r="J7700" s="5">
        <v>20800</v>
      </c>
      <c r="K7700" s="6">
        <f t="shared" si="315"/>
        <v>2.4457929989401004</v>
      </c>
    </row>
    <row r="7701" spans="1:11" hidden="1">
      <c r="A7701" s="4">
        <v>2026</v>
      </c>
      <c r="B7701">
        <v>19</v>
      </c>
      <c r="C7701" t="s">
        <v>54</v>
      </c>
      <c r="D7701" t="s">
        <v>11</v>
      </c>
      <c r="E7701" t="s">
        <v>20</v>
      </c>
      <c r="F7701" t="s">
        <v>78</v>
      </c>
      <c r="G7701" t="str">
        <f t="shared" si="316"/>
        <v>007REDIANT</v>
      </c>
      <c r="H7701" s="5">
        <v>1920</v>
      </c>
      <c r="I7701" s="6">
        <v>1056.7586206473795</v>
      </c>
      <c r="J7701" s="5">
        <v>9600</v>
      </c>
      <c r="K7701" s="6">
        <f t="shared" si="315"/>
        <v>1.8168765908186217</v>
      </c>
    </row>
    <row r="7702" spans="1:11" hidden="1">
      <c r="A7702" s="4">
        <v>2026</v>
      </c>
      <c r="B7702">
        <v>19</v>
      </c>
      <c r="C7702" t="s">
        <v>54</v>
      </c>
      <c r="D7702" t="s">
        <v>11</v>
      </c>
      <c r="E7702" t="s">
        <v>20</v>
      </c>
      <c r="F7702" t="s">
        <v>63</v>
      </c>
      <c r="G7702" t="str">
        <f t="shared" si="316"/>
        <v>007SUMMER ROMANCE</v>
      </c>
      <c r="H7702" s="5">
        <v>1000</v>
      </c>
      <c r="I7702" s="6">
        <v>369.86551722658481</v>
      </c>
      <c r="J7702" s="5">
        <v>3080</v>
      </c>
      <c r="K7702" s="6">
        <f t="shared" si="315"/>
        <v>2.7036854030038868</v>
      </c>
    </row>
    <row r="7703" spans="1:11" hidden="1">
      <c r="A7703" s="4">
        <v>2026</v>
      </c>
      <c r="B7703">
        <v>19</v>
      </c>
      <c r="C7703" t="s">
        <v>54</v>
      </c>
      <c r="D7703" t="s">
        <v>11</v>
      </c>
      <c r="E7703" t="s">
        <v>20</v>
      </c>
      <c r="F7703" t="s">
        <v>74</v>
      </c>
      <c r="G7703" t="str">
        <f t="shared" si="316"/>
        <v>007VENDELA</v>
      </c>
      <c r="H7703" s="5">
        <v>12810</v>
      </c>
      <c r="I7703" s="6">
        <v>3592.9793102011167</v>
      </c>
      <c r="J7703" s="5">
        <v>27820</v>
      </c>
      <c r="K7703" s="6">
        <f t="shared" si="315"/>
        <v>3.5652863248140889</v>
      </c>
    </row>
    <row r="7704" spans="1:11" hidden="1">
      <c r="A7704" s="4">
        <v>2026</v>
      </c>
      <c r="B7704">
        <v>19</v>
      </c>
      <c r="C7704" t="s">
        <v>54</v>
      </c>
      <c r="D7704" t="s">
        <v>11</v>
      </c>
      <c r="E7704" t="s">
        <v>79</v>
      </c>
      <c r="F7704" t="s">
        <v>67</v>
      </c>
      <c r="G7704" t="str">
        <f t="shared" si="316"/>
        <v>008DEEP PURPLE</v>
      </c>
      <c r="H7704" s="5">
        <v>4470</v>
      </c>
      <c r="I7704" s="6">
        <v>1585.2222221588088</v>
      </c>
      <c r="J7704" s="5">
        <v>11490</v>
      </c>
      <c r="K7704" s="6">
        <f t="shared" si="315"/>
        <v>2.819793930161163</v>
      </c>
    </row>
    <row r="7705" spans="1:11" hidden="1">
      <c r="A7705" s="4">
        <v>2026</v>
      </c>
      <c r="B7705">
        <v>19</v>
      </c>
      <c r="C7705" t="s">
        <v>54</v>
      </c>
      <c r="D7705" t="s">
        <v>11</v>
      </c>
      <c r="E7705" t="s">
        <v>79</v>
      </c>
      <c r="F7705" t="s">
        <v>81</v>
      </c>
      <c r="G7705" t="str">
        <f t="shared" si="316"/>
        <v>008FREEDOM</v>
      </c>
      <c r="H7705" s="5">
        <v>4950</v>
      </c>
      <c r="I7705" s="6">
        <v>2219.3111110223322</v>
      </c>
      <c r="J7705" s="5">
        <v>16800</v>
      </c>
      <c r="K7705" s="6">
        <f t="shared" si="315"/>
        <v>2.2304218527161646</v>
      </c>
    </row>
    <row r="7706" spans="1:11" hidden="1">
      <c r="A7706" s="4">
        <v>2026</v>
      </c>
      <c r="B7706">
        <v>19</v>
      </c>
      <c r="C7706" t="s">
        <v>54</v>
      </c>
      <c r="D7706" t="s">
        <v>11</v>
      </c>
      <c r="E7706" t="s">
        <v>79</v>
      </c>
      <c r="F7706" t="s">
        <v>68</v>
      </c>
      <c r="G7706" t="str">
        <f t="shared" si="316"/>
        <v>008JOCKER</v>
      </c>
      <c r="H7706" s="5">
        <v>8200</v>
      </c>
      <c r="I7706" s="6">
        <v>2959.0814813631118</v>
      </c>
      <c r="J7706" s="5">
        <v>22400</v>
      </c>
      <c r="K7706" s="6">
        <f t="shared" si="315"/>
        <v>2.7711301806473538</v>
      </c>
    </row>
    <row r="7707" spans="1:11" hidden="1">
      <c r="A7707" s="4">
        <v>2026</v>
      </c>
      <c r="B7707">
        <v>19</v>
      </c>
      <c r="C7707" t="s">
        <v>54</v>
      </c>
      <c r="D7707" t="s">
        <v>11</v>
      </c>
      <c r="E7707" t="s">
        <v>79</v>
      </c>
      <c r="F7707" t="s">
        <v>61</v>
      </c>
      <c r="G7707" t="str">
        <f t="shared" si="316"/>
        <v>008LUMIA</v>
      </c>
      <c r="H7707" s="5">
        <v>2190</v>
      </c>
      <c r="I7707" s="6">
        <v>1796.5851851133164</v>
      </c>
      <c r="J7707" s="5">
        <v>13600</v>
      </c>
      <c r="K7707" s="6">
        <f t="shared" si="315"/>
        <v>1.2189792157625243</v>
      </c>
    </row>
    <row r="7708" spans="1:11" hidden="1">
      <c r="A7708" s="4">
        <v>2026</v>
      </c>
      <c r="B7708">
        <v>19</v>
      </c>
      <c r="C7708" t="s">
        <v>54</v>
      </c>
      <c r="D7708" t="s">
        <v>11</v>
      </c>
      <c r="E7708" t="s">
        <v>82</v>
      </c>
      <c r="F7708" t="s">
        <v>83</v>
      </c>
      <c r="G7708" t="str">
        <f t="shared" si="316"/>
        <v>010COOLDOWN</v>
      </c>
      <c r="H7708" s="5">
        <v>4175</v>
      </c>
      <c r="I7708" s="6">
        <v>1912.3542857142854</v>
      </c>
      <c r="J7708" s="5">
        <v>16320</v>
      </c>
      <c r="K7708" s="6">
        <f t="shared" si="315"/>
        <v>2.1831728729285071</v>
      </c>
    </row>
    <row r="7709" spans="1:11" hidden="1">
      <c r="A7709" s="4">
        <v>2026</v>
      </c>
      <c r="B7709">
        <v>19</v>
      </c>
      <c r="C7709" t="s">
        <v>54</v>
      </c>
      <c r="D7709" t="s">
        <v>11</v>
      </c>
      <c r="E7709" t="s">
        <v>82</v>
      </c>
      <c r="F7709" t="s">
        <v>84</v>
      </c>
      <c r="G7709" t="str">
        <f t="shared" si="316"/>
        <v>010VIOLET HILL</v>
      </c>
      <c r="H7709" s="5">
        <v>5880</v>
      </c>
      <c r="I7709" s="6">
        <v>2812.2857142428566</v>
      </c>
      <c r="J7709" s="5">
        <v>20000</v>
      </c>
      <c r="K7709" s="6">
        <f t="shared" si="315"/>
        <v>2.0908259677246397</v>
      </c>
    </row>
    <row r="7710" spans="1:11" hidden="1">
      <c r="A7710" s="4">
        <v>2026</v>
      </c>
      <c r="B7710">
        <v>19</v>
      </c>
      <c r="C7710" t="s">
        <v>54</v>
      </c>
      <c r="D7710" t="s">
        <v>11</v>
      </c>
      <c r="E7710" t="s">
        <v>85</v>
      </c>
      <c r="F7710" t="s">
        <v>86</v>
      </c>
      <c r="G7710" t="str">
        <f t="shared" si="316"/>
        <v>011BRIGHTON</v>
      </c>
      <c r="H7710" s="5">
        <v>4600</v>
      </c>
      <c r="I7710" s="6">
        <v>1768.8376470588212</v>
      </c>
      <c r="J7710" s="5">
        <v>12800</v>
      </c>
      <c r="K7710" s="6">
        <f t="shared" si="315"/>
        <v>2.6005778470674028</v>
      </c>
    </row>
    <row r="7711" spans="1:11" hidden="1">
      <c r="A7711" s="4">
        <v>2026</v>
      </c>
      <c r="B7711">
        <v>19</v>
      </c>
      <c r="C7711" t="s">
        <v>54</v>
      </c>
      <c r="D7711" t="s">
        <v>11</v>
      </c>
      <c r="E7711" t="s">
        <v>85</v>
      </c>
      <c r="F7711" t="s">
        <v>87</v>
      </c>
      <c r="G7711" t="str">
        <f t="shared" si="316"/>
        <v>011CANDLELIGHT</v>
      </c>
      <c r="H7711" s="5">
        <v>4220</v>
      </c>
      <c r="I7711" s="6">
        <v>2263.799999886814</v>
      </c>
      <c r="J7711" s="5">
        <v>17920</v>
      </c>
      <c r="K7711" s="6">
        <f t="shared" si="315"/>
        <v>1.8641222723787403</v>
      </c>
    </row>
    <row r="7712" spans="1:11" hidden="1">
      <c r="A7712" s="4">
        <v>2026</v>
      </c>
      <c r="B7712">
        <v>19</v>
      </c>
      <c r="C7712" t="s">
        <v>54</v>
      </c>
      <c r="D7712" t="s">
        <v>11</v>
      </c>
      <c r="E7712" t="s">
        <v>85</v>
      </c>
      <c r="F7712" t="s">
        <v>88</v>
      </c>
      <c r="G7712" t="str">
        <f t="shared" si="316"/>
        <v>011CAYENNE</v>
      </c>
      <c r="H7712" s="5">
        <v>1260</v>
      </c>
      <c r="I7712" s="6">
        <v>994.97117647058758</v>
      </c>
      <c r="J7712" s="5">
        <v>7200</v>
      </c>
      <c r="K7712" s="6">
        <f t="shared" si="315"/>
        <v>1.2663683429197781</v>
      </c>
    </row>
    <row r="7713" spans="1:11" hidden="1">
      <c r="A7713" s="4">
        <v>2026</v>
      </c>
      <c r="B7713">
        <v>19</v>
      </c>
      <c r="C7713" t="s">
        <v>54</v>
      </c>
      <c r="D7713" t="s">
        <v>11</v>
      </c>
      <c r="E7713" t="s">
        <v>85</v>
      </c>
      <c r="F7713" t="s">
        <v>61</v>
      </c>
      <c r="G7713" t="str">
        <f t="shared" si="316"/>
        <v>011LUMIA</v>
      </c>
      <c r="H7713" s="5">
        <v>1500</v>
      </c>
      <c r="I7713" s="6">
        <v>994.97117647058769</v>
      </c>
      <c r="J7713" s="5">
        <v>7920</v>
      </c>
      <c r="K7713" s="6">
        <f t="shared" si="315"/>
        <v>1.5075813606187831</v>
      </c>
    </row>
    <row r="7714" spans="1:11" hidden="1">
      <c r="A7714" s="4">
        <v>2026</v>
      </c>
      <c r="B7714">
        <v>19</v>
      </c>
      <c r="C7714" t="s">
        <v>54</v>
      </c>
      <c r="D7714" t="s">
        <v>11</v>
      </c>
      <c r="E7714" t="s">
        <v>85</v>
      </c>
      <c r="F7714" t="s">
        <v>89</v>
      </c>
      <c r="G7714" t="str">
        <f t="shared" si="316"/>
        <v>011STARDUST</v>
      </c>
      <c r="H7714" s="5">
        <v>3975</v>
      </c>
      <c r="I7714" s="6">
        <v>2263.799999886814</v>
      </c>
      <c r="J7714" s="5">
        <v>17920</v>
      </c>
      <c r="K7714" s="6">
        <f t="shared" si="315"/>
        <v>1.7558971641482211</v>
      </c>
    </row>
    <row r="7715" spans="1:11" hidden="1">
      <c r="A7715" s="4">
        <v>2026</v>
      </c>
      <c r="B7715">
        <v>19</v>
      </c>
      <c r="C7715" t="s">
        <v>54</v>
      </c>
      <c r="D7715" t="s">
        <v>11</v>
      </c>
      <c r="E7715" t="s">
        <v>90</v>
      </c>
      <c r="F7715" t="s">
        <v>67</v>
      </c>
      <c r="G7715" t="str">
        <f t="shared" si="316"/>
        <v>012DEEP PURPLE</v>
      </c>
      <c r="H7715" s="5">
        <v>20610</v>
      </c>
      <c r="I7715" s="6">
        <v>6727.0499997982606</v>
      </c>
      <c r="J7715" s="5">
        <v>49210</v>
      </c>
      <c r="K7715" s="6">
        <f t="shared" si="315"/>
        <v>3.0637500837095129</v>
      </c>
    </row>
    <row r="7716" spans="1:11" hidden="1">
      <c r="A7716" s="4">
        <v>2026</v>
      </c>
      <c r="B7716">
        <v>19</v>
      </c>
      <c r="C7716" t="s">
        <v>54</v>
      </c>
      <c r="D7716" t="s">
        <v>11</v>
      </c>
      <c r="E7716" t="s">
        <v>90</v>
      </c>
      <c r="F7716" t="s">
        <v>60</v>
      </c>
      <c r="G7716" t="str">
        <f t="shared" si="316"/>
        <v>012LIGHT HOUSE</v>
      </c>
      <c r="H7716" s="5">
        <v>1890</v>
      </c>
      <c r="I7716" s="6">
        <v>994.9499999999997</v>
      </c>
      <c r="J7716" s="5">
        <v>7200</v>
      </c>
      <c r="K7716" s="6">
        <f t="shared" si="315"/>
        <v>1.8995929443690642</v>
      </c>
    </row>
    <row r="7717" spans="1:11" hidden="1">
      <c r="A7717" s="4">
        <v>2026</v>
      </c>
      <c r="B7717">
        <v>19</v>
      </c>
      <c r="C7717" t="s">
        <v>54</v>
      </c>
      <c r="D7717" t="s">
        <v>11</v>
      </c>
      <c r="E7717" t="s">
        <v>91</v>
      </c>
      <c r="F7717" t="s">
        <v>92</v>
      </c>
      <c r="G7717" t="str">
        <f t="shared" si="316"/>
        <v>013COUNTRY BLUES</v>
      </c>
      <c r="H7717" s="5">
        <v>980</v>
      </c>
      <c r="I7717" s="6">
        <v>831.60000000000025</v>
      </c>
      <c r="J7717" s="5">
        <v>6300</v>
      </c>
      <c r="K7717" s="6">
        <f t="shared" si="315"/>
        <v>1.1784511784511782</v>
      </c>
    </row>
    <row r="7718" spans="1:11" hidden="1">
      <c r="A7718" s="4">
        <v>2026</v>
      </c>
      <c r="B7718">
        <v>19</v>
      </c>
      <c r="C7718" t="s">
        <v>54</v>
      </c>
      <c r="D7718" t="s">
        <v>11</v>
      </c>
      <c r="E7718" t="s">
        <v>91</v>
      </c>
      <c r="F7718" t="s">
        <v>93</v>
      </c>
      <c r="G7718" t="str">
        <f t="shared" si="316"/>
        <v>013LORRAINE</v>
      </c>
      <c r="H7718" s="5">
        <v>2825</v>
      </c>
      <c r="I7718" s="6">
        <v>1267.1999999999998</v>
      </c>
      <c r="J7718" s="5">
        <v>9600</v>
      </c>
      <c r="K7718" s="6">
        <f t="shared" si="315"/>
        <v>2.2293244949494953</v>
      </c>
    </row>
    <row r="7719" spans="1:11" hidden="1">
      <c r="A7719" s="4">
        <v>2026</v>
      </c>
      <c r="B7719">
        <v>19</v>
      </c>
      <c r="C7719" t="s">
        <v>54</v>
      </c>
      <c r="D7719" t="s">
        <v>11</v>
      </c>
      <c r="E7719" t="s">
        <v>91</v>
      </c>
      <c r="F7719" t="s">
        <v>61</v>
      </c>
      <c r="G7719" t="str">
        <f t="shared" si="316"/>
        <v>013LUMIA</v>
      </c>
      <c r="H7719" s="5">
        <v>690</v>
      </c>
      <c r="I7719" s="6">
        <v>316.8</v>
      </c>
      <c r="J7719" s="5">
        <v>2400</v>
      </c>
      <c r="K7719" s="6">
        <f t="shared" si="315"/>
        <v>2.1780303030303028</v>
      </c>
    </row>
    <row r="7720" spans="1:11" hidden="1">
      <c r="A7720" s="4">
        <v>2026</v>
      </c>
      <c r="B7720">
        <v>19</v>
      </c>
      <c r="C7720" t="s">
        <v>54</v>
      </c>
      <c r="D7720" t="s">
        <v>11</v>
      </c>
      <c r="E7720" t="s">
        <v>91</v>
      </c>
      <c r="F7720" t="s">
        <v>74</v>
      </c>
      <c r="G7720" t="str">
        <f t="shared" si="316"/>
        <v>013VENDELA</v>
      </c>
      <c r="H7720" s="5">
        <v>10740</v>
      </c>
      <c r="I7720" s="6">
        <v>3603.5999999999949</v>
      </c>
      <c r="J7720" s="5">
        <v>27296</v>
      </c>
      <c r="K7720" s="6">
        <f t="shared" si="315"/>
        <v>2.9803529803529845</v>
      </c>
    </row>
    <row r="7721" spans="1:11" hidden="1">
      <c r="A7721" s="4">
        <v>2026</v>
      </c>
      <c r="B7721">
        <v>19</v>
      </c>
      <c r="C7721" t="s">
        <v>54</v>
      </c>
      <c r="D7721" t="s">
        <v>11</v>
      </c>
      <c r="E7721" t="s">
        <v>23</v>
      </c>
      <c r="F7721" t="s">
        <v>89</v>
      </c>
      <c r="G7721" t="str">
        <f t="shared" si="316"/>
        <v>014STARDUST</v>
      </c>
      <c r="H7721" s="5">
        <v>6525</v>
      </c>
      <c r="I7721" s="6">
        <v>3682.7999999999943</v>
      </c>
      <c r="J7721" s="5">
        <v>27900</v>
      </c>
      <c r="K7721" s="6">
        <f t="shared" si="315"/>
        <v>1.7717497556207262</v>
      </c>
    </row>
    <row r="7722" spans="1:11" hidden="1">
      <c r="A7722" s="4">
        <v>2026</v>
      </c>
      <c r="B7722">
        <v>19</v>
      </c>
      <c r="C7722" t="s">
        <v>54</v>
      </c>
      <c r="D7722" t="s">
        <v>11</v>
      </c>
      <c r="E7722" t="s">
        <v>25</v>
      </c>
      <c r="F7722" t="s">
        <v>68</v>
      </c>
      <c r="G7722" t="str">
        <f t="shared" si="316"/>
        <v>015JOCKER</v>
      </c>
      <c r="H7722" s="5">
        <v>4775</v>
      </c>
      <c r="I7722" s="6">
        <v>2375.9999999999973</v>
      </c>
      <c r="J7722" s="5">
        <v>18000</v>
      </c>
      <c r="K7722" s="6">
        <f t="shared" si="315"/>
        <v>2.0096801346801372</v>
      </c>
    </row>
    <row r="7723" spans="1:11" hidden="1">
      <c r="A7723" s="4">
        <v>2026</v>
      </c>
      <c r="B7723">
        <v>19</v>
      </c>
      <c r="C7723" t="s">
        <v>54</v>
      </c>
      <c r="D7723" t="s">
        <v>11</v>
      </c>
      <c r="E7723" t="s">
        <v>27</v>
      </c>
      <c r="F7723" t="s">
        <v>94</v>
      </c>
      <c r="G7723" t="str">
        <f t="shared" si="316"/>
        <v>016DREAM IN PEACH</v>
      </c>
      <c r="H7723" s="5">
        <v>1890</v>
      </c>
      <c r="I7723" s="6">
        <v>950.40000000000032</v>
      </c>
      <c r="J7723" s="5">
        <v>7200</v>
      </c>
      <c r="K7723" s="6">
        <f t="shared" si="315"/>
        <v>1.9886363636363629</v>
      </c>
    </row>
    <row r="7724" spans="1:11" hidden="1">
      <c r="A7724" s="4">
        <v>2026</v>
      </c>
      <c r="B7724">
        <v>19</v>
      </c>
      <c r="C7724" t="s">
        <v>54</v>
      </c>
      <c r="D7724" t="s">
        <v>11</v>
      </c>
      <c r="E7724" t="s">
        <v>27</v>
      </c>
      <c r="F7724" t="s">
        <v>95</v>
      </c>
      <c r="G7724" t="str">
        <f t="shared" si="316"/>
        <v>016NINA</v>
      </c>
      <c r="H7724" s="5">
        <v>3100</v>
      </c>
      <c r="I7724" s="6">
        <v>1346.3999999999996</v>
      </c>
      <c r="J7724" s="5">
        <v>10200</v>
      </c>
      <c r="K7724" s="6">
        <f t="shared" si="315"/>
        <v>2.3024361259655381</v>
      </c>
    </row>
    <row r="7725" spans="1:11" hidden="1">
      <c r="A7725" s="4">
        <v>2026</v>
      </c>
      <c r="B7725">
        <v>19</v>
      </c>
      <c r="C7725" t="s">
        <v>54</v>
      </c>
      <c r="D7725" t="s">
        <v>11</v>
      </c>
      <c r="E7725" t="s">
        <v>30</v>
      </c>
      <c r="F7725" t="s">
        <v>81</v>
      </c>
      <c r="G7725" t="str">
        <f t="shared" si="316"/>
        <v>017FREEDOM</v>
      </c>
      <c r="H7725" s="5">
        <v>5460</v>
      </c>
      <c r="I7725" s="6">
        <v>2851.1999999999962</v>
      </c>
      <c r="J7725" s="5">
        <v>21600</v>
      </c>
      <c r="K7725" s="6">
        <f t="shared" si="315"/>
        <v>1.9149831649831675</v>
      </c>
    </row>
    <row r="7726" spans="1:11" hidden="1">
      <c r="A7726" s="4">
        <v>2026</v>
      </c>
      <c r="B7726">
        <v>19</v>
      </c>
      <c r="C7726" t="s">
        <v>54</v>
      </c>
      <c r="D7726" t="s">
        <v>11</v>
      </c>
      <c r="E7726" t="s">
        <v>30</v>
      </c>
      <c r="F7726" t="s">
        <v>73</v>
      </c>
      <c r="G7726" t="str">
        <f t="shared" si="316"/>
        <v>017GOLDFINCH</v>
      </c>
      <c r="H7726" s="5">
        <v>3575</v>
      </c>
      <c r="I7726" s="6">
        <v>2138.3999999999978</v>
      </c>
      <c r="J7726" s="5">
        <v>16200</v>
      </c>
      <c r="K7726" s="6">
        <f t="shared" si="315"/>
        <v>1.6718106995884792</v>
      </c>
    </row>
    <row r="7727" spans="1:11" hidden="1">
      <c r="A7727" s="4">
        <v>2026</v>
      </c>
      <c r="B7727">
        <v>19</v>
      </c>
      <c r="C7727" t="s">
        <v>54</v>
      </c>
      <c r="D7727" t="s">
        <v>11</v>
      </c>
      <c r="E7727" t="s">
        <v>32</v>
      </c>
      <c r="F7727" t="s">
        <v>86</v>
      </c>
      <c r="G7727" t="str">
        <f t="shared" si="316"/>
        <v>018BRIGHTON</v>
      </c>
      <c r="H7727" s="5">
        <v>2250</v>
      </c>
      <c r="I7727" s="6">
        <v>963.60000000000036</v>
      </c>
      <c r="J7727" s="5">
        <v>7570</v>
      </c>
      <c r="K7727" s="6">
        <f t="shared" si="315"/>
        <v>2.3349937733499369</v>
      </c>
    </row>
    <row r="7728" spans="1:11" hidden="1">
      <c r="A7728" s="4">
        <v>2026</v>
      </c>
      <c r="B7728">
        <v>19</v>
      </c>
      <c r="C7728" t="s">
        <v>54</v>
      </c>
      <c r="D7728" t="s">
        <v>11</v>
      </c>
      <c r="E7728" t="s">
        <v>35</v>
      </c>
      <c r="F7728" t="s">
        <v>86</v>
      </c>
      <c r="G7728" t="str">
        <f t="shared" si="316"/>
        <v>019BRIGHTON</v>
      </c>
      <c r="H7728" s="5">
        <v>7025</v>
      </c>
      <c r="I7728" s="6">
        <v>3167.9999999999955</v>
      </c>
      <c r="J7728" s="5">
        <v>24000</v>
      </c>
      <c r="K7728" s="6">
        <f t="shared" si="315"/>
        <v>2.2174873737373768</v>
      </c>
    </row>
    <row r="7729" spans="1:11" hidden="1">
      <c r="A7729" s="4">
        <v>2026</v>
      </c>
      <c r="B7729">
        <v>19</v>
      </c>
      <c r="C7729" t="s">
        <v>54</v>
      </c>
      <c r="D7729" t="s">
        <v>11</v>
      </c>
      <c r="E7729" t="s">
        <v>35</v>
      </c>
      <c r="F7729" t="s">
        <v>96</v>
      </c>
      <c r="G7729" t="str">
        <f t="shared" si="316"/>
        <v>019TABATHA</v>
      </c>
      <c r="H7729" s="5">
        <v>3780</v>
      </c>
      <c r="I7729" s="6">
        <v>1188</v>
      </c>
      <c r="J7729" s="5">
        <v>9000</v>
      </c>
      <c r="K7729" s="6">
        <f t="shared" si="315"/>
        <v>3.1818181818181817</v>
      </c>
    </row>
    <row r="7730" spans="1:11" hidden="1">
      <c r="A7730" s="4">
        <v>2026</v>
      </c>
      <c r="B7730">
        <v>19</v>
      </c>
      <c r="C7730" t="s">
        <v>54</v>
      </c>
      <c r="D7730" t="s">
        <v>11</v>
      </c>
      <c r="E7730" t="s">
        <v>36</v>
      </c>
      <c r="F7730" t="s">
        <v>86</v>
      </c>
      <c r="G7730" t="str">
        <f t="shared" si="316"/>
        <v>020BRIGHTON</v>
      </c>
      <c r="H7730" s="5">
        <v>5825</v>
      </c>
      <c r="I7730" s="6">
        <v>2732.3999999999965</v>
      </c>
      <c r="J7730" s="5">
        <v>20700</v>
      </c>
      <c r="K7730" s="6">
        <f t="shared" si="315"/>
        <v>2.1318255013907215</v>
      </c>
    </row>
    <row r="7731" spans="1:11" hidden="1">
      <c r="A7731" s="4">
        <v>2026</v>
      </c>
      <c r="B7731">
        <v>19</v>
      </c>
      <c r="C7731" t="s">
        <v>54</v>
      </c>
      <c r="D7731" t="s">
        <v>11</v>
      </c>
      <c r="E7731" t="s">
        <v>36</v>
      </c>
      <c r="F7731" t="s">
        <v>97</v>
      </c>
      <c r="G7731" t="str">
        <f t="shared" si="316"/>
        <v>020TYCOON</v>
      </c>
      <c r="H7731" s="5">
        <v>1500</v>
      </c>
      <c r="I7731" s="6">
        <v>673.2</v>
      </c>
      <c r="J7731" s="5">
        <v>5100</v>
      </c>
      <c r="K7731" s="6">
        <f t="shared" si="315"/>
        <v>2.2281639928698751</v>
      </c>
    </row>
    <row r="7732" spans="1:11" hidden="1">
      <c r="A7732" s="4">
        <v>2026</v>
      </c>
      <c r="B7732">
        <v>19</v>
      </c>
      <c r="C7732" t="s">
        <v>54</v>
      </c>
      <c r="D7732" t="s">
        <v>11</v>
      </c>
      <c r="E7732" t="s">
        <v>38</v>
      </c>
      <c r="F7732" t="s">
        <v>98</v>
      </c>
      <c r="G7732" t="str">
        <f t="shared" si="316"/>
        <v>021SHOW GIRL</v>
      </c>
      <c r="H7732" s="5">
        <v>2250</v>
      </c>
      <c r="I7732" s="6">
        <v>1100.4749999999997</v>
      </c>
      <c r="J7732" s="5">
        <v>8000</v>
      </c>
      <c r="K7732" s="6">
        <f t="shared" si="315"/>
        <v>2.0445716622367618</v>
      </c>
    </row>
    <row r="7733" spans="1:11" hidden="1">
      <c r="A7733" s="4">
        <v>2026</v>
      </c>
      <c r="B7733">
        <v>19</v>
      </c>
      <c r="C7733" t="s">
        <v>54</v>
      </c>
      <c r="D7733" t="s">
        <v>11</v>
      </c>
      <c r="E7733" t="s">
        <v>43</v>
      </c>
      <c r="F7733" t="s">
        <v>99</v>
      </c>
      <c r="G7733" t="str">
        <f t="shared" si="316"/>
        <v>022CORAL REEF</v>
      </c>
      <c r="H7733" s="5">
        <v>3275</v>
      </c>
      <c r="I7733" s="6">
        <v>1287</v>
      </c>
      <c r="J7733" s="5">
        <v>9400</v>
      </c>
      <c r="K7733" s="6">
        <f t="shared" si="315"/>
        <v>2.5446775446775445</v>
      </c>
    </row>
    <row r="7734" spans="1:11" hidden="1">
      <c r="A7734" s="4">
        <v>2026</v>
      </c>
      <c r="B7734">
        <v>19</v>
      </c>
      <c r="C7734" t="s">
        <v>54</v>
      </c>
      <c r="D7734" t="s">
        <v>11</v>
      </c>
      <c r="E7734" t="s">
        <v>100</v>
      </c>
      <c r="F7734" t="s">
        <v>70</v>
      </c>
      <c r="G7734" t="str">
        <f t="shared" si="316"/>
        <v>023COTOPAXI</v>
      </c>
      <c r="H7734" s="5">
        <v>6300</v>
      </c>
      <c r="I7734" s="6">
        <v>2641.139999999999</v>
      </c>
      <c r="J7734" s="5">
        <v>19200</v>
      </c>
      <c r="K7734" s="6">
        <f t="shared" ref="K7734:K7796" si="317">+H7734/I7734</f>
        <v>2.3853336059428893</v>
      </c>
    </row>
    <row r="7735" spans="1:11" hidden="1">
      <c r="A7735" s="4">
        <v>2026</v>
      </c>
      <c r="B7735">
        <v>19</v>
      </c>
      <c r="C7735" t="s">
        <v>54</v>
      </c>
      <c r="D7735" t="s">
        <v>11</v>
      </c>
      <c r="E7735" t="s">
        <v>100</v>
      </c>
      <c r="F7735" t="s">
        <v>101</v>
      </c>
      <c r="G7735" t="str">
        <f t="shared" si="316"/>
        <v>023FRUTTETO</v>
      </c>
      <c r="H7735" s="5">
        <v>6750</v>
      </c>
      <c r="I7735" s="6">
        <v>2641.139999999999</v>
      </c>
      <c r="J7735" s="5">
        <v>19200</v>
      </c>
      <c r="K7735" s="6">
        <f t="shared" si="317"/>
        <v>2.5557145777959529</v>
      </c>
    </row>
    <row r="7736" spans="1:11" hidden="1">
      <c r="A7736" s="4">
        <v>2026</v>
      </c>
      <c r="B7736">
        <v>19</v>
      </c>
      <c r="C7736" t="s">
        <v>54</v>
      </c>
      <c r="D7736" t="s">
        <v>11</v>
      </c>
      <c r="E7736" t="s">
        <v>102</v>
      </c>
      <c r="F7736" t="s">
        <v>70</v>
      </c>
      <c r="G7736" t="str">
        <f t="shared" si="316"/>
        <v>024COTOPAXI</v>
      </c>
      <c r="H7736" s="5">
        <v>3030</v>
      </c>
      <c r="I7736" s="6">
        <v>1430.6174906249998</v>
      </c>
      <c r="J7736" s="5">
        <v>10400</v>
      </c>
      <c r="K7736" s="6">
        <f t="shared" si="317"/>
        <v>2.1179665562988967</v>
      </c>
    </row>
    <row r="7737" spans="1:11" hidden="1">
      <c r="A7737" s="4">
        <v>2026</v>
      </c>
      <c r="B7737">
        <v>19</v>
      </c>
      <c r="C7737" t="s">
        <v>54</v>
      </c>
      <c r="D7737" t="s">
        <v>11</v>
      </c>
      <c r="E7737" t="s">
        <v>102</v>
      </c>
      <c r="F7737" t="s">
        <v>64</v>
      </c>
      <c r="G7737" t="str">
        <f t="shared" si="316"/>
        <v>024SWEETNESS</v>
      </c>
      <c r="H7737" s="5">
        <v>2040</v>
      </c>
      <c r="I7737" s="6">
        <v>1430.6174999999998</v>
      </c>
      <c r="J7737" s="5">
        <v>10400</v>
      </c>
      <c r="K7737" s="6">
        <f t="shared" si="317"/>
        <v>1.4259576721241005</v>
      </c>
    </row>
    <row r="7738" spans="1:11" hidden="1">
      <c r="A7738" s="4">
        <v>2026</v>
      </c>
      <c r="B7738">
        <v>19</v>
      </c>
      <c r="C7738" t="s">
        <v>54</v>
      </c>
      <c r="D7738" t="s">
        <v>11</v>
      </c>
      <c r="E7738" t="s">
        <v>102</v>
      </c>
      <c r="F7738" t="s">
        <v>97</v>
      </c>
      <c r="G7738" t="str">
        <f t="shared" si="316"/>
        <v>024TYCOON</v>
      </c>
      <c r="H7738" s="5">
        <v>5580</v>
      </c>
      <c r="I7738" s="6">
        <v>2861.2349999999983</v>
      </c>
      <c r="J7738" s="5">
        <v>20800</v>
      </c>
      <c r="K7738" s="6">
        <f t="shared" si="317"/>
        <v>1.9502068162873736</v>
      </c>
    </row>
    <row r="7739" spans="1:11" hidden="1">
      <c r="A7739" s="4">
        <v>2026</v>
      </c>
      <c r="B7739">
        <v>19</v>
      </c>
      <c r="C7739" t="s">
        <v>54</v>
      </c>
      <c r="D7739" t="s">
        <v>11</v>
      </c>
      <c r="E7739" t="s">
        <v>103</v>
      </c>
      <c r="F7739" t="s">
        <v>104</v>
      </c>
      <c r="G7739" t="str">
        <f t="shared" si="316"/>
        <v>025PINK MONDIAL</v>
      </c>
      <c r="H7739" s="5">
        <v>5400</v>
      </c>
      <c r="I7739" s="6">
        <v>3071.9505624999983</v>
      </c>
      <c r="J7739" s="5">
        <v>22400</v>
      </c>
      <c r="K7739" s="6">
        <f t="shared" si="317"/>
        <v>1.7578407888196614</v>
      </c>
    </row>
    <row r="7740" spans="1:11" hidden="1">
      <c r="A7740" s="4">
        <v>2026</v>
      </c>
      <c r="B7740">
        <v>19</v>
      </c>
      <c r="C7740" t="s">
        <v>54</v>
      </c>
      <c r="D7740" t="s">
        <v>11</v>
      </c>
      <c r="E7740" t="s">
        <v>45</v>
      </c>
      <c r="F7740" t="s">
        <v>105</v>
      </c>
      <c r="G7740" t="str">
        <f t="shared" si="316"/>
        <v>026LOLA</v>
      </c>
      <c r="H7740" s="5">
        <v>3150</v>
      </c>
      <c r="I7740" s="6">
        <v>2852.5249999999992</v>
      </c>
      <c r="J7740" s="5">
        <v>20800</v>
      </c>
      <c r="K7740" s="6">
        <f t="shared" si="317"/>
        <v>1.1042848003084988</v>
      </c>
    </row>
    <row r="7741" spans="1:11" hidden="1">
      <c r="A7741" s="4">
        <v>2026</v>
      </c>
      <c r="B7741">
        <v>19</v>
      </c>
      <c r="C7741" t="s">
        <v>54</v>
      </c>
      <c r="D7741" t="s">
        <v>11</v>
      </c>
      <c r="E7741" t="s">
        <v>45</v>
      </c>
      <c r="F7741" t="s">
        <v>106</v>
      </c>
      <c r="G7741" t="str">
        <f t="shared" si="316"/>
        <v>026PALOMA</v>
      </c>
      <c r="H7741" s="5">
        <v>4200</v>
      </c>
      <c r="I7741" s="6">
        <v>2852.5249999999992</v>
      </c>
      <c r="J7741" s="5">
        <v>20800</v>
      </c>
      <c r="K7741" s="6">
        <f t="shared" si="317"/>
        <v>1.4723797337446651</v>
      </c>
    </row>
    <row r="7742" spans="1:11" hidden="1">
      <c r="A7742" s="4">
        <v>2026</v>
      </c>
      <c r="B7742">
        <v>19</v>
      </c>
      <c r="C7742" t="s">
        <v>54</v>
      </c>
      <c r="D7742" t="s">
        <v>11</v>
      </c>
      <c r="E7742" t="s">
        <v>107</v>
      </c>
      <c r="F7742" t="s">
        <v>108</v>
      </c>
      <c r="G7742" t="str">
        <f t="shared" si="316"/>
        <v>027SATISFACTION</v>
      </c>
      <c r="H7742" s="5">
        <v>6690</v>
      </c>
      <c r="I7742" s="6">
        <v>2633.0999999999995</v>
      </c>
      <c r="J7742" s="5">
        <v>19200</v>
      </c>
      <c r="K7742" s="6">
        <f t="shared" si="317"/>
        <v>2.5407314572177286</v>
      </c>
    </row>
    <row r="7743" spans="1:11" hidden="1">
      <c r="A7743" s="4">
        <v>2026</v>
      </c>
      <c r="B7743">
        <v>19</v>
      </c>
      <c r="C7743" t="s">
        <v>54</v>
      </c>
      <c r="D7743" t="s">
        <v>11</v>
      </c>
      <c r="E7743" t="s">
        <v>107</v>
      </c>
      <c r="F7743" t="s">
        <v>109</v>
      </c>
      <c r="G7743" t="str">
        <f t="shared" si="316"/>
        <v>027TIFFANY</v>
      </c>
      <c r="H7743" s="5">
        <v>7950</v>
      </c>
      <c r="I7743" s="6">
        <v>2633.0999999999995</v>
      </c>
      <c r="J7743" s="5">
        <v>19200</v>
      </c>
      <c r="K7743" s="6">
        <f t="shared" si="317"/>
        <v>3.0192548706847449</v>
      </c>
    </row>
    <row r="7744" spans="1:11" hidden="1">
      <c r="A7744" s="4">
        <v>2026</v>
      </c>
      <c r="B7744">
        <v>19</v>
      </c>
      <c r="C7744" t="s">
        <v>54</v>
      </c>
      <c r="D7744" t="s">
        <v>11</v>
      </c>
      <c r="E7744" t="s">
        <v>110</v>
      </c>
      <c r="F7744" t="s">
        <v>70</v>
      </c>
      <c r="G7744" t="str">
        <f t="shared" si="316"/>
        <v>028COTOPAXI</v>
      </c>
      <c r="H7744" s="5">
        <v>5070</v>
      </c>
      <c r="I7744" s="6">
        <v>2852.5249999999987</v>
      </c>
      <c r="J7744" s="5">
        <v>20800</v>
      </c>
      <c r="K7744" s="6">
        <f t="shared" si="317"/>
        <v>1.7773726785917747</v>
      </c>
    </row>
    <row r="7745" spans="1:11" hidden="1">
      <c r="A7745" s="4">
        <v>2026</v>
      </c>
      <c r="B7745">
        <v>19</v>
      </c>
      <c r="C7745" t="s">
        <v>54</v>
      </c>
      <c r="D7745" t="s">
        <v>11</v>
      </c>
      <c r="E7745" t="s">
        <v>110</v>
      </c>
      <c r="F7745" t="s">
        <v>67</v>
      </c>
      <c r="G7745" t="str">
        <f t="shared" si="316"/>
        <v>028DEEP PURPLE</v>
      </c>
      <c r="H7745" s="5">
        <v>7920</v>
      </c>
      <c r="I7745" s="6">
        <v>2852.5249999999987</v>
      </c>
      <c r="J7745" s="5">
        <v>20800</v>
      </c>
      <c r="K7745" s="6">
        <f t="shared" si="317"/>
        <v>2.7764874979185121</v>
      </c>
    </row>
    <row r="7746" spans="1:11" hidden="1">
      <c r="A7746" s="4">
        <v>2026</v>
      </c>
      <c r="B7746">
        <v>19</v>
      </c>
      <c r="C7746" t="s">
        <v>54</v>
      </c>
      <c r="D7746" t="s">
        <v>11</v>
      </c>
      <c r="E7746" t="s">
        <v>111</v>
      </c>
      <c r="F7746" t="s">
        <v>112</v>
      </c>
      <c r="G7746" t="str">
        <f t="shared" si="316"/>
        <v>029PINK FLOYD</v>
      </c>
      <c r="H7746" s="5">
        <v>4375</v>
      </c>
      <c r="I7746" s="6">
        <v>3071.949999999998</v>
      </c>
      <c r="J7746" s="5">
        <v>22400</v>
      </c>
      <c r="K7746" s="6">
        <f t="shared" si="317"/>
        <v>1.4241768257946916</v>
      </c>
    </row>
    <row r="7747" spans="1:11" hidden="1">
      <c r="A7747" s="4">
        <v>2026</v>
      </c>
      <c r="B7747">
        <v>19</v>
      </c>
      <c r="C7747" t="s">
        <v>54</v>
      </c>
      <c r="D7747" t="s">
        <v>11</v>
      </c>
      <c r="E7747" t="s">
        <v>47</v>
      </c>
      <c r="F7747" t="s">
        <v>57</v>
      </c>
      <c r="G7747" t="str">
        <f t="shared" si="316"/>
        <v>030EXPLORER</v>
      </c>
      <c r="H7747" s="5">
        <v>3325</v>
      </c>
      <c r="I7747" s="6">
        <v>1645.6875000000009</v>
      </c>
      <c r="J7747" s="5">
        <v>12000</v>
      </c>
      <c r="K7747" s="6">
        <f t="shared" si="317"/>
        <v>2.0204321901940667</v>
      </c>
    </row>
    <row r="7748" spans="1:11" hidden="1">
      <c r="A7748" s="4">
        <v>2026</v>
      </c>
      <c r="B7748">
        <v>20</v>
      </c>
      <c r="C7748" t="s">
        <v>10</v>
      </c>
      <c r="D7748" t="s">
        <v>11</v>
      </c>
      <c r="E7748" t="s">
        <v>12</v>
      </c>
      <c r="F7748" t="s">
        <v>13</v>
      </c>
      <c r="G7748" t="str">
        <f t="shared" si="316"/>
        <v>002SOMERSET</v>
      </c>
      <c r="H7748" s="5">
        <v>11980</v>
      </c>
      <c r="I7748" s="6">
        <v>4121.4642855494158</v>
      </c>
      <c r="J7748" s="5">
        <v>31200</v>
      </c>
      <c r="K7748" s="6">
        <f t="shared" si="317"/>
        <v>2.90673391056766</v>
      </c>
    </row>
    <row r="7749" spans="1:11" hidden="1">
      <c r="A7749" s="4">
        <v>2026</v>
      </c>
      <c r="B7749">
        <v>20</v>
      </c>
      <c r="C7749" t="s">
        <v>10</v>
      </c>
      <c r="D7749" t="s">
        <v>11</v>
      </c>
      <c r="E7749" t="s">
        <v>14</v>
      </c>
      <c r="F7749" t="s">
        <v>15</v>
      </c>
      <c r="G7749" t="str">
        <f t="shared" si="316"/>
        <v>004BELLINA</v>
      </c>
      <c r="H7749" s="5">
        <v>1590</v>
      </c>
      <c r="I7749" s="6">
        <v>1056.785714243442</v>
      </c>
      <c r="J7749" s="5">
        <v>8000</v>
      </c>
      <c r="K7749" s="6">
        <f t="shared" si="317"/>
        <v>1.5045623522061788</v>
      </c>
    </row>
    <row r="7750" spans="1:11" hidden="1">
      <c r="A7750" s="4">
        <v>2026</v>
      </c>
      <c r="B7750">
        <v>20</v>
      </c>
      <c r="C7750" t="s">
        <v>10</v>
      </c>
      <c r="D7750" t="s">
        <v>11</v>
      </c>
      <c r="E7750" t="s">
        <v>16</v>
      </c>
      <c r="F7750" t="s">
        <v>17</v>
      </c>
      <c r="G7750" t="str">
        <f t="shared" si="316"/>
        <v>005ELBA</v>
      </c>
      <c r="H7750" s="5">
        <v>12900</v>
      </c>
      <c r="I7750" s="6">
        <v>2641.9642856076448</v>
      </c>
      <c r="J7750" s="5">
        <v>19996</v>
      </c>
      <c r="K7750" s="6">
        <f t="shared" si="317"/>
        <v>4.8827306524444687</v>
      </c>
    </row>
    <row r="7751" spans="1:11" hidden="1">
      <c r="A7751" s="4">
        <v>2026</v>
      </c>
      <c r="B7751">
        <v>20</v>
      </c>
      <c r="C7751" t="s">
        <v>10</v>
      </c>
      <c r="D7751" t="s">
        <v>11</v>
      </c>
      <c r="E7751" t="s">
        <v>16</v>
      </c>
      <c r="F7751" t="s">
        <v>18</v>
      </c>
      <c r="G7751" t="str">
        <f t="shared" si="316"/>
        <v>005HOT BUBBLES</v>
      </c>
      <c r="H7751" s="5">
        <v>1420</v>
      </c>
      <c r="I7751" s="6">
        <v>528.39285712153003</v>
      </c>
      <c r="J7751" s="5">
        <v>4000</v>
      </c>
      <c r="K7751" s="6">
        <f t="shared" si="317"/>
        <v>2.6873943901050898</v>
      </c>
    </row>
    <row r="7752" spans="1:11" hidden="1">
      <c r="A7752" s="4">
        <v>2026</v>
      </c>
      <c r="B7752">
        <v>20</v>
      </c>
      <c r="C7752" t="s">
        <v>10</v>
      </c>
      <c r="D7752" t="s">
        <v>11</v>
      </c>
      <c r="E7752" t="s">
        <v>16</v>
      </c>
      <c r="F7752" t="s">
        <v>19</v>
      </c>
      <c r="G7752" t="str">
        <f t="shared" si="316"/>
        <v>005SUSPIRO</v>
      </c>
      <c r="H7752" s="5">
        <v>6960</v>
      </c>
      <c r="I7752" s="6">
        <v>1902.2142856375083</v>
      </c>
      <c r="J7752" s="5">
        <v>14400</v>
      </c>
      <c r="K7752" s="6">
        <f t="shared" si="317"/>
        <v>3.6588937705656148</v>
      </c>
    </row>
    <row r="7753" spans="1:11" hidden="1">
      <c r="A7753" s="4">
        <v>2026</v>
      </c>
      <c r="B7753">
        <v>20</v>
      </c>
      <c r="C7753" t="s">
        <v>10</v>
      </c>
      <c r="D7753" t="s">
        <v>11</v>
      </c>
      <c r="E7753" t="s">
        <v>20</v>
      </c>
      <c r="F7753" t="s">
        <v>21</v>
      </c>
      <c r="G7753" t="str">
        <f t="shared" si="316"/>
        <v>007SNOW BUBBLES</v>
      </c>
      <c r="H7753" s="5">
        <v>1440</v>
      </c>
      <c r="I7753" s="6">
        <v>634.05652706821184</v>
      </c>
      <c r="J7753" s="5">
        <v>4800</v>
      </c>
      <c r="K7753" s="6">
        <f t="shared" si="317"/>
        <v>2.2710908862627082</v>
      </c>
    </row>
    <row r="7754" spans="1:11" hidden="1">
      <c r="A7754" s="4">
        <v>2026</v>
      </c>
      <c r="B7754">
        <v>20</v>
      </c>
      <c r="C7754" t="s">
        <v>10</v>
      </c>
      <c r="D7754" t="s">
        <v>11</v>
      </c>
      <c r="E7754" t="s">
        <v>22</v>
      </c>
      <c r="F7754" t="s">
        <v>18</v>
      </c>
      <c r="G7754" t="str">
        <f t="shared" si="316"/>
        <v>009HOT BUBBLES</v>
      </c>
      <c r="H7754" s="5">
        <v>10420</v>
      </c>
      <c r="I7754" s="6">
        <v>4487.9999999102447</v>
      </c>
      <c r="J7754" s="5">
        <v>31740</v>
      </c>
      <c r="K7754" s="6">
        <f t="shared" si="317"/>
        <v>2.3217468806168426</v>
      </c>
    </row>
    <row r="7755" spans="1:11" hidden="1">
      <c r="A7755" s="4">
        <v>2026</v>
      </c>
      <c r="B7755">
        <v>20</v>
      </c>
      <c r="C7755" t="s">
        <v>10</v>
      </c>
      <c r="D7755" t="s">
        <v>11</v>
      </c>
      <c r="E7755" t="s">
        <v>23</v>
      </c>
      <c r="F7755" t="s">
        <v>24</v>
      </c>
      <c r="G7755" t="str">
        <f t="shared" si="316"/>
        <v>014FRUITY BUBBLES</v>
      </c>
      <c r="H7755" s="5">
        <v>2700</v>
      </c>
      <c r="I7755" s="6">
        <v>1702.7999999999988</v>
      </c>
      <c r="J7755" s="5">
        <v>12900</v>
      </c>
      <c r="K7755" s="6">
        <f t="shared" si="317"/>
        <v>1.5856236786469355</v>
      </c>
    </row>
    <row r="7756" spans="1:11" hidden="1">
      <c r="A7756" s="4">
        <v>2026</v>
      </c>
      <c r="B7756">
        <v>20</v>
      </c>
      <c r="C7756" t="s">
        <v>10</v>
      </c>
      <c r="D7756" t="s">
        <v>11</v>
      </c>
      <c r="E7756" t="s">
        <v>25</v>
      </c>
      <c r="F7756" t="s">
        <v>26</v>
      </c>
      <c r="G7756" t="str">
        <f t="shared" si="316"/>
        <v>015FELLINI</v>
      </c>
      <c r="H7756" s="5">
        <v>7760</v>
      </c>
      <c r="I7756" s="6">
        <v>3009.5999999999958</v>
      </c>
      <c r="J7756" s="5">
        <v>22800</v>
      </c>
      <c r="K7756" s="6">
        <f t="shared" si="317"/>
        <v>2.5784157363104767</v>
      </c>
    </row>
    <row r="7757" spans="1:11" hidden="1">
      <c r="A7757" s="4">
        <v>2026</v>
      </c>
      <c r="B7757">
        <v>20</v>
      </c>
      <c r="C7757" t="s">
        <v>10</v>
      </c>
      <c r="D7757" t="s">
        <v>11</v>
      </c>
      <c r="E7757" t="s">
        <v>27</v>
      </c>
      <c r="F7757" t="s">
        <v>28</v>
      </c>
      <c r="G7757" t="str">
        <f t="shared" si="316"/>
        <v>016GOOD PEACH</v>
      </c>
      <c r="H7757" s="5">
        <v>3870</v>
      </c>
      <c r="I7757" s="6">
        <v>1385.9999999999995</v>
      </c>
      <c r="J7757" s="5">
        <v>10500</v>
      </c>
      <c r="K7757" s="6">
        <f t="shared" si="317"/>
        <v>2.792207792207793</v>
      </c>
    </row>
    <row r="7758" spans="1:11" hidden="1">
      <c r="A7758" s="4">
        <v>2026</v>
      </c>
      <c r="B7758">
        <v>20</v>
      </c>
      <c r="C7758" t="s">
        <v>10</v>
      </c>
      <c r="D7758" t="s">
        <v>11</v>
      </c>
      <c r="E7758" t="s">
        <v>27</v>
      </c>
      <c r="F7758" t="s">
        <v>29</v>
      </c>
      <c r="G7758" t="str">
        <f t="shared" si="316"/>
        <v>016GOOD YELLOW</v>
      </c>
      <c r="H7758" s="5">
        <v>3990</v>
      </c>
      <c r="I7758" s="6">
        <v>1385.9999999999995</v>
      </c>
      <c r="J7758" s="5">
        <v>10500</v>
      </c>
      <c r="K7758" s="6">
        <f t="shared" si="317"/>
        <v>2.8787878787878798</v>
      </c>
    </row>
    <row r="7759" spans="1:11" hidden="1">
      <c r="A7759" s="4">
        <v>2026</v>
      </c>
      <c r="B7759">
        <v>20</v>
      </c>
      <c r="C7759" t="s">
        <v>10</v>
      </c>
      <c r="D7759" t="s">
        <v>11</v>
      </c>
      <c r="E7759" t="s">
        <v>30</v>
      </c>
      <c r="F7759" t="s">
        <v>31</v>
      </c>
      <c r="G7759" t="str">
        <f t="shared" si="316"/>
        <v>017ORANGE STAR</v>
      </c>
      <c r="H7759" s="5">
        <v>1375</v>
      </c>
      <c r="I7759" s="6">
        <v>1029.6000000000004</v>
      </c>
      <c r="J7759" s="5">
        <v>7800</v>
      </c>
      <c r="K7759" s="6">
        <f t="shared" si="317"/>
        <v>1.3354700854700849</v>
      </c>
    </row>
    <row r="7760" spans="1:11" hidden="1">
      <c r="A7760" s="4">
        <v>2026</v>
      </c>
      <c r="B7760">
        <v>20</v>
      </c>
      <c r="C7760" t="s">
        <v>10</v>
      </c>
      <c r="D7760" t="s">
        <v>11</v>
      </c>
      <c r="E7760" t="s">
        <v>32</v>
      </c>
      <c r="F7760" t="s">
        <v>33</v>
      </c>
      <c r="G7760" t="str">
        <f t="shared" ref="G7760:G7821" si="318">+E7760&amp;F7760</f>
        <v>018COSMO</v>
      </c>
      <c r="H7760" s="5">
        <v>4475</v>
      </c>
      <c r="I7760" s="6">
        <v>2653.1999999999966</v>
      </c>
      <c r="J7760" s="5">
        <v>20100</v>
      </c>
      <c r="K7760" s="6">
        <f t="shared" si="317"/>
        <v>1.6866425448515021</v>
      </c>
    </row>
    <row r="7761" spans="1:11" hidden="1">
      <c r="A7761" s="4">
        <v>2026</v>
      </c>
      <c r="B7761">
        <v>20</v>
      </c>
      <c r="C7761" t="s">
        <v>10</v>
      </c>
      <c r="D7761" t="s">
        <v>11</v>
      </c>
      <c r="E7761" t="s">
        <v>32</v>
      </c>
      <c r="F7761" t="s">
        <v>34</v>
      </c>
      <c r="G7761" t="str">
        <f t="shared" si="318"/>
        <v>018RUBICON</v>
      </c>
      <c r="H7761" s="5">
        <v>4650</v>
      </c>
      <c r="I7761" s="6">
        <v>1768.7999999999988</v>
      </c>
      <c r="J7761" s="5">
        <v>13400</v>
      </c>
      <c r="K7761" s="6">
        <f t="shared" si="317"/>
        <v>2.6289009497964742</v>
      </c>
    </row>
    <row r="7762" spans="1:11" hidden="1">
      <c r="A7762" s="4">
        <v>2026</v>
      </c>
      <c r="B7762">
        <v>20</v>
      </c>
      <c r="C7762" t="s">
        <v>10</v>
      </c>
      <c r="D7762" t="s">
        <v>11</v>
      </c>
      <c r="E7762" t="s">
        <v>35</v>
      </c>
      <c r="F7762" t="s">
        <v>15</v>
      </c>
      <c r="G7762" t="str">
        <f t="shared" si="318"/>
        <v>019BELLINA</v>
      </c>
      <c r="H7762" s="5">
        <v>2220</v>
      </c>
      <c r="I7762" s="6">
        <v>1029.6000000000004</v>
      </c>
      <c r="J7762" s="5">
        <v>7800</v>
      </c>
      <c r="K7762" s="6">
        <f t="shared" si="317"/>
        <v>2.1561771561771552</v>
      </c>
    </row>
    <row r="7763" spans="1:11" hidden="1">
      <c r="A7763" s="4">
        <v>2026</v>
      </c>
      <c r="B7763">
        <v>20</v>
      </c>
      <c r="C7763" t="s">
        <v>10</v>
      </c>
      <c r="D7763" t="s">
        <v>11</v>
      </c>
      <c r="E7763" t="s">
        <v>36</v>
      </c>
      <c r="F7763" t="s">
        <v>37</v>
      </c>
      <c r="G7763" t="str">
        <f t="shared" si="318"/>
        <v>020SUMMER DANCE</v>
      </c>
      <c r="H7763" s="5">
        <v>3025</v>
      </c>
      <c r="I7763" s="6">
        <v>1346.3999999999996</v>
      </c>
      <c r="J7763" s="5">
        <v>10200</v>
      </c>
      <c r="K7763" s="6">
        <f t="shared" si="317"/>
        <v>2.2467320261437913</v>
      </c>
    </row>
    <row r="7764" spans="1:11" hidden="1">
      <c r="A7764" s="4">
        <v>2026</v>
      </c>
      <c r="B7764">
        <v>20</v>
      </c>
      <c r="C7764" t="s">
        <v>10</v>
      </c>
      <c r="D7764" t="s">
        <v>11</v>
      </c>
      <c r="E7764" t="s">
        <v>38</v>
      </c>
      <c r="F7764" t="s">
        <v>39</v>
      </c>
      <c r="G7764" t="str">
        <f t="shared" si="318"/>
        <v>021ELEGANT ROSEVER</v>
      </c>
      <c r="H7764" s="5">
        <v>1800</v>
      </c>
      <c r="I7764" s="6">
        <v>440.18999062500001</v>
      </c>
      <c r="J7764" s="5">
        <v>3200</v>
      </c>
      <c r="K7764" s="6">
        <f t="shared" si="317"/>
        <v>4.0891434115625511</v>
      </c>
    </row>
    <row r="7765" spans="1:11" hidden="1">
      <c r="A7765" s="4">
        <v>2026</v>
      </c>
      <c r="B7765">
        <v>20</v>
      </c>
      <c r="C7765" t="s">
        <v>10</v>
      </c>
      <c r="D7765" t="s">
        <v>11</v>
      </c>
      <c r="E7765" t="s">
        <v>38</v>
      </c>
      <c r="F7765" t="s">
        <v>40</v>
      </c>
      <c r="G7765" t="str">
        <f t="shared" si="318"/>
        <v>021FLAME CLUB</v>
      </c>
      <c r="H7765" s="5">
        <v>2475</v>
      </c>
      <c r="I7765" s="6">
        <v>880.37999999999965</v>
      </c>
      <c r="J7765" s="5">
        <v>6400</v>
      </c>
      <c r="K7765" s="6">
        <f t="shared" si="317"/>
        <v>2.8112860355755482</v>
      </c>
    </row>
    <row r="7766" spans="1:11" hidden="1">
      <c r="A7766" s="4">
        <v>2026</v>
      </c>
      <c r="B7766">
        <v>20</v>
      </c>
      <c r="C7766" t="s">
        <v>10</v>
      </c>
      <c r="D7766" t="s">
        <v>11</v>
      </c>
      <c r="E7766" t="s">
        <v>38</v>
      </c>
      <c r="F7766" t="s">
        <v>41</v>
      </c>
      <c r="G7766" t="str">
        <f t="shared" si="318"/>
        <v>021KELLY</v>
      </c>
      <c r="H7766" s="5">
        <v>775</v>
      </c>
      <c r="I7766" s="6">
        <v>330.14249999999998</v>
      </c>
      <c r="J7766" s="5">
        <v>2400</v>
      </c>
      <c r="K7766" s="6">
        <f t="shared" si="317"/>
        <v>2.3474711677533189</v>
      </c>
    </row>
    <row r="7767" spans="1:11" hidden="1">
      <c r="A7767" s="4">
        <v>2026</v>
      </c>
      <c r="B7767">
        <v>20</v>
      </c>
      <c r="C7767" t="s">
        <v>10</v>
      </c>
      <c r="D7767" t="s">
        <v>11</v>
      </c>
      <c r="E7767" t="s">
        <v>38</v>
      </c>
      <c r="F7767" t="s">
        <v>42</v>
      </c>
      <c r="G7767" t="str">
        <f t="shared" si="318"/>
        <v>021LEILA</v>
      </c>
      <c r="H7767" s="5">
        <v>3025</v>
      </c>
      <c r="I7767" s="6">
        <v>770.33249999999975</v>
      </c>
      <c r="J7767" s="5">
        <v>5600</v>
      </c>
      <c r="K7767" s="6">
        <f t="shared" si="317"/>
        <v>3.9268757322325114</v>
      </c>
    </row>
    <row r="7768" spans="1:11" hidden="1">
      <c r="A7768" s="4">
        <v>2026</v>
      </c>
      <c r="B7768">
        <v>20</v>
      </c>
      <c r="C7768" t="s">
        <v>10</v>
      </c>
      <c r="D7768" t="s">
        <v>11</v>
      </c>
      <c r="E7768" t="s">
        <v>38</v>
      </c>
      <c r="F7768" t="s">
        <v>115</v>
      </c>
      <c r="G7768" t="str">
        <f t="shared" si="318"/>
        <v>021PISTACHIO KISS</v>
      </c>
      <c r="H7768" s="5">
        <v>75</v>
      </c>
      <c r="I7768" s="6">
        <v>880.37999999999965</v>
      </c>
      <c r="J7768" s="5">
        <v>6400</v>
      </c>
      <c r="K7768" s="6">
        <f t="shared" si="317"/>
        <v>8.5190485926531764E-2</v>
      </c>
    </row>
    <row r="7769" spans="1:11" hidden="1">
      <c r="A7769" s="4">
        <v>2026</v>
      </c>
      <c r="B7769">
        <v>20</v>
      </c>
      <c r="C7769" t="s">
        <v>10</v>
      </c>
      <c r="D7769" t="s">
        <v>11</v>
      </c>
      <c r="E7769" t="s">
        <v>38</v>
      </c>
      <c r="F7769" t="s">
        <v>21</v>
      </c>
      <c r="G7769" t="str">
        <f t="shared" si="318"/>
        <v>021SNOW BUBBLES</v>
      </c>
      <c r="H7769" s="5">
        <v>4200</v>
      </c>
      <c r="I7769" s="6">
        <v>1287.0000000000018</v>
      </c>
      <c r="J7769" s="5">
        <v>9400</v>
      </c>
      <c r="K7769" s="6">
        <f t="shared" si="317"/>
        <v>3.2634032634032586</v>
      </c>
    </row>
    <row r="7770" spans="1:11" hidden="1">
      <c r="A7770" s="4">
        <v>2026</v>
      </c>
      <c r="B7770">
        <v>20</v>
      </c>
      <c r="C7770" t="s">
        <v>10</v>
      </c>
      <c r="D7770" t="s">
        <v>11</v>
      </c>
      <c r="E7770" t="s">
        <v>43</v>
      </c>
      <c r="F7770" t="s">
        <v>24</v>
      </c>
      <c r="G7770" t="str">
        <f t="shared" si="318"/>
        <v>022FRUITY BUBBLES</v>
      </c>
      <c r="H7770" s="5">
        <v>6475</v>
      </c>
      <c r="I7770" s="6">
        <v>2641.139999999999</v>
      </c>
      <c r="J7770" s="5">
        <v>19200</v>
      </c>
      <c r="K7770" s="6">
        <f t="shared" si="317"/>
        <v>2.4515928727746363</v>
      </c>
    </row>
    <row r="7771" spans="1:11" hidden="1">
      <c r="A7771" s="4">
        <v>2026</v>
      </c>
      <c r="B7771">
        <v>20</v>
      </c>
      <c r="C7771" t="s">
        <v>10</v>
      </c>
      <c r="D7771" t="s">
        <v>11</v>
      </c>
      <c r="E7771" t="s">
        <v>43</v>
      </c>
      <c r="F7771" t="s">
        <v>28</v>
      </c>
      <c r="G7771" t="str">
        <f t="shared" si="318"/>
        <v>022GOOD PEACH</v>
      </c>
      <c r="H7771" s="5">
        <v>2460</v>
      </c>
      <c r="I7771" s="6">
        <v>880.37999999999965</v>
      </c>
      <c r="J7771" s="5">
        <v>6400</v>
      </c>
      <c r="K7771" s="6">
        <f t="shared" si="317"/>
        <v>2.7942479383902419</v>
      </c>
    </row>
    <row r="7772" spans="1:11" hidden="1">
      <c r="A7772" s="4">
        <v>2026</v>
      </c>
      <c r="B7772">
        <v>20</v>
      </c>
      <c r="C7772" t="s">
        <v>10</v>
      </c>
      <c r="D7772" t="s">
        <v>11</v>
      </c>
      <c r="E7772" t="s">
        <v>43</v>
      </c>
      <c r="F7772" t="s">
        <v>44</v>
      </c>
      <c r="G7772" t="str">
        <f t="shared" si="318"/>
        <v>022MIRABEL</v>
      </c>
      <c r="H7772" s="5">
        <v>1580</v>
      </c>
      <c r="I7772" s="6">
        <v>880.37999999999965</v>
      </c>
      <c r="J7772" s="5">
        <v>6400</v>
      </c>
      <c r="K7772" s="6">
        <f t="shared" si="317"/>
        <v>1.7946795701856024</v>
      </c>
    </row>
    <row r="7773" spans="1:11" hidden="1">
      <c r="A7773" s="4">
        <v>2026</v>
      </c>
      <c r="B7773">
        <v>20</v>
      </c>
      <c r="C7773" t="s">
        <v>10</v>
      </c>
      <c r="D7773" t="s">
        <v>11</v>
      </c>
      <c r="E7773" t="s">
        <v>47</v>
      </c>
      <c r="F7773" t="s">
        <v>44</v>
      </c>
      <c r="G7773" t="str">
        <f t="shared" si="318"/>
        <v>030MIRABEL</v>
      </c>
      <c r="H7773" s="5">
        <v>3960</v>
      </c>
      <c r="I7773" s="6">
        <v>2413.6749943750001</v>
      </c>
      <c r="J7773" s="5">
        <v>17600</v>
      </c>
      <c r="K7773" s="6">
        <f t="shared" si="317"/>
        <v>1.640651707138975</v>
      </c>
    </row>
    <row r="7774" spans="1:11" hidden="1">
      <c r="A7774" s="4">
        <v>2026</v>
      </c>
      <c r="B7774">
        <v>20</v>
      </c>
      <c r="C7774" t="s">
        <v>10</v>
      </c>
      <c r="D7774" t="s">
        <v>11</v>
      </c>
      <c r="E7774" t="s">
        <v>47</v>
      </c>
      <c r="F7774" t="s">
        <v>13</v>
      </c>
      <c r="G7774" t="str">
        <f t="shared" si="318"/>
        <v>030SOMERSET</v>
      </c>
      <c r="H7774" s="5">
        <v>3860</v>
      </c>
      <c r="I7774" s="6">
        <v>1645.6875000000009</v>
      </c>
      <c r="J7774" s="5">
        <v>12000</v>
      </c>
      <c r="K7774" s="6">
        <f t="shared" si="317"/>
        <v>2.3455242869621347</v>
      </c>
    </row>
    <row r="7775" spans="1:11" hidden="1">
      <c r="A7775" s="4">
        <v>2026</v>
      </c>
      <c r="B7775">
        <v>20</v>
      </c>
      <c r="C7775" t="s">
        <v>10</v>
      </c>
      <c r="D7775" t="s">
        <v>11</v>
      </c>
      <c r="E7775" t="s">
        <v>48</v>
      </c>
      <c r="F7775" t="s">
        <v>49</v>
      </c>
      <c r="G7775" t="str">
        <f t="shared" si="318"/>
        <v>03182989</v>
      </c>
      <c r="H7775" s="5">
        <v>1080</v>
      </c>
      <c r="I7775" s="6">
        <v>726.32013058333712</v>
      </c>
      <c r="J7775" s="5">
        <v>5712</v>
      </c>
      <c r="K7775" s="6">
        <f t="shared" si="317"/>
        <v>1.4869476344165324</v>
      </c>
    </row>
    <row r="7776" spans="1:11" hidden="1">
      <c r="A7776" s="4">
        <v>2026</v>
      </c>
      <c r="B7776">
        <v>20</v>
      </c>
      <c r="C7776" t="s">
        <v>10</v>
      </c>
      <c r="D7776" t="s">
        <v>11</v>
      </c>
      <c r="E7776" t="s">
        <v>48</v>
      </c>
      <c r="F7776" t="s">
        <v>34</v>
      </c>
      <c r="G7776" t="str">
        <f t="shared" si="318"/>
        <v>031RUBICON</v>
      </c>
      <c r="H7776" s="5">
        <v>2250</v>
      </c>
      <c r="I7776" s="6">
        <v>924.39958333667118</v>
      </c>
      <c r="J7776" s="5">
        <v>6720</v>
      </c>
      <c r="K7776" s="6">
        <f t="shared" si="317"/>
        <v>2.4340123476457021</v>
      </c>
    </row>
    <row r="7777" spans="1:11" hidden="1">
      <c r="A7777" s="4">
        <v>2026</v>
      </c>
      <c r="B7777">
        <v>20</v>
      </c>
      <c r="C7777" t="s">
        <v>10</v>
      </c>
      <c r="D7777" t="s">
        <v>11</v>
      </c>
      <c r="E7777" t="s">
        <v>48</v>
      </c>
      <c r="F7777" t="s">
        <v>13</v>
      </c>
      <c r="G7777" t="str">
        <f t="shared" si="318"/>
        <v>031SOMERSET</v>
      </c>
      <c r="H7777" s="5">
        <v>3680</v>
      </c>
      <c r="I7777" s="6">
        <v>1122.4852083333392</v>
      </c>
      <c r="J7777" s="5">
        <v>8160</v>
      </c>
      <c r="K7777" s="6">
        <f t="shared" si="317"/>
        <v>3.2784396379387903</v>
      </c>
    </row>
    <row r="7778" spans="1:11" hidden="1">
      <c r="A7778" s="4">
        <v>2026</v>
      </c>
      <c r="B7778">
        <v>20</v>
      </c>
      <c r="C7778" t="s">
        <v>10</v>
      </c>
      <c r="D7778" t="s">
        <v>11</v>
      </c>
      <c r="E7778" t="s">
        <v>48</v>
      </c>
      <c r="F7778" t="s">
        <v>50</v>
      </c>
      <c r="G7778" t="str">
        <f t="shared" si="318"/>
        <v>031VELVET BLOSSOMS</v>
      </c>
      <c r="H7778" s="5">
        <v>560</v>
      </c>
      <c r="I7778" s="6">
        <v>396.17125000000203</v>
      </c>
      <c r="J7778" s="5">
        <v>2880</v>
      </c>
      <c r="K7778" s="6">
        <f t="shared" si="317"/>
        <v>1.4135301337489712</v>
      </c>
    </row>
    <row r="7779" spans="1:11" hidden="1">
      <c r="A7779" s="4">
        <v>2026</v>
      </c>
      <c r="B7779">
        <v>20</v>
      </c>
      <c r="C7779" t="s">
        <v>10</v>
      </c>
      <c r="D7779" t="s">
        <v>11</v>
      </c>
      <c r="E7779" t="s">
        <v>51</v>
      </c>
      <c r="F7779" t="s">
        <v>17</v>
      </c>
      <c r="G7779" t="str">
        <f t="shared" si="318"/>
        <v>032ELBA</v>
      </c>
      <c r="H7779" s="5">
        <v>3660</v>
      </c>
      <c r="I7779" s="6">
        <v>1535.9749999999992</v>
      </c>
      <c r="J7779" s="5">
        <v>11200</v>
      </c>
      <c r="K7779" s="6">
        <f t="shared" si="317"/>
        <v>2.382851283386775</v>
      </c>
    </row>
    <row r="7780" spans="1:11" hidden="1">
      <c r="A7780" s="4">
        <v>2026</v>
      </c>
      <c r="B7780">
        <v>20</v>
      </c>
      <c r="C7780" t="s">
        <v>10</v>
      </c>
      <c r="D7780" t="s">
        <v>11</v>
      </c>
      <c r="E7780" t="s">
        <v>51</v>
      </c>
      <c r="F7780" t="s">
        <v>44</v>
      </c>
      <c r="G7780" t="str">
        <f t="shared" si="318"/>
        <v>032MIRABEL</v>
      </c>
      <c r="H7780" s="5">
        <v>1580</v>
      </c>
      <c r="I7780" s="6">
        <v>1535.9749999999995</v>
      </c>
      <c r="J7780" s="5">
        <v>11200</v>
      </c>
      <c r="K7780" s="6">
        <f t="shared" si="317"/>
        <v>1.0286625758882797</v>
      </c>
    </row>
    <row r="7781" spans="1:11" hidden="1">
      <c r="A7781" s="4">
        <v>2026</v>
      </c>
      <c r="B7781">
        <v>20</v>
      </c>
      <c r="C7781" t="s">
        <v>10</v>
      </c>
      <c r="D7781" t="s">
        <v>11</v>
      </c>
      <c r="E7781" t="s">
        <v>52</v>
      </c>
      <c r="F7781" t="s">
        <v>53</v>
      </c>
      <c r="G7781" t="str">
        <f t="shared" si="318"/>
        <v>033CREAMY FOLIES</v>
      </c>
      <c r="H7781" s="5">
        <v>810</v>
      </c>
      <c r="I7781" s="6">
        <v>594.25687500000311</v>
      </c>
      <c r="J7781" s="5">
        <v>4320</v>
      </c>
      <c r="K7781" s="6">
        <f t="shared" si="317"/>
        <v>1.3630469146865078</v>
      </c>
    </row>
    <row r="7782" spans="1:11" hidden="1">
      <c r="A7782" s="4">
        <v>2026</v>
      </c>
      <c r="B7782">
        <v>20</v>
      </c>
      <c r="C7782" t="s">
        <v>10</v>
      </c>
      <c r="D7782" t="s">
        <v>11</v>
      </c>
      <c r="E7782" t="s">
        <v>52</v>
      </c>
      <c r="F7782" t="s">
        <v>18</v>
      </c>
      <c r="G7782" t="str">
        <f t="shared" si="318"/>
        <v>033HOT BUBBLES</v>
      </c>
      <c r="H7782" s="5">
        <v>3860</v>
      </c>
      <c r="I7782" s="6">
        <v>2575.1131250013464</v>
      </c>
      <c r="J7782" s="5">
        <v>18720</v>
      </c>
      <c r="K7782" s="6">
        <f t="shared" si="317"/>
        <v>1.4989632737000562</v>
      </c>
    </row>
    <row r="7783" spans="1:11" hidden="1">
      <c r="A7783" s="4">
        <v>2026</v>
      </c>
      <c r="B7783">
        <v>20</v>
      </c>
      <c r="C7783" t="s">
        <v>54</v>
      </c>
      <c r="D7783" t="s">
        <v>11</v>
      </c>
      <c r="E7783" t="s">
        <v>55</v>
      </c>
      <c r="F7783" t="s">
        <v>56</v>
      </c>
      <c r="G7783" t="str">
        <f t="shared" si="318"/>
        <v>001BELIEVE IN PINK</v>
      </c>
      <c r="H7783" s="5">
        <v>1740</v>
      </c>
      <c r="I7783" s="6">
        <v>528.37931032368999</v>
      </c>
      <c r="J7783" s="5">
        <v>4000</v>
      </c>
      <c r="K7783" s="6">
        <f t="shared" si="317"/>
        <v>3.2930888208587503</v>
      </c>
    </row>
    <row r="7784" spans="1:11" hidden="1">
      <c r="A7784" s="4">
        <v>2026</v>
      </c>
      <c r="B7784">
        <v>20</v>
      </c>
      <c r="C7784" t="s">
        <v>54</v>
      </c>
      <c r="D7784" t="s">
        <v>11</v>
      </c>
      <c r="E7784" t="s">
        <v>55</v>
      </c>
      <c r="F7784" t="s">
        <v>57</v>
      </c>
      <c r="G7784" t="str">
        <f t="shared" si="318"/>
        <v>001EXPLORER</v>
      </c>
      <c r="H7784" s="5">
        <v>5925</v>
      </c>
      <c r="I7784" s="6">
        <v>2272.0310343918723</v>
      </c>
      <c r="J7784" s="5">
        <v>17200</v>
      </c>
      <c r="K7784" s="6">
        <f t="shared" si="317"/>
        <v>2.6077988858043373</v>
      </c>
    </row>
    <row r="7785" spans="1:11" hidden="1">
      <c r="A7785" s="4">
        <v>2026</v>
      </c>
      <c r="B7785">
        <v>20</v>
      </c>
      <c r="C7785" t="s">
        <v>54</v>
      </c>
      <c r="D7785" t="s">
        <v>11</v>
      </c>
      <c r="E7785" t="s">
        <v>55</v>
      </c>
      <c r="F7785" t="s">
        <v>58</v>
      </c>
      <c r="G7785" t="str">
        <f t="shared" si="318"/>
        <v>001GRACE KELLY</v>
      </c>
      <c r="H7785" s="5">
        <v>2550</v>
      </c>
      <c r="I7785" s="6">
        <v>1162.434482712122</v>
      </c>
      <c r="J7785" s="5">
        <v>8800</v>
      </c>
      <c r="K7785" s="6">
        <f t="shared" si="317"/>
        <v>2.1936720201645206</v>
      </c>
    </row>
    <row r="7786" spans="1:11" hidden="1">
      <c r="A7786" s="4">
        <v>2026</v>
      </c>
      <c r="B7786">
        <v>20</v>
      </c>
      <c r="C7786" t="s">
        <v>54</v>
      </c>
      <c r="D7786" t="s">
        <v>11</v>
      </c>
      <c r="E7786" t="s">
        <v>55</v>
      </c>
      <c r="F7786" t="s">
        <v>60</v>
      </c>
      <c r="G7786" t="str">
        <f t="shared" si="318"/>
        <v>001LIGHT HOUSE</v>
      </c>
      <c r="H7786" s="5">
        <v>2340</v>
      </c>
      <c r="I7786" s="6">
        <v>1056.7586206473825</v>
      </c>
      <c r="J7786" s="5">
        <v>8000</v>
      </c>
      <c r="K7786" s="6">
        <f t="shared" si="317"/>
        <v>2.2143183450601889</v>
      </c>
    </row>
    <row r="7787" spans="1:11" hidden="1">
      <c r="A7787" s="4">
        <v>2026</v>
      </c>
      <c r="B7787">
        <v>20</v>
      </c>
      <c r="C7787" t="s">
        <v>54</v>
      </c>
      <c r="D7787" t="s">
        <v>11</v>
      </c>
      <c r="E7787" t="s">
        <v>55</v>
      </c>
      <c r="F7787" t="s">
        <v>61</v>
      </c>
      <c r="G7787" t="str">
        <f t="shared" si="318"/>
        <v>001LUMIA</v>
      </c>
      <c r="H7787" s="5">
        <v>1440</v>
      </c>
      <c r="I7787" s="6">
        <v>1109.5965516797528</v>
      </c>
      <c r="J7787" s="5">
        <v>8400</v>
      </c>
      <c r="K7787" s="6">
        <f t="shared" si="317"/>
        <v>1.2977689934418677</v>
      </c>
    </row>
    <row r="7788" spans="1:11" hidden="1">
      <c r="A7788" s="4">
        <v>2026</v>
      </c>
      <c r="B7788">
        <v>20</v>
      </c>
      <c r="C7788" t="s">
        <v>54</v>
      </c>
      <c r="D7788" t="s">
        <v>11</v>
      </c>
      <c r="E7788" t="s">
        <v>55</v>
      </c>
      <c r="F7788" t="s">
        <v>62</v>
      </c>
      <c r="G7788" t="str">
        <f t="shared" si="318"/>
        <v>001MOMENTUM</v>
      </c>
      <c r="H7788" s="5">
        <v>5425</v>
      </c>
      <c r="I7788" s="6">
        <v>1902.1655171652874</v>
      </c>
      <c r="J7788" s="5">
        <v>14400</v>
      </c>
      <c r="K7788" s="6">
        <f t="shared" si="317"/>
        <v>2.8520125883075811</v>
      </c>
    </row>
    <row r="7789" spans="1:11" hidden="1">
      <c r="A7789" s="4">
        <v>2026</v>
      </c>
      <c r="B7789">
        <v>20</v>
      </c>
      <c r="C7789" t="s">
        <v>54</v>
      </c>
      <c r="D7789" t="s">
        <v>11</v>
      </c>
      <c r="E7789" t="s">
        <v>12</v>
      </c>
      <c r="F7789" t="s">
        <v>63</v>
      </c>
      <c r="G7789" t="str">
        <f t="shared" si="318"/>
        <v>002SUMMER ROMANCE</v>
      </c>
      <c r="H7789" s="5">
        <v>2200</v>
      </c>
      <c r="I7789" s="6">
        <v>951.10714281909407</v>
      </c>
      <c r="J7789" s="5">
        <v>7200</v>
      </c>
      <c r="K7789" s="6">
        <f t="shared" si="317"/>
        <v>2.313093763000424</v>
      </c>
    </row>
    <row r="7790" spans="1:11" hidden="1">
      <c r="A7790" s="4">
        <v>2026</v>
      </c>
      <c r="B7790">
        <v>20</v>
      </c>
      <c r="C7790" t="s">
        <v>54</v>
      </c>
      <c r="D7790" t="s">
        <v>11</v>
      </c>
      <c r="E7790" t="s">
        <v>12</v>
      </c>
      <c r="F7790" t="s">
        <v>64</v>
      </c>
      <c r="G7790" t="str">
        <f t="shared" si="318"/>
        <v>002SWEETNESS</v>
      </c>
      <c r="H7790" s="5">
        <v>6930</v>
      </c>
      <c r="I7790" s="6">
        <v>3804.4285712763835</v>
      </c>
      <c r="J7790" s="5">
        <v>28800</v>
      </c>
      <c r="K7790" s="6">
        <f t="shared" si="317"/>
        <v>1.8215613383628304</v>
      </c>
    </row>
    <row r="7791" spans="1:11" hidden="1">
      <c r="A7791" s="4">
        <v>2026</v>
      </c>
      <c r="B7791">
        <v>20</v>
      </c>
      <c r="C7791" t="s">
        <v>54</v>
      </c>
      <c r="D7791" t="s">
        <v>11</v>
      </c>
      <c r="E7791" t="s">
        <v>65</v>
      </c>
      <c r="F7791" t="s">
        <v>66</v>
      </c>
      <c r="G7791" t="str">
        <f t="shared" si="318"/>
        <v>003CABARET</v>
      </c>
      <c r="H7791" s="5">
        <v>4950</v>
      </c>
      <c r="I7791" s="6">
        <v>2641.8965516184676</v>
      </c>
      <c r="J7791" s="5">
        <v>20000</v>
      </c>
      <c r="K7791" s="6">
        <f t="shared" si="317"/>
        <v>1.8736539842816902</v>
      </c>
    </row>
    <row r="7792" spans="1:11" hidden="1">
      <c r="A7792" s="4">
        <v>2026</v>
      </c>
      <c r="B7792">
        <v>20</v>
      </c>
      <c r="C7792" t="s">
        <v>54</v>
      </c>
      <c r="D7792" t="s">
        <v>11</v>
      </c>
      <c r="E7792" t="s">
        <v>65</v>
      </c>
      <c r="F7792" t="s">
        <v>67</v>
      </c>
      <c r="G7792" t="str">
        <f t="shared" si="318"/>
        <v>003DEEP PURPLE</v>
      </c>
      <c r="H7792" s="5">
        <v>9270</v>
      </c>
      <c r="I7792" s="6">
        <v>3592.9793102010881</v>
      </c>
      <c r="J7792" s="5">
        <v>26044</v>
      </c>
      <c r="K7792" s="6">
        <f t="shared" si="317"/>
        <v>2.5800315558959306</v>
      </c>
    </row>
    <row r="7793" spans="1:11" hidden="1">
      <c r="A7793" s="4">
        <v>2026</v>
      </c>
      <c r="B7793">
        <v>20</v>
      </c>
      <c r="C7793" t="s">
        <v>54</v>
      </c>
      <c r="D7793" t="s">
        <v>11</v>
      </c>
      <c r="E7793" t="s">
        <v>65</v>
      </c>
      <c r="F7793" t="s">
        <v>57</v>
      </c>
      <c r="G7793" t="str">
        <f t="shared" si="318"/>
        <v>003EXPLORER</v>
      </c>
      <c r="H7793" s="5">
        <v>2825</v>
      </c>
      <c r="I7793" s="6">
        <v>1268.1103447768635</v>
      </c>
      <c r="J7793" s="5">
        <v>9600</v>
      </c>
      <c r="K7793" s="6">
        <f t="shared" si="317"/>
        <v>2.227724118516742</v>
      </c>
    </row>
    <row r="7794" spans="1:11" hidden="1">
      <c r="A7794" s="4">
        <v>2026</v>
      </c>
      <c r="B7794">
        <v>20</v>
      </c>
      <c r="C7794" t="s">
        <v>54</v>
      </c>
      <c r="D7794" t="s">
        <v>11</v>
      </c>
      <c r="E7794" t="s">
        <v>65</v>
      </c>
      <c r="F7794" t="s">
        <v>68</v>
      </c>
      <c r="G7794" t="str">
        <f t="shared" si="318"/>
        <v>003JOCKER</v>
      </c>
      <c r="H7794" s="5">
        <v>1350</v>
      </c>
      <c r="I7794" s="6">
        <v>528.37931032368999</v>
      </c>
      <c r="J7794" s="5">
        <v>4000</v>
      </c>
      <c r="K7794" s="6">
        <f t="shared" si="317"/>
        <v>2.5549827058386856</v>
      </c>
    </row>
    <row r="7795" spans="1:11" hidden="1">
      <c r="A7795" s="4">
        <v>2026</v>
      </c>
      <c r="B7795">
        <v>20</v>
      </c>
      <c r="C7795" t="s">
        <v>54</v>
      </c>
      <c r="D7795" t="s">
        <v>11</v>
      </c>
      <c r="E7795" t="s">
        <v>65</v>
      </c>
      <c r="F7795" t="s">
        <v>69</v>
      </c>
      <c r="G7795" t="str">
        <f t="shared" si="318"/>
        <v>003QUICKSAND</v>
      </c>
      <c r="H7795" s="5">
        <v>2220</v>
      </c>
      <c r="I7795" s="6">
        <v>1162.4344827121247</v>
      </c>
      <c r="J7795" s="5">
        <v>8800</v>
      </c>
      <c r="K7795" s="6">
        <f t="shared" si="317"/>
        <v>1.9097850528491076</v>
      </c>
    </row>
    <row r="7796" spans="1:11" hidden="1">
      <c r="A7796" s="4">
        <v>2026</v>
      </c>
      <c r="B7796">
        <v>20</v>
      </c>
      <c r="C7796" t="s">
        <v>54</v>
      </c>
      <c r="D7796" t="s">
        <v>11</v>
      </c>
      <c r="E7796" t="s">
        <v>14</v>
      </c>
      <c r="F7796" t="s">
        <v>70</v>
      </c>
      <c r="G7796" t="str">
        <f t="shared" si="318"/>
        <v>004COTOPAXI</v>
      </c>
      <c r="H7796" s="5">
        <v>1110</v>
      </c>
      <c r="I7796" s="6">
        <v>528.39150244191671</v>
      </c>
      <c r="J7796" s="5">
        <v>4000</v>
      </c>
      <c r="K7796" s="6">
        <f t="shared" si="317"/>
        <v>2.1007150850652003</v>
      </c>
    </row>
    <row r="7797" spans="1:11" hidden="1">
      <c r="A7797" s="4">
        <v>2026</v>
      </c>
      <c r="B7797">
        <v>20</v>
      </c>
      <c r="C7797" t="s">
        <v>54</v>
      </c>
      <c r="D7797" t="s">
        <v>11</v>
      </c>
      <c r="E7797" t="s">
        <v>14</v>
      </c>
      <c r="F7797" t="s">
        <v>67</v>
      </c>
      <c r="G7797" t="str">
        <f t="shared" si="318"/>
        <v>004DEEP PURPLE</v>
      </c>
      <c r="H7797" s="5">
        <v>7620</v>
      </c>
      <c r="I7797" s="6">
        <v>3910.1071427007341</v>
      </c>
      <c r="J7797" s="5">
        <v>29260</v>
      </c>
      <c r="K7797" s="6">
        <f t="shared" ref="K7797:K7859" si="319">+H7797/I7797</f>
        <v>1.9487957035204977</v>
      </c>
    </row>
    <row r="7798" spans="1:11" hidden="1">
      <c r="A7798" s="4">
        <v>2026</v>
      </c>
      <c r="B7798">
        <v>20</v>
      </c>
      <c r="C7798" t="s">
        <v>54</v>
      </c>
      <c r="D7798" t="s">
        <v>11</v>
      </c>
      <c r="E7798" t="s">
        <v>14</v>
      </c>
      <c r="F7798" t="s">
        <v>71</v>
      </c>
      <c r="G7798" t="str">
        <f t="shared" si="318"/>
        <v>004HOT EXPLORER</v>
      </c>
      <c r="H7798" s="5">
        <v>3150</v>
      </c>
      <c r="I7798" s="6">
        <v>1902.2142856381947</v>
      </c>
      <c r="J7798" s="5">
        <v>14400</v>
      </c>
      <c r="K7798" s="6">
        <f t="shared" si="319"/>
        <v>1.655964853057116</v>
      </c>
    </row>
    <row r="7799" spans="1:11" hidden="1">
      <c r="A7799" s="4">
        <v>2026</v>
      </c>
      <c r="B7799">
        <v>20</v>
      </c>
      <c r="C7799" t="s">
        <v>54</v>
      </c>
      <c r="D7799" t="s">
        <v>11</v>
      </c>
      <c r="E7799" t="s">
        <v>14</v>
      </c>
      <c r="F7799" t="s">
        <v>72</v>
      </c>
      <c r="G7799" t="str">
        <f t="shared" si="318"/>
        <v>004HOT MERENGUE</v>
      </c>
      <c r="H7799" s="5">
        <v>2640</v>
      </c>
      <c r="I7799" s="6">
        <v>1162.4642856677858</v>
      </c>
      <c r="J7799" s="5">
        <v>8800</v>
      </c>
      <c r="K7799" s="6">
        <f t="shared" si="319"/>
        <v>2.2710375127640443</v>
      </c>
    </row>
    <row r="7800" spans="1:11" hidden="1">
      <c r="A7800" s="4">
        <v>2026</v>
      </c>
      <c r="B7800">
        <v>20</v>
      </c>
      <c r="C7800" t="s">
        <v>54</v>
      </c>
      <c r="D7800" t="s">
        <v>11</v>
      </c>
      <c r="E7800" t="s">
        <v>14</v>
      </c>
      <c r="F7800" t="s">
        <v>64</v>
      </c>
      <c r="G7800" t="str">
        <f t="shared" si="318"/>
        <v>004SWEETNESS</v>
      </c>
      <c r="H7800" s="5">
        <v>900</v>
      </c>
      <c r="I7800" s="6">
        <v>317.03571427303262</v>
      </c>
      <c r="J7800" s="5">
        <v>2400</v>
      </c>
      <c r="K7800" s="6">
        <f t="shared" si="319"/>
        <v>2.8387968909550545</v>
      </c>
    </row>
    <row r="7801" spans="1:11" hidden="1">
      <c r="A7801" s="4">
        <v>2026</v>
      </c>
      <c r="B7801">
        <v>20</v>
      </c>
      <c r="C7801" t="s">
        <v>54</v>
      </c>
      <c r="D7801" t="s">
        <v>11</v>
      </c>
      <c r="E7801" t="s">
        <v>16</v>
      </c>
      <c r="F7801" t="s">
        <v>57</v>
      </c>
      <c r="G7801" t="str">
        <f t="shared" si="318"/>
        <v>005EXPLORER</v>
      </c>
      <c r="H7801" s="5">
        <v>2350</v>
      </c>
      <c r="I7801" s="6">
        <v>951.10714281875414</v>
      </c>
      <c r="J7801" s="5">
        <v>7200</v>
      </c>
      <c r="K7801" s="6">
        <f t="shared" si="319"/>
        <v>2.4708047013876997</v>
      </c>
    </row>
    <row r="7802" spans="1:11" hidden="1">
      <c r="A7802" s="4">
        <v>2026</v>
      </c>
      <c r="B7802">
        <v>20</v>
      </c>
      <c r="C7802" t="s">
        <v>54</v>
      </c>
      <c r="D7802" t="s">
        <v>11</v>
      </c>
      <c r="E7802" t="s">
        <v>16</v>
      </c>
      <c r="F7802" t="s">
        <v>73</v>
      </c>
      <c r="G7802" t="str">
        <f t="shared" si="318"/>
        <v>005GOLDFINCH</v>
      </c>
      <c r="H7802" s="5">
        <v>1025</v>
      </c>
      <c r="I7802" s="6">
        <v>898.26785710660113</v>
      </c>
      <c r="J7802" s="5">
        <v>6800</v>
      </c>
      <c r="K7802" s="6">
        <f t="shared" si="319"/>
        <v>1.1410850247960715</v>
      </c>
    </row>
    <row r="7803" spans="1:11" hidden="1">
      <c r="A7803" s="4">
        <v>2026</v>
      </c>
      <c r="B7803">
        <v>20</v>
      </c>
      <c r="C7803" t="s">
        <v>54</v>
      </c>
      <c r="D7803" t="s">
        <v>11</v>
      </c>
      <c r="E7803" t="s">
        <v>16</v>
      </c>
      <c r="F7803" t="s">
        <v>68</v>
      </c>
      <c r="G7803" t="str">
        <f t="shared" si="318"/>
        <v>005JOCKER</v>
      </c>
      <c r="H7803" s="5">
        <v>2425</v>
      </c>
      <c r="I7803" s="6">
        <v>1162.4642856673661</v>
      </c>
      <c r="J7803" s="5">
        <v>8800</v>
      </c>
      <c r="K7803" s="6">
        <f t="shared" si="319"/>
        <v>2.0860855941116654</v>
      </c>
    </row>
    <row r="7804" spans="1:11" hidden="1">
      <c r="A7804" s="4">
        <v>2026</v>
      </c>
      <c r="B7804">
        <v>20</v>
      </c>
      <c r="C7804" t="s">
        <v>54</v>
      </c>
      <c r="D7804" t="s">
        <v>11</v>
      </c>
      <c r="E7804" t="s">
        <v>16</v>
      </c>
      <c r="F7804" t="s">
        <v>74</v>
      </c>
      <c r="G7804" t="str">
        <f t="shared" si="318"/>
        <v>005VENDELA</v>
      </c>
      <c r="H7804" s="5">
        <v>2310</v>
      </c>
      <c r="I7804" s="6">
        <v>686.91071425798907</v>
      </c>
      <c r="J7804" s="5">
        <v>5200</v>
      </c>
      <c r="K7804" s="6">
        <f t="shared" si="319"/>
        <v>3.3628824708248954</v>
      </c>
    </row>
    <row r="7805" spans="1:11" hidden="1">
      <c r="A7805" s="4">
        <v>2026</v>
      </c>
      <c r="B7805">
        <v>20</v>
      </c>
      <c r="C7805" t="s">
        <v>54</v>
      </c>
      <c r="D7805" t="s">
        <v>11</v>
      </c>
      <c r="E7805" t="s">
        <v>75</v>
      </c>
      <c r="F7805" t="s">
        <v>76</v>
      </c>
      <c r="G7805" t="str">
        <f t="shared" si="318"/>
        <v>006ATOMIC</v>
      </c>
      <c r="H7805" s="5">
        <v>2350</v>
      </c>
      <c r="I7805" s="6">
        <v>845.428571394752</v>
      </c>
      <c r="J7805" s="5">
        <v>6400</v>
      </c>
      <c r="K7805" s="6">
        <f t="shared" si="319"/>
        <v>2.7796552890601629</v>
      </c>
    </row>
    <row r="7806" spans="1:11" hidden="1">
      <c r="A7806" s="4">
        <v>2026</v>
      </c>
      <c r="B7806">
        <v>20</v>
      </c>
      <c r="C7806" t="s">
        <v>54</v>
      </c>
      <c r="D7806" t="s">
        <v>11</v>
      </c>
      <c r="E7806" t="s">
        <v>75</v>
      </c>
      <c r="F7806" t="s">
        <v>57</v>
      </c>
      <c r="G7806" t="str">
        <f t="shared" si="318"/>
        <v>006EXPLORER</v>
      </c>
      <c r="H7806" s="5">
        <v>10100</v>
      </c>
      <c r="I7806" s="6">
        <v>3910.1071427007359</v>
      </c>
      <c r="J7806" s="5">
        <v>29600</v>
      </c>
      <c r="K7806" s="6">
        <f t="shared" si="319"/>
        <v>2.5830494233014458</v>
      </c>
    </row>
    <row r="7807" spans="1:11" hidden="1">
      <c r="A7807" s="4">
        <v>2026</v>
      </c>
      <c r="B7807">
        <v>20</v>
      </c>
      <c r="C7807" t="s">
        <v>54</v>
      </c>
      <c r="D7807" t="s">
        <v>11</v>
      </c>
      <c r="E7807" t="s">
        <v>75</v>
      </c>
      <c r="F7807" t="s">
        <v>77</v>
      </c>
      <c r="G7807" t="str">
        <f t="shared" si="318"/>
        <v>006MONDIAL</v>
      </c>
      <c r="H7807" s="5">
        <v>9950</v>
      </c>
      <c r="I7807" s="6">
        <v>4015.7857141250797</v>
      </c>
      <c r="J7807" s="5">
        <v>30400</v>
      </c>
      <c r="K7807" s="6">
        <f t="shared" si="319"/>
        <v>2.4777218478072625</v>
      </c>
    </row>
    <row r="7808" spans="1:11" hidden="1">
      <c r="A7808" s="4">
        <v>2026</v>
      </c>
      <c r="B7808">
        <v>20</v>
      </c>
      <c r="C7808" t="s">
        <v>54</v>
      </c>
      <c r="D7808" t="s">
        <v>11</v>
      </c>
      <c r="E7808" t="s">
        <v>20</v>
      </c>
      <c r="F7808" t="s">
        <v>70</v>
      </c>
      <c r="G7808" t="str">
        <f t="shared" si="318"/>
        <v>007COTOPAXI</v>
      </c>
      <c r="H7808" s="5">
        <v>4320</v>
      </c>
      <c r="I7808" s="6">
        <v>2747.5751230427732</v>
      </c>
      <c r="J7808" s="5">
        <v>20800</v>
      </c>
      <c r="K7808" s="6">
        <f t="shared" si="319"/>
        <v>1.572295499318636</v>
      </c>
    </row>
    <row r="7809" spans="1:11" hidden="1">
      <c r="A7809" s="4">
        <v>2026</v>
      </c>
      <c r="B7809">
        <v>20</v>
      </c>
      <c r="C7809" t="s">
        <v>54</v>
      </c>
      <c r="D7809" t="s">
        <v>11</v>
      </c>
      <c r="E7809" t="s">
        <v>20</v>
      </c>
      <c r="F7809" t="s">
        <v>78</v>
      </c>
      <c r="G7809" t="str">
        <f t="shared" si="318"/>
        <v>007REDIANT</v>
      </c>
      <c r="H7809" s="5">
        <v>1590</v>
      </c>
      <c r="I7809" s="6">
        <v>1056.7586206473795</v>
      </c>
      <c r="J7809" s="5">
        <v>9600</v>
      </c>
      <c r="K7809" s="6">
        <f t="shared" si="319"/>
        <v>1.5046009267716711</v>
      </c>
    </row>
    <row r="7810" spans="1:11" hidden="1">
      <c r="A7810" s="4">
        <v>2026</v>
      </c>
      <c r="B7810">
        <v>20</v>
      </c>
      <c r="C7810" t="s">
        <v>54</v>
      </c>
      <c r="D7810" t="s">
        <v>11</v>
      </c>
      <c r="E7810" t="s">
        <v>20</v>
      </c>
      <c r="F7810" t="s">
        <v>63</v>
      </c>
      <c r="G7810" t="str">
        <f t="shared" si="318"/>
        <v>007SUMMER ROMANCE</v>
      </c>
      <c r="H7810" s="5">
        <v>1075</v>
      </c>
      <c r="I7810" s="6">
        <v>369.86551722658481</v>
      </c>
      <c r="J7810" s="5">
        <v>3080</v>
      </c>
      <c r="K7810" s="6">
        <f t="shared" si="319"/>
        <v>2.9064618082291784</v>
      </c>
    </row>
    <row r="7811" spans="1:11" hidden="1">
      <c r="A7811" s="4">
        <v>2026</v>
      </c>
      <c r="B7811">
        <v>20</v>
      </c>
      <c r="C7811" t="s">
        <v>54</v>
      </c>
      <c r="D7811" t="s">
        <v>11</v>
      </c>
      <c r="E7811" t="s">
        <v>20</v>
      </c>
      <c r="F7811" t="s">
        <v>74</v>
      </c>
      <c r="G7811" t="str">
        <f t="shared" si="318"/>
        <v>007VENDELA</v>
      </c>
      <c r="H7811" s="5">
        <v>11970</v>
      </c>
      <c r="I7811" s="6">
        <v>3592.9793102011167</v>
      </c>
      <c r="J7811" s="5">
        <v>27820</v>
      </c>
      <c r="K7811" s="6">
        <f t="shared" si="319"/>
        <v>3.3314970576131651</v>
      </c>
    </row>
    <row r="7812" spans="1:11" hidden="1">
      <c r="A7812" s="4">
        <v>2026</v>
      </c>
      <c r="B7812">
        <v>20</v>
      </c>
      <c r="C7812" t="s">
        <v>54</v>
      </c>
      <c r="D7812" t="s">
        <v>11</v>
      </c>
      <c r="E7812" t="s">
        <v>79</v>
      </c>
      <c r="F7812" t="s">
        <v>67</v>
      </c>
      <c r="G7812" t="str">
        <f t="shared" si="318"/>
        <v>008DEEP PURPLE</v>
      </c>
      <c r="H7812" s="5">
        <v>3690</v>
      </c>
      <c r="I7812" s="6">
        <v>1585.2222221588088</v>
      </c>
      <c r="J7812" s="5">
        <v>11490</v>
      </c>
      <c r="K7812" s="6">
        <f t="shared" si="319"/>
        <v>2.3277493517437788</v>
      </c>
    </row>
    <row r="7813" spans="1:11" hidden="1">
      <c r="A7813" s="4">
        <v>2026</v>
      </c>
      <c r="B7813">
        <v>20</v>
      </c>
      <c r="C7813" t="s">
        <v>54</v>
      </c>
      <c r="D7813" t="s">
        <v>11</v>
      </c>
      <c r="E7813" t="s">
        <v>79</v>
      </c>
      <c r="F7813" t="s">
        <v>81</v>
      </c>
      <c r="G7813" t="str">
        <f t="shared" si="318"/>
        <v>008FREEDOM</v>
      </c>
      <c r="H7813" s="5">
        <v>5250</v>
      </c>
      <c r="I7813" s="6">
        <v>2219.3111110223322</v>
      </c>
      <c r="J7813" s="5">
        <v>16800</v>
      </c>
      <c r="K7813" s="6">
        <f t="shared" si="319"/>
        <v>2.3655989346989625</v>
      </c>
    </row>
    <row r="7814" spans="1:11" hidden="1">
      <c r="A7814" s="4">
        <v>2026</v>
      </c>
      <c r="B7814">
        <v>20</v>
      </c>
      <c r="C7814" t="s">
        <v>54</v>
      </c>
      <c r="D7814" t="s">
        <v>11</v>
      </c>
      <c r="E7814" t="s">
        <v>79</v>
      </c>
      <c r="F7814" t="s">
        <v>68</v>
      </c>
      <c r="G7814" t="str">
        <f t="shared" si="318"/>
        <v>008JOCKER</v>
      </c>
      <c r="H7814" s="5">
        <v>7875</v>
      </c>
      <c r="I7814" s="6">
        <v>2959.0814813631118</v>
      </c>
      <c r="J7814" s="5">
        <v>22400</v>
      </c>
      <c r="K7814" s="6">
        <f t="shared" si="319"/>
        <v>2.661298801536331</v>
      </c>
    </row>
    <row r="7815" spans="1:11" hidden="1">
      <c r="A7815" s="4">
        <v>2026</v>
      </c>
      <c r="B7815">
        <v>20</v>
      </c>
      <c r="C7815" t="s">
        <v>54</v>
      </c>
      <c r="D7815" t="s">
        <v>11</v>
      </c>
      <c r="E7815" t="s">
        <v>79</v>
      </c>
      <c r="F7815" t="s">
        <v>61</v>
      </c>
      <c r="G7815" t="str">
        <f t="shared" si="318"/>
        <v>008LUMIA</v>
      </c>
      <c r="H7815" s="5">
        <v>1620</v>
      </c>
      <c r="I7815" s="6">
        <v>1796.5851851133164</v>
      </c>
      <c r="J7815" s="5">
        <v>13600</v>
      </c>
      <c r="K7815" s="6">
        <f t="shared" si="319"/>
        <v>0.90171065275583995</v>
      </c>
    </row>
    <row r="7816" spans="1:11" hidden="1">
      <c r="A7816" s="4">
        <v>2026</v>
      </c>
      <c r="B7816">
        <v>20</v>
      </c>
      <c r="C7816" t="s">
        <v>54</v>
      </c>
      <c r="D7816" t="s">
        <v>11</v>
      </c>
      <c r="E7816" t="s">
        <v>82</v>
      </c>
      <c r="F7816" t="s">
        <v>83</v>
      </c>
      <c r="G7816" t="str">
        <f t="shared" si="318"/>
        <v>010COOLDOWN</v>
      </c>
      <c r="H7816" s="5">
        <v>2950</v>
      </c>
      <c r="I7816" s="6">
        <v>1912.3542857142854</v>
      </c>
      <c r="J7816" s="5">
        <v>16320</v>
      </c>
      <c r="K7816" s="6">
        <f t="shared" si="319"/>
        <v>1.542601191650083</v>
      </c>
    </row>
    <row r="7817" spans="1:11" hidden="1">
      <c r="A7817" s="4">
        <v>2026</v>
      </c>
      <c r="B7817">
        <v>20</v>
      </c>
      <c r="C7817" t="s">
        <v>54</v>
      </c>
      <c r="D7817" t="s">
        <v>11</v>
      </c>
      <c r="E7817" t="s">
        <v>82</v>
      </c>
      <c r="F7817" t="s">
        <v>84</v>
      </c>
      <c r="G7817" t="str">
        <f t="shared" si="318"/>
        <v>010VIOLET HILL</v>
      </c>
      <c r="H7817" s="5">
        <v>7800</v>
      </c>
      <c r="I7817" s="6">
        <v>2812.2857142428566</v>
      </c>
      <c r="J7817" s="5">
        <v>20000</v>
      </c>
      <c r="K7817" s="6">
        <f t="shared" si="319"/>
        <v>2.7735446510632977</v>
      </c>
    </row>
    <row r="7818" spans="1:11" hidden="1">
      <c r="A7818" s="4">
        <v>2026</v>
      </c>
      <c r="B7818">
        <v>20</v>
      </c>
      <c r="C7818" t="s">
        <v>54</v>
      </c>
      <c r="D7818" t="s">
        <v>11</v>
      </c>
      <c r="E7818" t="s">
        <v>85</v>
      </c>
      <c r="F7818" t="s">
        <v>86</v>
      </c>
      <c r="G7818" t="str">
        <f t="shared" si="318"/>
        <v>011BRIGHTON</v>
      </c>
      <c r="H7818" s="5">
        <v>3725</v>
      </c>
      <c r="I7818" s="6">
        <v>1768.8376470588212</v>
      </c>
      <c r="J7818" s="5">
        <v>12800</v>
      </c>
      <c r="K7818" s="6">
        <f t="shared" si="319"/>
        <v>2.1059027131143644</v>
      </c>
    </row>
    <row r="7819" spans="1:11" hidden="1">
      <c r="A7819" s="4">
        <v>2026</v>
      </c>
      <c r="B7819">
        <v>20</v>
      </c>
      <c r="C7819" t="s">
        <v>54</v>
      </c>
      <c r="D7819" t="s">
        <v>11</v>
      </c>
      <c r="E7819" t="s">
        <v>85</v>
      </c>
      <c r="F7819" t="s">
        <v>87</v>
      </c>
      <c r="G7819" t="str">
        <f t="shared" si="318"/>
        <v>011CANDLELIGHT</v>
      </c>
      <c r="H7819" s="5">
        <v>3380</v>
      </c>
      <c r="I7819" s="6">
        <v>2263.799999886814</v>
      </c>
      <c r="J7819" s="5">
        <v>17920</v>
      </c>
      <c r="K7819" s="6">
        <f t="shared" si="319"/>
        <v>1.4930647584455314</v>
      </c>
    </row>
    <row r="7820" spans="1:11" hidden="1">
      <c r="A7820" s="4">
        <v>2026</v>
      </c>
      <c r="B7820">
        <v>20</v>
      </c>
      <c r="C7820" t="s">
        <v>54</v>
      </c>
      <c r="D7820" t="s">
        <v>11</v>
      </c>
      <c r="E7820" t="s">
        <v>85</v>
      </c>
      <c r="F7820" t="s">
        <v>88</v>
      </c>
      <c r="G7820" t="str">
        <f t="shared" si="318"/>
        <v>011CAYENNE</v>
      </c>
      <c r="H7820" s="5">
        <v>1380</v>
      </c>
      <c r="I7820" s="6">
        <v>994.97117647058758</v>
      </c>
      <c r="J7820" s="5">
        <v>7200</v>
      </c>
      <c r="K7820" s="6">
        <f t="shared" si="319"/>
        <v>1.3869748517692806</v>
      </c>
    </row>
    <row r="7821" spans="1:11" hidden="1">
      <c r="A7821" s="4">
        <v>2026</v>
      </c>
      <c r="B7821">
        <v>20</v>
      </c>
      <c r="C7821" t="s">
        <v>54</v>
      </c>
      <c r="D7821" t="s">
        <v>11</v>
      </c>
      <c r="E7821" t="s">
        <v>85</v>
      </c>
      <c r="F7821" t="s">
        <v>61</v>
      </c>
      <c r="G7821" t="str">
        <f t="shared" si="318"/>
        <v>011LUMIA</v>
      </c>
      <c r="H7821" s="5">
        <v>1470</v>
      </c>
      <c r="I7821" s="6">
        <v>994.97117647058769</v>
      </c>
      <c r="J7821" s="5">
        <v>7920</v>
      </c>
      <c r="K7821" s="6">
        <f t="shared" si="319"/>
        <v>1.4774297334064075</v>
      </c>
    </row>
    <row r="7822" spans="1:11" hidden="1">
      <c r="A7822" s="4">
        <v>2026</v>
      </c>
      <c r="B7822">
        <v>20</v>
      </c>
      <c r="C7822" t="s">
        <v>54</v>
      </c>
      <c r="D7822" t="s">
        <v>11</v>
      </c>
      <c r="E7822" t="s">
        <v>85</v>
      </c>
      <c r="F7822" t="s">
        <v>89</v>
      </c>
      <c r="G7822" t="str">
        <f t="shared" ref="G7822:G7885" si="320">+E7822&amp;F7822</f>
        <v>011STARDUST</v>
      </c>
      <c r="H7822" s="5">
        <v>4100</v>
      </c>
      <c r="I7822" s="6">
        <v>2263.799999886814</v>
      </c>
      <c r="J7822" s="5">
        <v>17920</v>
      </c>
      <c r="K7822" s="6">
        <f t="shared" si="319"/>
        <v>1.8111140561025676</v>
      </c>
    </row>
    <row r="7823" spans="1:11" hidden="1">
      <c r="A7823" s="4">
        <v>2026</v>
      </c>
      <c r="B7823">
        <v>20</v>
      </c>
      <c r="C7823" t="s">
        <v>54</v>
      </c>
      <c r="D7823" t="s">
        <v>11</v>
      </c>
      <c r="E7823" t="s">
        <v>90</v>
      </c>
      <c r="F7823" t="s">
        <v>67</v>
      </c>
      <c r="G7823" t="str">
        <f t="shared" si="320"/>
        <v>012DEEP PURPLE</v>
      </c>
      <c r="H7823" s="5">
        <v>15630</v>
      </c>
      <c r="I7823" s="6">
        <v>6727.0499997982606</v>
      </c>
      <c r="J7823" s="5">
        <v>49210</v>
      </c>
      <c r="K7823" s="6">
        <f t="shared" si="319"/>
        <v>2.3234553036574326</v>
      </c>
    </row>
    <row r="7824" spans="1:11" hidden="1">
      <c r="A7824" s="4">
        <v>2026</v>
      </c>
      <c r="B7824">
        <v>20</v>
      </c>
      <c r="C7824" t="s">
        <v>54</v>
      </c>
      <c r="D7824" t="s">
        <v>11</v>
      </c>
      <c r="E7824" t="s">
        <v>90</v>
      </c>
      <c r="F7824" t="s">
        <v>60</v>
      </c>
      <c r="G7824" t="str">
        <f t="shared" si="320"/>
        <v>012LIGHT HOUSE</v>
      </c>
      <c r="H7824" s="5">
        <v>1560</v>
      </c>
      <c r="I7824" s="6">
        <v>994.9499999999997</v>
      </c>
      <c r="J7824" s="5">
        <v>7200</v>
      </c>
      <c r="K7824" s="6">
        <f t="shared" si="319"/>
        <v>1.567917985828434</v>
      </c>
    </row>
    <row r="7825" spans="1:11" hidden="1">
      <c r="A7825" s="4">
        <v>2026</v>
      </c>
      <c r="B7825">
        <v>20</v>
      </c>
      <c r="C7825" t="s">
        <v>54</v>
      </c>
      <c r="D7825" t="s">
        <v>11</v>
      </c>
      <c r="E7825" t="s">
        <v>91</v>
      </c>
      <c r="F7825" t="s">
        <v>92</v>
      </c>
      <c r="G7825" t="str">
        <f t="shared" si="320"/>
        <v>013COUNTRY BLUES</v>
      </c>
      <c r="H7825" s="5">
        <v>1020</v>
      </c>
      <c r="I7825" s="6">
        <v>831.60000000000025</v>
      </c>
      <c r="J7825" s="5">
        <v>6300</v>
      </c>
      <c r="K7825" s="6">
        <f t="shared" si="319"/>
        <v>1.2265512265512262</v>
      </c>
    </row>
    <row r="7826" spans="1:11" hidden="1">
      <c r="A7826" s="4">
        <v>2026</v>
      </c>
      <c r="B7826">
        <v>20</v>
      </c>
      <c r="C7826" t="s">
        <v>54</v>
      </c>
      <c r="D7826" t="s">
        <v>11</v>
      </c>
      <c r="E7826" t="s">
        <v>91</v>
      </c>
      <c r="F7826" t="s">
        <v>93</v>
      </c>
      <c r="G7826" t="str">
        <f t="shared" si="320"/>
        <v>013LORRAINE</v>
      </c>
      <c r="H7826" s="5">
        <v>2150</v>
      </c>
      <c r="I7826" s="6">
        <v>1267.1999999999998</v>
      </c>
      <c r="J7826" s="5">
        <v>9600</v>
      </c>
      <c r="K7826" s="6">
        <f t="shared" si="319"/>
        <v>1.6966540404040407</v>
      </c>
    </row>
    <row r="7827" spans="1:11" hidden="1">
      <c r="A7827" s="4">
        <v>2026</v>
      </c>
      <c r="B7827">
        <v>20</v>
      </c>
      <c r="C7827" t="s">
        <v>54</v>
      </c>
      <c r="D7827" t="s">
        <v>11</v>
      </c>
      <c r="E7827" t="s">
        <v>91</v>
      </c>
      <c r="F7827" t="s">
        <v>61</v>
      </c>
      <c r="G7827" t="str">
        <f t="shared" si="320"/>
        <v>013LUMIA</v>
      </c>
      <c r="H7827" s="5">
        <v>300</v>
      </c>
      <c r="I7827" s="6">
        <v>316.8</v>
      </c>
      <c r="J7827" s="5">
        <v>2400</v>
      </c>
      <c r="K7827" s="6">
        <f t="shared" si="319"/>
        <v>0.94696969696969691</v>
      </c>
    </row>
    <row r="7828" spans="1:11" hidden="1">
      <c r="A7828" s="4">
        <v>2026</v>
      </c>
      <c r="B7828">
        <v>20</v>
      </c>
      <c r="C7828" t="s">
        <v>54</v>
      </c>
      <c r="D7828" t="s">
        <v>11</v>
      </c>
      <c r="E7828" t="s">
        <v>91</v>
      </c>
      <c r="F7828" t="s">
        <v>74</v>
      </c>
      <c r="G7828" t="str">
        <f t="shared" si="320"/>
        <v>013VENDELA</v>
      </c>
      <c r="H7828" s="5">
        <v>9000</v>
      </c>
      <c r="I7828" s="6">
        <v>3603.5999999999949</v>
      </c>
      <c r="J7828" s="5">
        <v>27296</v>
      </c>
      <c r="K7828" s="6">
        <f t="shared" si="319"/>
        <v>2.4975024975025009</v>
      </c>
    </row>
    <row r="7829" spans="1:11" hidden="1">
      <c r="A7829" s="4">
        <v>2026</v>
      </c>
      <c r="B7829">
        <v>20</v>
      </c>
      <c r="C7829" t="s">
        <v>54</v>
      </c>
      <c r="D7829" t="s">
        <v>11</v>
      </c>
      <c r="E7829" t="s">
        <v>23</v>
      </c>
      <c r="F7829" t="s">
        <v>89</v>
      </c>
      <c r="G7829" t="str">
        <f t="shared" si="320"/>
        <v>014STARDUST</v>
      </c>
      <c r="H7829" s="5">
        <v>6225</v>
      </c>
      <c r="I7829" s="6">
        <v>3682.7999999999943</v>
      </c>
      <c r="J7829" s="5">
        <v>27900</v>
      </c>
      <c r="K7829" s="6">
        <f t="shared" si="319"/>
        <v>1.6902899967416123</v>
      </c>
    </row>
    <row r="7830" spans="1:11" hidden="1">
      <c r="A7830" s="4">
        <v>2026</v>
      </c>
      <c r="B7830">
        <v>20</v>
      </c>
      <c r="C7830" t="s">
        <v>54</v>
      </c>
      <c r="D7830" t="s">
        <v>11</v>
      </c>
      <c r="E7830" t="s">
        <v>25</v>
      </c>
      <c r="F7830" t="s">
        <v>68</v>
      </c>
      <c r="G7830" t="str">
        <f t="shared" si="320"/>
        <v>015JOCKER</v>
      </c>
      <c r="H7830" s="5">
        <v>4175</v>
      </c>
      <c r="I7830" s="6">
        <v>2375.9999999999973</v>
      </c>
      <c r="J7830" s="5">
        <v>18000</v>
      </c>
      <c r="K7830" s="6">
        <f t="shared" si="319"/>
        <v>1.7571548821548841</v>
      </c>
    </row>
    <row r="7831" spans="1:11" hidden="1">
      <c r="A7831" s="4">
        <v>2026</v>
      </c>
      <c r="B7831">
        <v>20</v>
      </c>
      <c r="C7831" t="s">
        <v>54</v>
      </c>
      <c r="D7831" t="s">
        <v>11</v>
      </c>
      <c r="E7831" t="s">
        <v>27</v>
      </c>
      <c r="F7831" t="s">
        <v>94</v>
      </c>
      <c r="G7831" t="str">
        <f t="shared" si="320"/>
        <v>016DREAM IN PEACH</v>
      </c>
      <c r="H7831" s="5">
        <v>1770</v>
      </c>
      <c r="I7831" s="6">
        <v>950.40000000000032</v>
      </c>
      <c r="J7831" s="5">
        <v>7200</v>
      </c>
      <c r="K7831" s="6">
        <f t="shared" si="319"/>
        <v>1.8623737373737368</v>
      </c>
    </row>
    <row r="7832" spans="1:11" hidden="1">
      <c r="A7832" s="4">
        <v>2026</v>
      </c>
      <c r="B7832">
        <v>20</v>
      </c>
      <c r="C7832" t="s">
        <v>54</v>
      </c>
      <c r="D7832" t="s">
        <v>11</v>
      </c>
      <c r="E7832" t="s">
        <v>27</v>
      </c>
      <c r="F7832" t="s">
        <v>95</v>
      </c>
      <c r="G7832" t="str">
        <f t="shared" si="320"/>
        <v>016NINA</v>
      </c>
      <c r="H7832" s="5">
        <v>3075</v>
      </c>
      <c r="I7832" s="6">
        <v>1346.3999999999996</v>
      </c>
      <c r="J7832" s="5">
        <v>10200</v>
      </c>
      <c r="K7832" s="6">
        <f t="shared" si="319"/>
        <v>2.2838680926916228</v>
      </c>
    </row>
    <row r="7833" spans="1:11" hidden="1">
      <c r="A7833" s="4">
        <v>2026</v>
      </c>
      <c r="B7833">
        <v>20</v>
      </c>
      <c r="C7833" t="s">
        <v>54</v>
      </c>
      <c r="D7833" t="s">
        <v>11</v>
      </c>
      <c r="E7833" t="s">
        <v>30</v>
      </c>
      <c r="F7833" t="s">
        <v>81</v>
      </c>
      <c r="G7833" t="str">
        <f t="shared" si="320"/>
        <v>017FREEDOM</v>
      </c>
      <c r="H7833" s="5">
        <v>6660</v>
      </c>
      <c r="I7833" s="6">
        <v>2851.1999999999962</v>
      </c>
      <c r="J7833" s="5">
        <v>21600</v>
      </c>
      <c r="K7833" s="6">
        <f t="shared" si="319"/>
        <v>2.3358585858585892</v>
      </c>
    </row>
    <row r="7834" spans="1:11" hidden="1">
      <c r="A7834" s="4">
        <v>2026</v>
      </c>
      <c r="B7834">
        <v>20</v>
      </c>
      <c r="C7834" t="s">
        <v>54</v>
      </c>
      <c r="D7834" t="s">
        <v>11</v>
      </c>
      <c r="E7834" t="s">
        <v>30</v>
      </c>
      <c r="F7834" t="s">
        <v>73</v>
      </c>
      <c r="G7834" t="str">
        <f t="shared" si="320"/>
        <v>017GOLDFINCH</v>
      </c>
      <c r="H7834" s="5">
        <v>2800</v>
      </c>
      <c r="I7834" s="6">
        <v>2138.3999999999978</v>
      </c>
      <c r="J7834" s="5">
        <v>16200</v>
      </c>
      <c r="K7834" s="6">
        <f t="shared" si="319"/>
        <v>1.3093901982790885</v>
      </c>
    </row>
    <row r="7835" spans="1:11" hidden="1">
      <c r="A7835" s="4">
        <v>2026</v>
      </c>
      <c r="B7835">
        <v>20</v>
      </c>
      <c r="C7835" t="s">
        <v>54</v>
      </c>
      <c r="D7835" t="s">
        <v>11</v>
      </c>
      <c r="E7835" t="s">
        <v>32</v>
      </c>
      <c r="F7835" t="s">
        <v>86</v>
      </c>
      <c r="G7835" t="str">
        <f t="shared" si="320"/>
        <v>018BRIGHTON</v>
      </c>
      <c r="H7835" s="5">
        <v>1775</v>
      </c>
      <c r="I7835" s="6">
        <v>963.60000000000036</v>
      </c>
      <c r="J7835" s="5">
        <v>7570</v>
      </c>
      <c r="K7835" s="6">
        <f t="shared" si="319"/>
        <v>1.8420506434205057</v>
      </c>
    </row>
    <row r="7836" spans="1:11" hidden="1">
      <c r="A7836" s="4">
        <v>2026</v>
      </c>
      <c r="B7836">
        <v>20</v>
      </c>
      <c r="C7836" t="s">
        <v>54</v>
      </c>
      <c r="D7836" t="s">
        <v>11</v>
      </c>
      <c r="E7836" t="s">
        <v>35</v>
      </c>
      <c r="F7836" t="s">
        <v>86</v>
      </c>
      <c r="G7836" t="str">
        <f t="shared" si="320"/>
        <v>019BRIGHTON</v>
      </c>
      <c r="H7836" s="5">
        <v>5750</v>
      </c>
      <c r="I7836" s="6">
        <v>3167.9999999999955</v>
      </c>
      <c r="J7836" s="5">
        <v>24000</v>
      </c>
      <c r="K7836" s="6">
        <f t="shared" si="319"/>
        <v>1.815025252525255</v>
      </c>
    </row>
    <row r="7837" spans="1:11" hidden="1">
      <c r="A7837" s="4">
        <v>2026</v>
      </c>
      <c r="B7837">
        <v>20</v>
      </c>
      <c r="C7837" t="s">
        <v>54</v>
      </c>
      <c r="D7837" t="s">
        <v>11</v>
      </c>
      <c r="E7837" t="s">
        <v>35</v>
      </c>
      <c r="F7837" t="s">
        <v>96</v>
      </c>
      <c r="G7837" t="str">
        <f t="shared" si="320"/>
        <v>019TABATHA</v>
      </c>
      <c r="H7837" s="5">
        <v>3360</v>
      </c>
      <c r="I7837" s="6">
        <v>1188</v>
      </c>
      <c r="J7837" s="5">
        <v>9000</v>
      </c>
      <c r="K7837" s="6">
        <f t="shared" si="319"/>
        <v>2.8282828282828283</v>
      </c>
    </row>
    <row r="7838" spans="1:11" hidden="1">
      <c r="A7838" s="4">
        <v>2026</v>
      </c>
      <c r="B7838">
        <v>20</v>
      </c>
      <c r="C7838" t="s">
        <v>54</v>
      </c>
      <c r="D7838" t="s">
        <v>11</v>
      </c>
      <c r="E7838" t="s">
        <v>36</v>
      </c>
      <c r="F7838" t="s">
        <v>86</v>
      </c>
      <c r="G7838" t="str">
        <f t="shared" si="320"/>
        <v>020BRIGHTON</v>
      </c>
      <c r="H7838" s="5">
        <v>5125</v>
      </c>
      <c r="I7838" s="6">
        <v>2732.3999999999965</v>
      </c>
      <c r="J7838" s="5">
        <v>20700</v>
      </c>
      <c r="K7838" s="6">
        <f t="shared" si="319"/>
        <v>1.8756404625969867</v>
      </c>
    </row>
    <row r="7839" spans="1:11" hidden="1">
      <c r="A7839" s="4">
        <v>2026</v>
      </c>
      <c r="B7839">
        <v>20</v>
      </c>
      <c r="C7839" t="s">
        <v>54</v>
      </c>
      <c r="D7839" t="s">
        <v>11</v>
      </c>
      <c r="E7839" t="s">
        <v>36</v>
      </c>
      <c r="F7839" t="s">
        <v>97</v>
      </c>
      <c r="G7839" t="str">
        <f t="shared" si="320"/>
        <v>020TYCOON</v>
      </c>
      <c r="H7839" s="5">
        <v>1440</v>
      </c>
      <c r="I7839" s="6">
        <v>673.2</v>
      </c>
      <c r="J7839" s="5">
        <v>5100</v>
      </c>
      <c r="K7839" s="6">
        <f t="shared" si="319"/>
        <v>2.1390374331550799</v>
      </c>
    </row>
    <row r="7840" spans="1:11" hidden="1">
      <c r="A7840" s="4">
        <v>2026</v>
      </c>
      <c r="B7840">
        <v>20</v>
      </c>
      <c r="C7840" t="s">
        <v>54</v>
      </c>
      <c r="D7840" t="s">
        <v>11</v>
      </c>
      <c r="E7840" t="s">
        <v>38</v>
      </c>
      <c r="F7840" t="s">
        <v>98</v>
      </c>
      <c r="G7840" t="str">
        <f t="shared" si="320"/>
        <v>021SHOW GIRL</v>
      </c>
      <c r="H7840" s="5">
        <v>2725</v>
      </c>
      <c r="I7840" s="6">
        <v>1100.4749999999997</v>
      </c>
      <c r="J7840" s="5">
        <v>8000</v>
      </c>
      <c r="K7840" s="6">
        <f t="shared" si="319"/>
        <v>2.476203457597856</v>
      </c>
    </row>
    <row r="7841" spans="1:11" hidden="1">
      <c r="A7841" s="4">
        <v>2026</v>
      </c>
      <c r="B7841">
        <v>20</v>
      </c>
      <c r="C7841" t="s">
        <v>54</v>
      </c>
      <c r="D7841" t="s">
        <v>11</v>
      </c>
      <c r="E7841" t="s">
        <v>43</v>
      </c>
      <c r="F7841" t="s">
        <v>99</v>
      </c>
      <c r="G7841" t="str">
        <f t="shared" si="320"/>
        <v>022CORAL REEF</v>
      </c>
      <c r="H7841" s="5">
        <v>2675</v>
      </c>
      <c r="I7841" s="6">
        <v>1287</v>
      </c>
      <c r="J7841" s="5">
        <v>9400</v>
      </c>
      <c r="K7841" s="6">
        <f t="shared" si="319"/>
        <v>2.0784770784770785</v>
      </c>
    </row>
    <row r="7842" spans="1:11" hidden="1">
      <c r="A7842" s="4">
        <v>2026</v>
      </c>
      <c r="B7842">
        <v>20</v>
      </c>
      <c r="C7842" t="s">
        <v>54</v>
      </c>
      <c r="D7842" t="s">
        <v>11</v>
      </c>
      <c r="E7842" t="s">
        <v>100</v>
      </c>
      <c r="F7842" t="s">
        <v>70</v>
      </c>
      <c r="G7842" t="str">
        <f t="shared" si="320"/>
        <v>023COTOPAXI</v>
      </c>
      <c r="H7842" s="5">
        <v>5550</v>
      </c>
      <c r="I7842" s="6">
        <v>2641.139999999999</v>
      </c>
      <c r="J7842" s="5">
        <v>19200</v>
      </c>
      <c r="K7842" s="6">
        <f t="shared" si="319"/>
        <v>2.1013653195211166</v>
      </c>
    </row>
    <row r="7843" spans="1:11" hidden="1">
      <c r="A7843" s="4">
        <v>2026</v>
      </c>
      <c r="B7843">
        <v>20</v>
      </c>
      <c r="C7843" t="s">
        <v>54</v>
      </c>
      <c r="D7843" t="s">
        <v>11</v>
      </c>
      <c r="E7843" t="s">
        <v>100</v>
      </c>
      <c r="F7843" t="s">
        <v>101</v>
      </c>
      <c r="G7843" t="str">
        <f t="shared" si="320"/>
        <v>023FRUTTETO</v>
      </c>
      <c r="H7843" s="5">
        <v>3900</v>
      </c>
      <c r="I7843" s="6">
        <v>2641.139999999999</v>
      </c>
      <c r="J7843" s="5">
        <v>19200</v>
      </c>
      <c r="K7843" s="6">
        <f t="shared" si="319"/>
        <v>1.4766350893932172</v>
      </c>
    </row>
    <row r="7844" spans="1:11" hidden="1">
      <c r="A7844" s="4">
        <v>2026</v>
      </c>
      <c r="B7844">
        <v>20</v>
      </c>
      <c r="C7844" t="s">
        <v>54</v>
      </c>
      <c r="D7844" t="s">
        <v>11</v>
      </c>
      <c r="E7844" t="s">
        <v>102</v>
      </c>
      <c r="F7844" t="s">
        <v>70</v>
      </c>
      <c r="G7844" t="str">
        <f t="shared" si="320"/>
        <v>024COTOPAXI</v>
      </c>
      <c r="H7844" s="5">
        <v>3270</v>
      </c>
      <c r="I7844" s="6">
        <v>1430.6174906249998</v>
      </c>
      <c r="J7844" s="5">
        <v>10400</v>
      </c>
      <c r="K7844" s="6">
        <f t="shared" si="319"/>
        <v>2.2857262835304923</v>
      </c>
    </row>
    <row r="7845" spans="1:11" hidden="1">
      <c r="A7845" s="4">
        <v>2026</v>
      </c>
      <c r="B7845">
        <v>20</v>
      </c>
      <c r="C7845" t="s">
        <v>54</v>
      </c>
      <c r="D7845" t="s">
        <v>11</v>
      </c>
      <c r="E7845" t="s">
        <v>102</v>
      </c>
      <c r="F7845" t="s">
        <v>64</v>
      </c>
      <c r="G7845" t="str">
        <f t="shared" si="320"/>
        <v>024SWEETNESS</v>
      </c>
      <c r="H7845" s="5">
        <v>1800</v>
      </c>
      <c r="I7845" s="6">
        <v>1430.6174999999998</v>
      </c>
      <c r="J7845" s="5">
        <v>10400</v>
      </c>
      <c r="K7845" s="6">
        <f t="shared" si="319"/>
        <v>1.2581979459918533</v>
      </c>
    </row>
    <row r="7846" spans="1:11" hidden="1">
      <c r="A7846" s="4">
        <v>2026</v>
      </c>
      <c r="B7846">
        <v>20</v>
      </c>
      <c r="C7846" t="s">
        <v>54</v>
      </c>
      <c r="D7846" t="s">
        <v>11</v>
      </c>
      <c r="E7846" t="s">
        <v>102</v>
      </c>
      <c r="F7846" t="s">
        <v>97</v>
      </c>
      <c r="G7846" t="str">
        <f t="shared" si="320"/>
        <v>024TYCOON</v>
      </c>
      <c r="H7846" s="5">
        <v>5100</v>
      </c>
      <c r="I7846" s="6">
        <v>2861.2349999999983</v>
      </c>
      <c r="J7846" s="5">
        <v>20800</v>
      </c>
      <c r="K7846" s="6">
        <f t="shared" si="319"/>
        <v>1.7824470901551264</v>
      </c>
    </row>
    <row r="7847" spans="1:11" hidden="1">
      <c r="A7847" s="4">
        <v>2026</v>
      </c>
      <c r="B7847">
        <v>20</v>
      </c>
      <c r="C7847" t="s">
        <v>54</v>
      </c>
      <c r="D7847" t="s">
        <v>11</v>
      </c>
      <c r="E7847" t="s">
        <v>103</v>
      </c>
      <c r="F7847" t="s">
        <v>104</v>
      </c>
      <c r="G7847" t="str">
        <f t="shared" si="320"/>
        <v>025PINK MONDIAL</v>
      </c>
      <c r="H7847" s="5">
        <v>6025</v>
      </c>
      <c r="I7847" s="6">
        <v>3071.9505624999983</v>
      </c>
      <c r="J7847" s="5">
        <v>22400</v>
      </c>
      <c r="K7847" s="6">
        <f t="shared" si="319"/>
        <v>1.9612945838219371</v>
      </c>
    </row>
    <row r="7848" spans="1:11" hidden="1">
      <c r="A7848" s="4">
        <v>2026</v>
      </c>
      <c r="B7848">
        <v>20</v>
      </c>
      <c r="C7848" t="s">
        <v>54</v>
      </c>
      <c r="D7848" t="s">
        <v>11</v>
      </c>
      <c r="E7848" t="s">
        <v>45</v>
      </c>
      <c r="F7848" t="s">
        <v>105</v>
      </c>
      <c r="G7848" t="str">
        <f t="shared" si="320"/>
        <v>026LOLA</v>
      </c>
      <c r="H7848" s="5">
        <v>3075</v>
      </c>
      <c r="I7848" s="6">
        <v>2852.5249999999992</v>
      </c>
      <c r="J7848" s="5">
        <v>20800</v>
      </c>
      <c r="K7848" s="6">
        <f t="shared" si="319"/>
        <v>1.0779923050630584</v>
      </c>
    </row>
    <row r="7849" spans="1:11" hidden="1">
      <c r="A7849" s="4">
        <v>2026</v>
      </c>
      <c r="B7849">
        <v>20</v>
      </c>
      <c r="C7849" t="s">
        <v>54</v>
      </c>
      <c r="D7849" t="s">
        <v>11</v>
      </c>
      <c r="E7849" t="s">
        <v>45</v>
      </c>
      <c r="F7849" t="s">
        <v>106</v>
      </c>
      <c r="G7849" t="str">
        <f t="shared" si="320"/>
        <v>026PALOMA</v>
      </c>
      <c r="H7849" s="5">
        <v>4125</v>
      </c>
      <c r="I7849" s="6">
        <v>2852.5249999999992</v>
      </c>
      <c r="J7849" s="5">
        <v>20800</v>
      </c>
      <c r="K7849" s="6">
        <f t="shared" si="319"/>
        <v>1.4460872384992247</v>
      </c>
    </row>
    <row r="7850" spans="1:11" hidden="1">
      <c r="A7850" s="4">
        <v>2026</v>
      </c>
      <c r="B7850">
        <v>20</v>
      </c>
      <c r="C7850" t="s">
        <v>54</v>
      </c>
      <c r="D7850" t="s">
        <v>11</v>
      </c>
      <c r="E7850" t="s">
        <v>107</v>
      </c>
      <c r="F7850" t="s">
        <v>108</v>
      </c>
      <c r="G7850" t="str">
        <f t="shared" si="320"/>
        <v>027SATISFACTION</v>
      </c>
      <c r="H7850" s="5">
        <v>4440</v>
      </c>
      <c r="I7850" s="6">
        <v>2633.0999999999995</v>
      </c>
      <c r="J7850" s="5">
        <v>19200</v>
      </c>
      <c r="K7850" s="6">
        <f t="shared" si="319"/>
        <v>1.6862253617409142</v>
      </c>
    </row>
    <row r="7851" spans="1:11" hidden="1">
      <c r="A7851" s="4">
        <v>2026</v>
      </c>
      <c r="B7851">
        <v>20</v>
      </c>
      <c r="C7851" t="s">
        <v>54</v>
      </c>
      <c r="D7851" t="s">
        <v>11</v>
      </c>
      <c r="E7851" t="s">
        <v>107</v>
      </c>
      <c r="F7851" t="s">
        <v>109</v>
      </c>
      <c r="G7851" t="str">
        <f t="shared" si="320"/>
        <v>027TIFFANY</v>
      </c>
      <c r="H7851" s="5">
        <v>5010</v>
      </c>
      <c r="I7851" s="6">
        <v>2633.0999999999995</v>
      </c>
      <c r="J7851" s="5">
        <v>19200</v>
      </c>
      <c r="K7851" s="6">
        <f t="shared" si="319"/>
        <v>1.9027002392617072</v>
      </c>
    </row>
    <row r="7852" spans="1:11" hidden="1">
      <c r="A7852" s="4">
        <v>2026</v>
      </c>
      <c r="B7852">
        <v>20</v>
      </c>
      <c r="C7852" t="s">
        <v>54</v>
      </c>
      <c r="D7852" t="s">
        <v>11</v>
      </c>
      <c r="E7852" t="s">
        <v>110</v>
      </c>
      <c r="F7852" t="s">
        <v>70</v>
      </c>
      <c r="G7852" t="str">
        <f t="shared" si="320"/>
        <v>028COTOPAXI</v>
      </c>
      <c r="H7852" s="5">
        <v>6000</v>
      </c>
      <c r="I7852" s="6">
        <v>2852.5249999999987</v>
      </c>
      <c r="J7852" s="5">
        <v>20800</v>
      </c>
      <c r="K7852" s="6">
        <f t="shared" si="319"/>
        <v>2.1033996196352365</v>
      </c>
    </row>
    <row r="7853" spans="1:11" hidden="1">
      <c r="A7853" s="4">
        <v>2026</v>
      </c>
      <c r="B7853">
        <v>20</v>
      </c>
      <c r="C7853" t="s">
        <v>54</v>
      </c>
      <c r="D7853" t="s">
        <v>11</v>
      </c>
      <c r="E7853" t="s">
        <v>110</v>
      </c>
      <c r="F7853" t="s">
        <v>67</v>
      </c>
      <c r="G7853" t="str">
        <f t="shared" si="320"/>
        <v>028DEEP PURPLE</v>
      </c>
      <c r="H7853" s="5">
        <v>6660</v>
      </c>
      <c r="I7853" s="6">
        <v>2852.5249999999987</v>
      </c>
      <c r="J7853" s="5">
        <v>20800</v>
      </c>
      <c r="K7853" s="6">
        <f t="shared" si="319"/>
        <v>2.3347735777951124</v>
      </c>
    </row>
    <row r="7854" spans="1:11" hidden="1">
      <c r="A7854" s="4">
        <v>2026</v>
      </c>
      <c r="B7854">
        <v>20</v>
      </c>
      <c r="C7854" t="s">
        <v>54</v>
      </c>
      <c r="D7854" t="s">
        <v>11</v>
      </c>
      <c r="E7854" t="s">
        <v>111</v>
      </c>
      <c r="F7854" t="s">
        <v>112</v>
      </c>
      <c r="G7854" t="str">
        <f t="shared" si="320"/>
        <v>029PINK FLOYD</v>
      </c>
      <c r="H7854" s="5">
        <v>4175</v>
      </c>
      <c r="I7854" s="6">
        <v>3071.949999999998</v>
      </c>
      <c r="J7854" s="5">
        <v>22400</v>
      </c>
      <c r="K7854" s="6">
        <f t="shared" si="319"/>
        <v>1.3590715994726486</v>
      </c>
    </row>
    <row r="7855" spans="1:11" hidden="1">
      <c r="A7855" s="4">
        <v>2026</v>
      </c>
      <c r="B7855">
        <v>20</v>
      </c>
      <c r="C7855" t="s">
        <v>54</v>
      </c>
      <c r="D7855" t="s">
        <v>11</v>
      </c>
      <c r="E7855" t="s">
        <v>47</v>
      </c>
      <c r="F7855" t="s">
        <v>57</v>
      </c>
      <c r="G7855" t="str">
        <f t="shared" si="320"/>
        <v>030EXPLORER</v>
      </c>
      <c r="H7855" s="5">
        <v>3625</v>
      </c>
      <c r="I7855" s="6">
        <v>1645.6875000000009</v>
      </c>
      <c r="J7855" s="5">
        <v>12000</v>
      </c>
      <c r="K7855" s="6">
        <f t="shared" si="319"/>
        <v>2.2027268238957869</v>
      </c>
    </row>
    <row r="7856" spans="1:11" hidden="1">
      <c r="A7856" s="4">
        <v>2026</v>
      </c>
      <c r="B7856">
        <v>21</v>
      </c>
      <c r="C7856" t="s">
        <v>10</v>
      </c>
      <c r="D7856" t="s">
        <v>11</v>
      </c>
      <c r="E7856" t="s">
        <v>12</v>
      </c>
      <c r="F7856" t="s">
        <v>13</v>
      </c>
      <c r="G7856" t="str">
        <f t="shared" si="320"/>
        <v>002SOMERSET</v>
      </c>
      <c r="H7856" s="5">
        <v>12000</v>
      </c>
      <c r="I7856" s="6">
        <v>4121.4642855494158</v>
      </c>
      <c r="J7856" s="5">
        <v>31200</v>
      </c>
      <c r="K7856" s="6">
        <f t="shared" si="319"/>
        <v>2.9115865548257029</v>
      </c>
    </row>
    <row r="7857" spans="1:11" hidden="1">
      <c r="A7857" s="4">
        <v>2026</v>
      </c>
      <c r="B7857">
        <v>21</v>
      </c>
      <c r="C7857" t="s">
        <v>10</v>
      </c>
      <c r="D7857" t="s">
        <v>11</v>
      </c>
      <c r="E7857" t="s">
        <v>14</v>
      </c>
      <c r="F7857" t="s">
        <v>15</v>
      </c>
      <c r="G7857" t="str">
        <f t="shared" si="320"/>
        <v>004BELLINA</v>
      </c>
      <c r="H7857" s="5">
        <v>1530</v>
      </c>
      <c r="I7857" s="6">
        <v>1056.785714243442</v>
      </c>
      <c r="J7857" s="5">
        <v>8000</v>
      </c>
      <c r="K7857" s="6">
        <f t="shared" si="319"/>
        <v>1.4477864143870778</v>
      </c>
    </row>
    <row r="7858" spans="1:11" hidden="1">
      <c r="A7858" s="4">
        <v>2026</v>
      </c>
      <c r="B7858">
        <v>21</v>
      </c>
      <c r="C7858" t="s">
        <v>10</v>
      </c>
      <c r="D7858" t="s">
        <v>11</v>
      </c>
      <c r="E7858" t="s">
        <v>16</v>
      </c>
      <c r="F7858" t="s">
        <v>17</v>
      </c>
      <c r="G7858" t="str">
        <f t="shared" si="320"/>
        <v>005ELBA</v>
      </c>
      <c r="H7858" s="5">
        <v>8310</v>
      </c>
      <c r="I7858" s="6">
        <v>2641.9642856076448</v>
      </c>
      <c r="J7858" s="5">
        <v>19996</v>
      </c>
      <c r="K7858" s="6">
        <f t="shared" si="319"/>
        <v>3.1453869551793439</v>
      </c>
    </row>
    <row r="7859" spans="1:11" hidden="1">
      <c r="A7859" s="4">
        <v>2026</v>
      </c>
      <c r="B7859">
        <v>21</v>
      </c>
      <c r="C7859" t="s">
        <v>10</v>
      </c>
      <c r="D7859" t="s">
        <v>11</v>
      </c>
      <c r="E7859" t="s">
        <v>16</v>
      </c>
      <c r="F7859" t="s">
        <v>18</v>
      </c>
      <c r="G7859" t="str">
        <f t="shared" si="320"/>
        <v>005HOT BUBBLES</v>
      </c>
      <c r="H7859" s="5">
        <v>1420</v>
      </c>
      <c r="I7859" s="6">
        <v>528.39285712153003</v>
      </c>
      <c r="J7859" s="5">
        <v>4000</v>
      </c>
      <c r="K7859" s="6">
        <f t="shared" si="319"/>
        <v>2.6873943901050898</v>
      </c>
    </row>
    <row r="7860" spans="1:11" hidden="1">
      <c r="A7860" s="4">
        <v>2026</v>
      </c>
      <c r="B7860">
        <v>21</v>
      </c>
      <c r="C7860" t="s">
        <v>10</v>
      </c>
      <c r="D7860" t="s">
        <v>11</v>
      </c>
      <c r="E7860" t="s">
        <v>16</v>
      </c>
      <c r="F7860" t="s">
        <v>19</v>
      </c>
      <c r="G7860" t="str">
        <f t="shared" si="320"/>
        <v>005SUSPIRO</v>
      </c>
      <c r="H7860" s="5">
        <v>6540</v>
      </c>
      <c r="I7860" s="6">
        <v>1902.2142856375083</v>
      </c>
      <c r="J7860" s="5">
        <v>14400</v>
      </c>
      <c r="K7860" s="6">
        <f t="shared" ref="K7860:K7921" si="321">+H7860/I7860</f>
        <v>3.4380984568245863</v>
      </c>
    </row>
    <row r="7861" spans="1:11" hidden="1">
      <c r="A7861" s="4">
        <v>2026</v>
      </c>
      <c r="B7861">
        <v>21</v>
      </c>
      <c r="C7861" t="s">
        <v>10</v>
      </c>
      <c r="D7861" t="s">
        <v>11</v>
      </c>
      <c r="E7861" t="s">
        <v>20</v>
      </c>
      <c r="F7861" t="s">
        <v>21</v>
      </c>
      <c r="G7861" t="str">
        <f t="shared" si="320"/>
        <v>007SNOW BUBBLES</v>
      </c>
      <c r="H7861" s="5">
        <v>1300</v>
      </c>
      <c r="I7861" s="6">
        <v>634.05652706821184</v>
      </c>
      <c r="J7861" s="5">
        <v>4800</v>
      </c>
      <c r="K7861" s="6">
        <f t="shared" si="321"/>
        <v>2.0502903834316113</v>
      </c>
    </row>
    <row r="7862" spans="1:11" hidden="1">
      <c r="A7862" s="4">
        <v>2026</v>
      </c>
      <c r="B7862">
        <v>21</v>
      </c>
      <c r="C7862" t="s">
        <v>10</v>
      </c>
      <c r="D7862" t="s">
        <v>11</v>
      </c>
      <c r="E7862" t="s">
        <v>22</v>
      </c>
      <c r="F7862" t="s">
        <v>18</v>
      </c>
      <c r="G7862" t="str">
        <f t="shared" si="320"/>
        <v>009HOT BUBBLES</v>
      </c>
      <c r="H7862" s="5">
        <v>9160</v>
      </c>
      <c r="I7862" s="6">
        <v>4487.9999999102447</v>
      </c>
      <c r="J7862" s="5">
        <v>31740</v>
      </c>
      <c r="K7862" s="6">
        <f t="shared" si="321"/>
        <v>2.0409982175096237</v>
      </c>
    </row>
    <row r="7863" spans="1:11" hidden="1">
      <c r="A7863" s="4">
        <v>2026</v>
      </c>
      <c r="B7863">
        <v>21</v>
      </c>
      <c r="C7863" t="s">
        <v>10</v>
      </c>
      <c r="D7863" t="s">
        <v>11</v>
      </c>
      <c r="E7863" t="s">
        <v>23</v>
      </c>
      <c r="F7863" t="s">
        <v>24</v>
      </c>
      <c r="G7863" t="str">
        <f t="shared" si="320"/>
        <v>014FRUITY BUBBLES</v>
      </c>
      <c r="H7863" s="5">
        <v>2850</v>
      </c>
      <c r="I7863" s="6">
        <v>1702.7999999999988</v>
      </c>
      <c r="J7863" s="5">
        <v>12900</v>
      </c>
      <c r="K7863" s="6">
        <f t="shared" si="321"/>
        <v>1.6737138830162097</v>
      </c>
    </row>
    <row r="7864" spans="1:11" hidden="1">
      <c r="A7864" s="4">
        <v>2026</v>
      </c>
      <c r="B7864">
        <v>21</v>
      </c>
      <c r="C7864" t="s">
        <v>10</v>
      </c>
      <c r="D7864" t="s">
        <v>11</v>
      </c>
      <c r="E7864" t="s">
        <v>25</v>
      </c>
      <c r="F7864" t="s">
        <v>26</v>
      </c>
      <c r="G7864" t="str">
        <f t="shared" si="320"/>
        <v>015FELLINI</v>
      </c>
      <c r="H7864" s="5">
        <v>6740</v>
      </c>
      <c r="I7864" s="6">
        <v>3009.5999999999958</v>
      </c>
      <c r="J7864" s="5">
        <v>22800</v>
      </c>
      <c r="K7864" s="6">
        <f t="shared" si="321"/>
        <v>2.2395002658160585</v>
      </c>
    </row>
    <row r="7865" spans="1:11" hidden="1">
      <c r="A7865" s="4">
        <v>2026</v>
      </c>
      <c r="B7865">
        <v>21</v>
      </c>
      <c r="C7865" t="s">
        <v>10</v>
      </c>
      <c r="D7865" t="s">
        <v>11</v>
      </c>
      <c r="E7865" t="s">
        <v>27</v>
      </c>
      <c r="F7865" t="s">
        <v>28</v>
      </c>
      <c r="G7865" t="str">
        <f t="shared" si="320"/>
        <v>016GOOD PEACH</v>
      </c>
      <c r="H7865" s="5">
        <v>3630</v>
      </c>
      <c r="I7865" s="6">
        <v>1385.9999999999995</v>
      </c>
      <c r="J7865" s="5">
        <v>10500</v>
      </c>
      <c r="K7865" s="6">
        <f t="shared" si="321"/>
        <v>2.61904761904762</v>
      </c>
    </row>
    <row r="7866" spans="1:11" hidden="1">
      <c r="A7866" s="4">
        <v>2026</v>
      </c>
      <c r="B7866">
        <v>21</v>
      </c>
      <c r="C7866" t="s">
        <v>10</v>
      </c>
      <c r="D7866" t="s">
        <v>11</v>
      </c>
      <c r="E7866" t="s">
        <v>27</v>
      </c>
      <c r="F7866" t="s">
        <v>29</v>
      </c>
      <c r="G7866" t="str">
        <f t="shared" si="320"/>
        <v>016GOOD YELLOW</v>
      </c>
      <c r="H7866" s="5">
        <v>4170</v>
      </c>
      <c r="I7866" s="6">
        <v>1385.9999999999995</v>
      </c>
      <c r="J7866" s="5">
        <v>10500</v>
      </c>
      <c r="K7866" s="6">
        <f t="shared" si="321"/>
        <v>3.0086580086580095</v>
      </c>
    </row>
    <row r="7867" spans="1:11" hidden="1">
      <c r="A7867" s="4">
        <v>2026</v>
      </c>
      <c r="B7867">
        <v>21</v>
      </c>
      <c r="C7867" t="s">
        <v>10</v>
      </c>
      <c r="D7867" t="s">
        <v>11</v>
      </c>
      <c r="E7867" t="s">
        <v>30</v>
      </c>
      <c r="F7867" t="s">
        <v>31</v>
      </c>
      <c r="G7867" t="str">
        <f t="shared" si="320"/>
        <v>017ORANGE STAR</v>
      </c>
      <c r="H7867" s="5">
        <v>1400</v>
      </c>
      <c r="I7867" s="6">
        <v>1029.6000000000004</v>
      </c>
      <c r="J7867" s="5">
        <v>7800</v>
      </c>
      <c r="K7867" s="6">
        <f t="shared" si="321"/>
        <v>1.3597513597513593</v>
      </c>
    </row>
    <row r="7868" spans="1:11" hidden="1">
      <c r="A7868" s="4">
        <v>2026</v>
      </c>
      <c r="B7868">
        <v>21</v>
      </c>
      <c r="C7868" t="s">
        <v>10</v>
      </c>
      <c r="D7868" t="s">
        <v>11</v>
      </c>
      <c r="E7868" t="s">
        <v>32</v>
      </c>
      <c r="F7868" t="s">
        <v>33</v>
      </c>
      <c r="G7868" t="str">
        <f t="shared" si="320"/>
        <v>018COSMO</v>
      </c>
      <c r="H7868" s="5">
        <v>4075</v>
      </c>
      <c r="I7868" s="6">
        <v>2653.1999999999966</v>
      </c>
      <c r="J7868" s="5">
        <v>20100</v>
      </c>
      <c r="K7868" s="6">
        <f t="shared" si="321"/>
        <v>1.5358812000603066</v>
      </c>
    </row>
    <row r="7869" spans="1:11" hidden="1">
      <c r="A7869" s="4">
        <v>2026</v>
      </c>
      <c r="B7869">
        <v>21</v>
      </c>
      <c r="C7869" t="s">
        <v>10</v>
      </c>
      <c r="D7869" t="s">
        <v>11</v>
      </c>
      <c r="E7869" t="s">
        <v>32</v>
      </c>
      <c r="F7869" t="s">
        <v>34</v>
      </c>
      <c r="G7869" t="str">
        <f t="shared" si="320"/>
        <v>018RUBICON</v>
      </c>
      <c r="H7869" s="5">
        <v>4980</v>
      </c>
      <c r="I7869" s="6">
        <v>1768.7999999999988</v>
      </c>
      <c r="J7869" s="5">
        <v>13400</v>
      </c>
      <c r="K7869" s="6">
        <f t="shared" si="321"/>
        <v>2.8154681139755784</v>
      </c>
    </row>
    <row r="7870" spans="1:11" hidden="1">
      <c r="A7870" s="4">
        <v>2026</v>
      </c>
      <c r="B7870">
        <v>21</v>
      </c>
      <c r="C7870" t="s">
        <v>10</v>
      </c>
      <c r="D7870" t="s">
        <v>11</v>
      </c>
      <c r="E7870" t="s">
        <v>35</v>
      </c>
      <c r="F7870" t="s">
        <v>15</v>
      </c>
      <c r="G7870" t="str">
        <f t="shared" si="320"/>
        <v>019BELLINA</v>
      </c>
      <c r="H7870" s="5">
        <v>2205</v>
      </c>
      <c r="I7870" s="6">
        <v>1029.6000000000004</v>
      </c>
      <c r="J7870" s="5">
        <v>7800</v>
      </c>
      <c r="K7870" s="6">
        <f t="shared" si="321"/>
        <v>2.1416083916083908</v>
      </c>
    </row>
    <row r="7871" spans="1:11" hidden="1">
      <c r="A7871" s="4">
        <v>2026</v>
      </c>
      <c r="B7871">
        <v>21</v>
      </c>
      <c r="C7871" t="s">
        <v>10</v>
      </c>
      <c r="D7871" t="s">
        <v>11</v>
      </c>
      <c r="E7871" t="s">
        <v>36</v>
      </c>
      <c r="F7871" t="s">
        <v>37</v>
      </c>
      <c r="G7871" t="str">
        <f t="shared" si="320"/>
        <v>020SUMMER DANCE</v>
      </c>
      <c r="H7871" s="5">
        <v>2525</v>
      </c>
      <c r="I7871" s="6">
        <v>1346.3999999999996</v>
      </c>
      <c r="J7871" s="5">
        <v>10200</v>
      </c>
      <c r="K7871" s="6">
        <f t="shared" si="321"/>
        <v>1.8753713606654787</v>
      </c>
    </row>
    <row r="7872" spans="1:11" hidden="1">
      <c r="A7872" s="4">
        <v>2026</v>
      </c>
      <c r="B7872">
        <v>21</v>
      </c>
      <c r="C7872" t="s">
        <v>10</v>
      </c>
      <c r="D7872" t="s">
        <v>11</v>
      </c>
      <c r="E7872" t="s">
        <v>38</v>
      </c>
      <c r="F7872" t="s">
        <v>39</v>
      </c>
      <c r="G7872" t="str">
        <f t="shared" si="320"/>
        <v>021ELEGANT ROSEVER</v>
      </c>
      <c r="H7872" s="5">
        <v>1200</v>
      </c>
      <c r="I7872" s="6">
        <v>440.18999062500001</v>
      </c>
      <c r="J7872" s="5">
        <v>3200</v>
      </c>
      <c r="K7872" s="6">
        <f t="shared" si="321"/>
        <v>2.7260956077083676</v>
      </c>
    </row>
    <row r="7873" spans="1:11" hidden="1">
      <c r="A7873" s="4">
        <v>2026</v>
      </c>
      <c r="B7873">
        <v>21</v>
      </c>
      <c r="C7873" t="s">
        <v>10</v>
      </c>
      <c r="D7873" t="s">
        <v>11</v>
      </c>
      <c r="E7873" t="s">
        <v>38</v>
      </c>
      <c r="F7873" t="s">
        <v>40</v>
      </c>
      <c r="G7873" t="str">
        <f t="shared" si="320"/>
        <v>021FLAME CLUB</v>
      </c>
      <c r="H7873" s="5">
        <v>2625</v>
      </c>
      <c r="I7873" s="6">
        <v>880.37999999999965</v>
      </c>
      <c r="J7873" s="5">
        <v>6400</v>
      </c>
      <c r="K7873" s="6">
        <f t="shared" si="321"/>
        <v>2.9816670074286113</v>
      </c>
    </row>
    <row r="7874" spans="1:11" hidden="1">
      <c r="A7874" s="4">
        <v>2026</v>
      </c>
      <c r="B7874">
        <v>21</v>
      </c>
      <c r="C7874" t="s">
        <v>10</v>
      </c>
      <c r="D7874" t="s">
        <v>11</v>
      </c>
      <c r="E7874" t="s">
        <v>38</v>
      </c>
      <c r="F7874" t="s">
        <v>41</v>
      </c>
      <c r="G7874" t="str">
        <f t="shared" si="320"/>
        <v>021KELLY</v>
      </c>
      <c r="H7874" s="5">
        <v>900</v>
      </c>
      <c r="I7874" s="6">
        <v>330.14249999999998</v>
      </c>
      <c r="J7874" s="5">
        <v>2400</v>
      </c>
      <c r="K7874" s="6">
        <f t="shared" si="321"/>
        <v>2.7260955496490151</v>
      </c>
    </row>
    <row r="7875" spans="1:11" hidden="1">
      <c r="A7875" s="4">
        <v>2026</v>
      </c>
      <c r="B7875">
        <v>21</v>
      </c>
      <c r="C7875" t="s">
        <v>10</v>
      </c>
      <c r="D7875" t="s">
        <v>11</v>
      </c>
      <c r="E7875" t="s">
        <v>38</v>
      </c>
      <c r="F7875" t="s">
        <v>42</v>
      </c>
      <c r="G7875" t="str">
        <f t="shared" si="320"/>
        <v>021LEILA</v>
      </c>
      <c r="H7875" s="5">
        <v>4325</v>
      </c>
      <c r="I7875" s="6">
        <v>770.33249999999975</v>
      </c>
      <c r="J7875" s="5">
        <v>5600</v>
      </c>
      <c r="K7875" s="6">
        <f t="shared" si="321"/>
        <v>5.6144586915390446</v>
      </c>
    </row>
    <row r="7876" spans="1:11" hidden="1">
      <c r="A7876" s="4">
        <v>2026</v>
      </c>
      <c r="B7876">
        <v>21</v>
      </c>
      <c r="C7876" t="s">
        <v>10</v>
      </c>
      <c r="D7876" t="s">
        <v>11</v>
      </c>
      <c r="E7876" t="s">
        <v>38</v>
      </c>
      <c r="F7876" t="s">
        <v>115</v>
      </c>
      <c r="G7876" t="str">
        <f t="shared" si="320"/>
        <v>021PISTACHIO KISS</v>
      </c>
      <c r="H7876" s="5">
        <v>150</v>
      </c>
      <c r="I7876" s="6">
        <v>880.37999999999965</v>
      </c>
      <c r="J7876" s="5">
        <v>6400</v>
      </c>
      <c r="K7876" s="6">
        <f t="shared" si="321"/>
        <v>0.17038097185306353</v>
      </c>
    </row>
    <row r="7877" spans="1:11" hidden="1">
      <c r="A7877" s="4">
        <v>2026</v>
      </c>
      <c r="B7877">
        <v>21</v>
      </c>
      <c r="C7877" t="s">
        <v>10</v>
      </c>
      <c r="D7877" t="s">
        <v>11</v>
      </c>
      <c r="E7877" t="s">
        <v>38</v>
      </c>
      <c r="F7877" t="s">
        <v>21</v>
      </c>
      <c r="G7877" t="str">
        <f t="shared" si="320"/>
        <v>021SNOW BUBBLES</v>
      </c>
      <c r="H7877" s="5">
        <v>3340</v>
      </c>
      <c r="I7877" s="6">
        <v>1287.0000000000018</v>
      </c>
      <c r="J7877" s="5">
        <v>9400</v>
      </c>
      <c r="K7877" s="6">
        <f t="shared" si="321"/>
        <v>2.5951825951825915</v>
      </c>
    </row>
    <row r="7878" spans="1:11" hidden="1">
      <c r="A7878" s="4">
        <v>2026</v>
      </c>
      <c r="B7878">
        <v>21</v>
      </c>
      <c r="C7878" t="s">
        <v>10</v>
      </c>
      <c r="D7878" t="s">
        <v>11</v>
      </c>
      <c r="E7878" t="s">
        <v>43</v>
      </c>
      <c r="F7878" t="s">
        <v>24</v>
      </c>
      <c r="G7878" t="str">
        <f t="shared" si="320"/>
        <v>022FRUITY BUBBLES</v>
      </c>
      <c r="H7878" s="5">
        <v>5775</v>
      </c>
      <c r="I7878" s="6">
        <v>2641.139999999999</v>
      </c>
      <c r="J7878" s="5">
        <v>19200</v>
      </c>
      <c r="K7878" s="6">
        <f t="shared" si="321"/>
        <v>2.1865558054476484</v>
      </c>
    </row>
    <row r="7879" spans="1:11" hidden="1">
      <c r="A7879" s="4">
        <v>2026</v>
      </c>
      <c r="B7879">
        <v>21</v>
      </c>
      <c r="C7879" t="s">
        <v>10</v>
      </c>
      <c r="D7879" t="s">
        <v>11</v>
      </c>
      <c r="E7879" t="s">
        <v>43</v>
      </c>
      <c r="F7879" t="s">
        <v>28</v>
      </c>
      <c r="G7879" t="str">
        <f t="shared" si="320"/>
        <v>022GOOD PEACH</v>
      </c>
      <c r="H7879" s="5">
        <v>2670</v>
      </c>
      <c r="I7879" s="6">
        <v>880.37999999999965</v>
      </c>
      <c r="J7879" s="5">
        <v>6400</v>
      </c>
      <c r="K7879" s="6">
        <f t="shared" si="321"/>
        <v>3.0327812989845304</v>
      </c>
    </row>
    <row r="7880" spans="1:11" hidden="1">
      <c r="A7880" s="4">
        <v>2026</v>
      </c>
      <c r="B7880">
        <v>21</v>
      </c>
      <c r="C7880" t="s">
        <v>10</v>
      </c>
      <c r="D7880" t="s">
        <v>11</v>
      </c>
      <c r="E7880" t="s">
        <v>43</v>
      </c>
      <c r="F7880" t="s">
        <v>44</v>
      </c>
      <c r="G7880" t="str">
        <f t="shared" si="320"/>
        <v>022MIRABEL</v>
      </c>
      <c r="H7880" s="5">
        <v>1420</v>
      </c>
      <c r="I7880" s="6">
        <v>880.37999999999965</v>
      </c>
      <c r="J7880" s="5">
        <v>6400</v>
      </c>
      <c r="K7880" s="6">
        <f t="shared" si="321"/>
        <v>1.612939866875668</v>
      </c>
    </row>
    <row r="7881" spans="1:11" hidden="1">
      <c r="A7881" s="4">
        <v>2026</v>
      </c>
      <c r="B7881">
        <v>21</v>
      </c>
      <c r="C7881" t="s">
        <v>10</v>
      </c>
      <c r="D7881" t="s">
        <v>11</v>
      </c>
      <c r="E7881" t="s">
        <v>47</v>
      </c>
      <c r="F7881" t="s">
        <v>44</v>
      </c>
      <c r="G7881" t="str">
        <f t="shared" si="320"/>
        <v>030MIRABEL</v>
      </c>
      <c r="H7881" s="5">
        <v>4240</v>
      </c>
      <c r="I7881" s="6">
        <v>2413.6749943750001</v>
      </c>
      <c r="J7881" s="5">
        <v>17600</v>
      </c>
      <c r="K7881" s="6">
        <f t="shared" si="321"/>
        <v>1.7566573834013268</v>
      </c>
    </row>
    <row r="7882" spans="1:11" hidden="1">
      <c r="A7882" s="4">
        <v>2026</v>
      </c>
      <c r="B7882">
        <v>21</v>
      </c>
      <c r="C7882" t="s">
        <v>10</v>
      </c>
      <c r="D7882" t="s">
        <v>11</v>
      </c>
      <c r="E7882" t="s">
        <v>47</v>
      </c>
      <c r="F7882" t="s">
        <v>13</v>
      </c>
      <c r="G7882" t="str">
        <f t="shared" si="320"/>
        <v>030SOMERSET</v>
      </c>
      <c r="H7882" s="5">
        <v>3960</v>
      </c>
      <c r="I7882" s="6">
        <v>1645.6875000000009</v>
      </c>
      <c r="J7882" s="5">
        <v>12000</v>
      </c>
      <c r="K7882" s="6">
        <f t="shared" si="321"/>
        <v>2.4062891648627081</v>
      </c>
    </row>
    <row r="7883" spans="1:11" hidden="1">
      <c r="A7883" s="4">
        <v>2026</v>
      </c>
      <c r="B7883">
        <v>21</v>
      </c>
      <c r="C7883" t="s">
        <v>10</v>
      </c>
      <c r="D7883" t="s">
        <v>11</v>
      </c>
      <c r="E7883" t="s">
        <v>48</v>
      </c>
      <c r="F7883" t="s">
        <v>49</v>
      </c>
      <c r="G7883" t="str">
        <f t="shared" si="320"/>
        <v>03182989</v>
      </c>
      <c r="H7883" s="5">
        <v>1140</v>
      </c>
      <c r="I7883" s="6">
        <v>726.32013058333712</v>
      </c>
      <c r="J7883" s="5">
        <v>5712</v>
      </c>
      <c r="K7883" s="6">
        <f t="shared" si="321"/>
        <v>1.569555836328562</v>
      </c>
    </row>
    <row r="7884" spans="1:11" hidden="1">
      <c r="A7884" s="4">
        <v>2026</v>
      </c>
      <c r="B7884">
        <v>21</v>
      </c>
      <c r="C7884" t="s">
        <v>10</v>
      </c>
      <c r="D7884" t="s">
        <v>11</v>
      </c>
      <c r="E7884" t="s">
        <v>48</v>
      </c>
      <c r="F7884" t="s">
        <v>34</v>
      </c>
      <c r="G7884" t="str">
        <f t="shared" si="320"/>
        <v>031RUBICON</v>
      </c>
      <c r="H7884" s="5">
        <v>2310</v>
      </c>
      <c r="I7884" s="6">
        <v>924.39958333667118</v>
      </c>
      <c r="J7884" s="5">
        <v>6720</v>
      </c>
      <c r="K7884" s="6">
        <f t="shared" si="321"/>
        <v>2.4989193435829211</v>
      </c>
    </row>
    <row r="7885" spans="1:11" hidden="1">
      <c r="A7885" s="4">
        <v>2026</v>
      </c>
      <c r="B7885">
        <v>21</v>
      </c>
      <c r="C7885" t="s">
        <v>10</v>
      </c>
      <c r="D7885" t="s">
        <v>11</v>
      </c>
      <c r="E7885" t="s">
        <v>48</v>
      </c>
      <c r="F7885" t="s">
        <v>13</v>
      </c>
      <c r="G7885" t="str">
        <f t="shared" si="320"/>
        <v>031SOMERSET</v>
      </c>
      <c r="H7885" s="5">
        <v>4800</v>
      </c>
      <c r="I7885" s="6">
        <v>1122.4852083333392</v>
      </c>
      <c r="J7885" s="5">
        <v>8160</v>
      </c>
      <c r="K7885" s="6">
        <f t="shared" si="321"/>
        <v>4.2762256147027697</v>
      </c>
    </row>
    <row r="7886" spans="1:11" hidden="1">
      <c r="A7886" s="4">
        <v>2026</v>
      </c>
      <c r="B7886">
        <v>21</v>
      </c>
      <c r="C7886" t="s">
        <v>10</v>
      </c>
      <c r="D7886" t="s">
        <v>11</v>
      </c>
      <c r="E7886" t="s">
        <v>48</v>
      </c>
      <c r="F7886" t="s">
        <v>50</v>
      </c>
      <c r="G7886" t="str">
        <f t="shared" ref="G7886:G7947" si="322">+E7886&amp;F7886</f>
        <v>031VELVET BLOSSOMS</v>
      </c>
      <c r="H7886" s="5">
        <v>700</v>
      </c>
      <c r="I7886" s="6">
        <v>396.17125000000203</v>
      </c>
      <c r="J7886" s="5">
        <v>2880</v>
      </c>
      <c r="K7886" s="6">
        <f t="shared" si="321"/>
        <v>1.7669126671862141</v>
      </c>
    </row>
    <row r="7887" spans="1:11" hidden="1">
      <c r="A7887" s="4">
        <v>2026</v>
      </c>
      <c r="B7887">
        <v>21</v>
      </c>
      <c r="C7887" t="s">
        <v>10</v>
      </c>
      <c r="D7887" t="s">
        <v>11</v>
      </c>
      <c r="E7887" t="s">
        <v>51</v>
      </c>
      <c r="F7887" t="s">
        <v>17</v>
      </c>
      <c r="G7887" t="str">
        <f t="shared" si="322"/>
        <v>032ELBA</v>
      </c>
      <c r="H7887" s="5">
        <v>3240</v>
      </c>
      <c r="I7887" s="6">
        <v>1535.9749999999992</v>
      </c>
      <c r="J7887" s="5">
        <v>11200</v>
      </c>
      <c r="K7887" s="6">
        <f t="shared" si="321"/>
        <v>2.1094093328341943</v>
      </c>
    </row>
    <row r="7888" spans="1:11" hidden="1">
      <c r="A7888" s="4">
        <v>2026</v>
      </c>
      <c r="B7888">
        <v>21</v>
      </c>
      <c r="C7888" t="s">
        <v>10</v>
      </c>
      <c r="D7888" t="s">
        <v>11</v>
      </c>
      <c r="E7888" t="s">
        <v>51</v>
      </c>
      <c r="F7888" t="s">
        <v>44</v>
      </c>
      <c r="G7888" t="str">
        <f t="shared" si="322"/>
        <v>032MIRABEL</v>
      </c>
      <c r="H7888" s="5">
        <v>1580</v>
      </c>
      <c r="I7888" s="6">
        <v>1535.9749999999995</v>
      </c>
      <c r="J7888" s="5">
        <v>11200</v>
      </c>
      <c r="K7888" s="6">
        <f t="shared" si="321"/>
        <v>1.0286625758882797</v>
      </c>
    </row>
    <row r="7889" spans="1:11" hidden="1">
      <c r="A7889" s="4">
        <v>2026</v>
      </c>
      <c r="B7889">
        <v>21</v>
      </c>
      <c r="C7889" t="s">
        <v>10</v>
      </c>
      <c r="D7889" t="s">
        <v>11</v>
      </c>
      <c r="E7889" t="s">
        <v>52</v>
      </c>
      <c r="F7889" t="s">
        <v>53</v>
      </c>
      <c r="G7889" t="str">
        <f t="shared" si="322"/>
        <v>033CREAMY FOLIES</v>
      </c>
      <c r="H7889" s="5">
        <v>690</v>
      </c>
      <c r="I7889" s="6">
        <v>594.25687500000311</v>
      </c>
      <c r="J7889" s="5">
        <v>4320</v>
      </c>
      <c r="K7889" s="6">
        <f t="shared" si="321"/>
        <v>1.1611140384366549</v>
      </c>
    </row>
    <row r="7890" spans="1:11" hidden="1">
      <c r="A7890" s="4">
        <v>2026</v>
      </c>
      <c r="B7890">
        <v>21</v>
      </c>
      <c r="C7890" t="s">
        <v>10</v>
      </c>
      <c r="D7890" t="s">
        <v>11</v>
      </c>
      <c r="E7890" t="s">
        <v>52</v>
      </c>
      <c r="F7890" t="s">
        <v>18</v>
      </c>
      <c r="G7890" t="str">
        <f t="shared" si="322"/>
        <v>033HOT BUBBLES</v>
      </c>
      <c r="H7890" s="5">
        <v>3300</v>
      </c>
      <c r="I7890" s="6">
        <v>2575.1131250013464</v>
      </c>
      <c r="J7890" s="5">
        <v>18720</v>
      </c>
      <c r="K7890" s="6">
        <f t="shared" si="321"/>
        <v>1.2814970992772501</v>
      </c>
    </row>
    <row r="7891" spans="1:11" hidden="1">
      <c r="A7891" s="4">
        <v>2026</v>
      </c>
      <c r="B7891">
        <v>21</v>
      </c>
      <c r="C7891" t="s">
        <v>54</v>
      </c>
      <c r="D7891" t="s">
        <v>11</v>
      </c>
      <c r="E7891" t="s">
        <v>55</v>
      </c>
      <c r="F7891" t="s">
        <v>56</v>
      </c>
      <c r="G7891" t="str">
        <f t="shared" si="322"/>
        <v>001BELIEVE IN PINK</v>
      </c>
      <c r="H7891" s="5">
        <v>1800</v>
      </c>
      <c r="I7891" s="6">
        <v>528.37931032368999</v>
      </c>
      <c r="J7891" s="5">
        <v>4000</v>
      </c>
      <c r="K7891" s="6">
        <f t="shared" si="321"/>
        <v>3.4066436077849143</v>
      </c>
    </row>
    <row r="7892" spans="1:11" hidden="1">
      <c r="A7892" s="4">
        <v>2026</v>
      </c>
      <c r="B7892">
        <v>21</v>
      </c>
      <c r="C7892" t="s">
        <v>54</v>
      </c>
      <c r="D7892" t="s">
        <v>11</v>
      </c>
      <c r="E7892" t="s">
        <v>55</v>
      </c>
      <c r="F7892" t="s">
        <v>57</v>
      </c>
      <c r="G7892" t="str">
        <f t="shared" si="322"/>
        <v>001EXPLORER</v>
      </c>
      <c r="H7892" s="5">
        <v>6400</v>
      </c>
      <c r="I7892" s="6">
        <v>2272.0310343918723</v>
      </c>
      <c r="J7892" s="5">
        <v>17200</v>
      </c>
      <c r="K7892" s="6">
        <f t="shared" si="321"/>
        <v>2.8168629315017313</v>
      </c>
    </row>
    <row r="7893" spans="1:11" hidden="1">
      <c r="A7893" s="4">
        <v>2026</v>
      </c>
      <c r="B7893">
        <v>21</v>
      </c>
      <c r="C7893" t="s">
        <v>54</v>
      </c>
      <c r="D7893" t="s">
        <v>11</v>
      </c>
      <c r="E7893" t="s">
        <v>55</v>
      </c>
      <c r="F7893" t="s">
        <v>58</v>
      </c>
      <c r="G7893" t="str">
        <f t="shared" si="322"/>
        <v>001GRACE KELLY</v>
      </c>
      <c r="H7893" s="5">
        <v>2700</v>
      </c>
      <c r="I7893" s="6">
        <v>1162.434482712122</v>
      </c>
      <c r="J7893" s="5">
        <v>8800</v>
      </c>
      <c r="K7893" s="6">
        <f t="shared" si="321"/>
        <v>2.3227115507624334</v>
      </c>
    </row>
    <row r="7894" spans="1:11" hidden="1">
      <c r="A7894" s="4">
        <v>2026</v>
      </c>
      <c r="B7894">
        <v>21</v>
      </c>
      <c r="C7894" t="s">
        <v>54</v>
      </c>
      <c r="D7894" t="s">
        <v>11</v>
      </c>
      <c r="E7894" t="s">
        <v>55</v>
      </c>
      <c r="F7894" t="s">
        <v>60</v>
      </c>
      <c r="G7894" t="str">
        <f t="shared" si="322"/>
        <v>001LIGHT HOUSE</v>
      </c>
      <c r="H7894" s="5">
        <v>1950</v>
      </c>
      <c r="I7894" s="6">
        <v>1056.7586206473825</v>
      </c>
      <c r="J7894" s="5">
        <v>8000</v>
      </c>
      <c r="K7894" s="6">
        <f t="shared" si="321"/>
        <v>1.8452652875501574</v>
      </c>
    </row>
    <row r="7895" spans="1:11" hidden="1">
      <c r="A7895" s="4">
        <v>2026</v>
      </c>
      <c r="B7895">
        <v>21</v>
      </c>
      <c r="C7895" t="s">
        <v>54</v>
      </c>
      <c r="D7895" t="s">
        <v>11</v>
      </c>
      <c r="E7895" t="s">
        <v>55</v>
      </c>
      <c r="F7895" t="s">
        <v>61</v>
      </c>
      <c r="G7895" t="str">
        <f t="shared" si="322"/>
        <v>001LUMIA</v>
      </c>
      <c r="H7895" s="5">
        <v>1410</v>
      </c>
      <c r="I7895" s="6">
        <v>1109.5965516797528</v>
      </c>
      <c r="J7895" s="5">
        <v>8400</v>
      </c>
      <c r="K7895" s="6">
        <f t="shared" si="321"/>
        <v>1.2707321394118287</v>
      </c>
    </row>
    <row r="7896" spans="1:11" hidden="1">
      <c r="A7896" s="4">
        <v>2026</v>
      </c>
      <c r="B7896">
        <v>21</v>
      </c>
      <c r="C7896" t="s">
        <v>54</v>
      </c>
      <c r="D7896" t="s">
        <v>11</v>
      </c>
      <c r="E7896" t="s">
        <v>55</v>
      </c>
      <c r="F7896" t="s">
        <v>62</v>
      </c>
      <c r="G7896" t="str">
        <f t="shared" si="322"/>
        <v>001MOMENTUM</v>
      </c>
      <c r="H7896" s="5">
        <v>5550</v>
      </c>
      <c r="I7896" s="6">
        <v>1902.1655171652874</v>
      </c>
      <c r="J7896" s="5">
        <v>14400</v>
      </c>
      <c r="K7896" s="6">
        <f t="shared" si="321"/>
        <v>2.9177271640750368</v>
      </c>
    </row>
    <row r="7897" spans="1:11" hidden="1">
      <c r="A7897" s="4">
        <v>2026</v>
      </c>
      <c r="B7897">
        <v>21</v>
      </c>
      <c r="C7897" t="s">
        <v>54</v>
      </c>
      <c r="D7897" t="s">
        <v>11</v>
      </c>
      <c r="E7897" t="s">
        <v>12</v>
      </c>
      <c r="F7897" t="s">
        <v>63</v>
      </c>
      <c r="G7897" t="str">
        <f t="shared" si="322"/>
        <v>002SUMMER ROMANCE</v>
      </c>
      <c r="H7897" s="5">
        <v>2775</v>
      </c>
      <c r="I7897" s="6">
        <v>951.10714281909407</v>
      </c>
      <c r="J7897" s="5">
        <v>7200</v>
      </c>
      <c r="K7897" s="6">
        <f t="shared" si="321"/>
        <v>2.9176523601482622</v>
      </c>
    </row>
    <row r="7898" spans="1:11" hidden="1">
      <c r="A7898" s="4">
        <v>2026</v>
      </c>
      <c r="B7898">
        <v>21</v>
      </c>
      <c r="C7898" t="s">
        <v>54</v>
      </c>
      <c r="D7898" t="s">
        <v>11</v>
      </c>
      <c r="E7898" t="s">
        <v>12</v>
      </c>
      <c r="F7898" t="s">
        <v>64</v>
      </c>
      <c r="G7898" t="str">
        <f t="shared" si="322"/>
        <v>002SWEETNESS</v>
      </c>
      <c r="H7898" s="5">
        <v>6450</v>
      </c>
      <c r="I7898" s="6">
        <v>3804.4285712763835</v>
      </c>
      <c r="J7898" s="5">
        <v>28800</v>
      </c>
      <c r="K7898" s="6">
        <f t="shared" si="321"/>
        <v>1.6953925876537166</v>
      </c>
    </row>
    <row r="7899" spans="1:11" hidden="1">
      <c r="A7899" s="4">
        <v>2026</v>
      </c>
      <c r="B7899">
        <v>21</v>
      </c>
      <c r="C7899" t="s">
        <v>54</v>
      </c>
      <c r="D7899" t="s">
        <v>11</v>
      </c>
      <c r="E7899" t="s">
        <v>65</v>
      </c>
      <c r="F7899" t="s">
        <v>66</v>
      </c>
      <c r="G7899" t="str">
        <f t="shared" si="322"/>
        <v>003CABARET</v>
      </c>
      <c r="H7899" s="5">
        <v>4110</v>
      </c>
      <c r="I7899" s="6">
        <v>2641.8965516184676</v>
      </c>
      <c r="J7899" s="5">
        <v>20000</v>
      </c>
      <c r="K7899" s="6">
        <f t="shared" si="321"/>
        <v>1.5557005808884337</v>
      </c>
    </row>
    <row r="7900" spans="1:11" hidden="1">
      <c r="A7900" s="4">
        <v>2026</v>
      </c>
      <c r="B7900">
        <v>21</v>
      </c>
      <c r="C7900" t="s">
        <v>54</v>
      </c>
      <c r="D7900" t="s">
        <v>11</v>
      </c>
      <c r="E7900" t="s">
        <v>65</v>
      </c>
      <c r="F7900" t="s">
        <v>67</v>
      </c>
      <c r="G7900" t="str">
        <f t="shared" si="322"/>
        <v>003DEEP PURPLE</v>
      </c>
      <c r="H7900" s="5">
        <v>8730</v>
      </c>
      <c r="I7900" s="6">
        <v>3592.9793102010881</v>
      </c>
      <c r="J7900" s="5">
        <v>26044</v>
      </c>
      <c r="K7900" s="6">
        <f t="shared" si="321"/>
        <v>2.4297384555524779</v>
      </c>
    </row>
    <row r="7901" spans="1:11" hidden="1">
      <c r="A7901" s="4">
        <v>2026</v>
      </c>
      <c r="B7901">
        <v>21</v>
      </c>
      <c r="C7901" t="s">
        <v>54</v>
      </c>
      <c r="D7901" t="s">
        <v>11</v>
      </c>
      <c r="E7901" t="s">
        <v>65</v>
      </c>
      <c r="F7901" t="s">
        <v>57</v>
      </c>
      <c r="G7901" t="str">
        <f t="shared" si="322"/>
        <v>003EXPLORER</v>
      </c>
      <c r="H7901" s="5">
        <v>2625</v>
      </c>
      <c r="I7901" s="6">
        <v>1268.1103447768635</v>
      </c>
      <c r="J7901" s="5">
        <v>9600</v>
      </c>
      <c r="K7901" s="6">
        <f t="shared" si="321"/>
        <v>2.070009136674849</v>
      </c>
    </row>
    <row r="7902" spans="1:11" hidden="1">
      <c r="A7902" s="4">
        <v>2026</v>
      </c>
      <c r="B7902">
        <v>21</v>
      </c>
      <c r="C7902" t="s">
        <v>54</v>
      </c>
      <c r="D7902" t="s">
        <v>11</v>
      </c>
      <c r="E7902" t="s">
        <v>65</v>
      </c>
      <c r="F7902" t="s">
        <v>68</v>
      </c>
      <c r="G7902" t="str">
        <f t="shared" si="322"/>
        <v>003JOCKER</v>
      </c>
      <c r="H7902" s="5">
        <v>1200</v>
      </c>
      <c r="I7902" s="6">
        <v>528.37931032368999</v>
      </c>
      <c r="J7902" s="5">
        <v>4000</v>
      </c>
      <c r="K7902" s="6">
        <f t="shared" si="321"/>
        <v>2.2710957385232762</v>
      </c>
    </row>
    <row r="7903" spans="1:11" hidden="1">
      <c r="A7903" s="4">
        <v>2026</v>
      </c>
      <c r="B7903">
        <v>21</v>
      </c>
      <c r="C7903" t="s">
        <v>54</v>
      </c>
      <c r="D7903" t="s">
        <v>11</v>
      </c>
      <c r="E7903" t="s">
        <v>65</v>
      </c>
      <c r="F7903" t="s">
        <v>69</v>
      </c>
      <c r="G7903" t="str">
        <f t="shared" si="322"/>
        <v>003QUICKSAND</v>
      </c>
      <c r="H7903" s="5">
        <v>1830</v>
      </c>
      <c r="I7903" s="6">
        <v>1162.4344827121247</v>
      </c>
      <c r="J7903" s="5">
        <v>8800</v>
      </c>
      <c r="K7903" s="6">
        <f t="shared" si="321"/>
        <v>1.5742822732945345</v>
      </c>
    </row>
    <row r="7904" spans="1:11" hidden="1">
      <c r="A7904" s="4">
        <v>2026</v>
      </c>
      <c r="B7904">
        <v>21</v>
      </c>
      <c r="C7904" t="s">
        <v>54</v>
      </c>
      <c r="D7904" t="s">
        <v>11</v>
      </c>
      <c r="E7904" t="s">
        <v>14</v>
      </c>
      <c r="F7904" t="s">
        <v>70</v>
      </c>
      <c r="G7904" t="str">
        <f t="shared" si="322"/>
        <v>004COTOPAXI</v>
      </c>
      <c r="H7904" s="5">
        <v>750</v>
      </c>
      <c r="I7904" s="6">
        <v>528.39150244191671</v>
      </c>
      <c r="J7904" s="5">
        <v>4000</v>
      </c>
      <c r="K7904" s="6">
        <f t="shared" si="321"/>
        <v>1.4194020845035136</v>
      </c>
    </row>
    <row r="7905" spans="1:11" hidden="1">
      <c r="A7905" s="4">
        <v>2026</v>
      </c>
      <c r="B7905">
        <v>21</v>
      </c>
      <c r="C7905" t="s">
        <v>54</v>
      </c>
      <c r="D7905" t="s">
        <v>11</v>
      </c>
      <c r="E7905" t="s">
        <v>14</v>
      </c>
      <c r="F7905" t="s">
        <v>67</v>
      </c>
      <c r="G7905" t="str">
        <f t="shared" si="322"/>
        <v>004DEEP PURPLE</v>
      </c>
      <c r="H7905" s="5">
        <v>8040</v>
      </c>
      <c r="I7905" s="6">
        <v>3910.1071427007341</v>
      </c>
      <c r="J7905" s="5">
        <v>29260</v>
      </c>
      <c r="K7905" s="6">
        <f t="shared" si="321"/>
        <v>2.0562096399350134</v>
      </c>
    </row>
    <row r="7906" spans="1:11" hidden="1">
      <c r="A7906" s="4">
        <v>2026</v>
      </c>
      <c r="B7906">
        <v>21</v>
      </c>
      <c r="C7906" t="s">
        <v>54</v>
      </c>
      <c r="D7906" t="s">
        <v>11</v>
      </c>
      <c r="E7906" t="s">
        <v>14</v>
      </c>
      <c r="F7906" t="s">
        <v>71</v>
      </c>
      <c r="G7906" t="str">
        <f t="shared" si="322"/>
        <v>004HOT EXPLORER</v>
      </c>
      <c r="H7906" s="5">
        <v>4375</v>
      </c>
      <c r="I7906" s="6">
        <v>1902.2142856381947</v>
      </c>
      <c r="J7906" s="5">
        <v>14400</v>
      </c>
      <c r="K7906" s="6">
        <f t="shared" si="321"/>
        <v>2.2999511848015501</v>
      </c>
    </row>
    <row r="7907" spans="1:11" hidden="1">
      <c r="A7907" s="4">
        <v>2026</v>
      </c>
      <c r="B7907">
        <v>21</v>
      </c>
      <c r="C7907" t="s">
        <v>54</v>
      </c>
      <c r="D7907" t="s">
        <v>11</v>
      </c>
      <c r="E7907" t="s">
        <v>14</v>
      </c>
      <c r="F7907" t="s">
        <v>72</v>
      </c>
      <c r="G7907" t="str">
        <f t="shared" si="322"/>
        <v>004HOT MERENGUE</v>
      </c>
      <c r="H7907" s="5">
        <v>3390</v>
      </c>
      <c r="I7907" s="6">
        <v>1162.4642856677858</v>
      </c>
      <c r="J7907" s="5">
        <v>8800</v>
      </c>
      <c r="K7907" s="6">
        <f t="shared" si="321"/>
        <v>2.9162186243447388</v>
      </c>
    </row>
    <row r="7908" spans="1:11" hidden="1">
      <c r="A7908" s="4">
        <v>2026</v>
      </c>
      <c r="B7908">
        <v>21</v>
      </c>
      <c r="C7908" t="s">
        <v>54</v>
      </c>
      <c r="D7908" t="s">
        <v>11</v>
      </c>
      <c r="E7908" t="s">
        <v>14</v>
      </c>
      <c r="F7908" t="s">
        <v>64</v>
      </c>
      <c r="G7908" t="str">
        <f t="shared" si="322"/>
        <v>004SWEETNESS</v>
      </c>
      <c r="H7908" s="5">
        <v>810</v>
      </c>
      <c r="I7908" s="6">
        <v>317.03571427303262</v>
      </c>
      <c r="J7908" s="5">
        <v>2400</v>
      </c>
      <c r="K7908" s="6">
        <f t="shared" si="321"/>
        <v>2.5549172018595492</v>
      </c>
    </row>
    <row r="7909" spans="1:11" hidden="1">
      <c r="A7909" s="4">
        <v>2026</v>
      </c>
      <c r="B7909">
        <v>21</v>
      </c>
      <c r="C7909" t="s">
        <v>54</v>
      </c>
      <c r="D7909" t="s">
        <v>11</v>
      </c>
      <c r="E7909" t="s">
        <v>16</v>
      </c>
      <c r="F7909" t="s">
        <v>57</v>
      </c>
      <c r="G7909" t="str">
        <f t="shared" si="322"/>
        <v>005EXPLORER</v>
      </c>
      <c r="H7909" s="5">
        <v>2175</v>
      </c>
      <c r="I7909" s="6">
        <v>951.10714281875414</v>
      </c>
      <c r="J7909" s="5">
        <v>7200</v>
      </c>
      <c r="K7909" s="6">
        <f t="shared" si="321"/>
        <v>2.2868086066035094</v>
      </c>
    </row>
    <row r="7910" spans="1:11" hidden="1">
      <c r="A7910" s="4">
        <v>2026</v>
      </c>
      <c r="B7910">
        <v>21</v>
      </c>
      <c r="C7910" t="s">
        <v>54</v>
      </c>
      <c r="D7910" t="s">
        <v>11</v>
      </c>
      <c r="E7910" t="s">
        <v>16</v>
      </c>
      <c r="F7910" t="s">
        <v>73</v>
      </c>
      <c r="G7910" t="str">
        <f t="shared" si="322"/>
        <v>005GOLDFINCH</v>
      </c>
      <c r="H7910" s="5">
        <v>950</v>
      </c>
      <c r="I7910" s="6">
        <v>898.26785710660113</v>
      </c>
      <c r="J7910" s="5">
        <v>6800</v>
      </c>
      <c r="K7910" s="6">
        <f t="shared" si="321"/>
        <v>1.0575909985914809</v>
      </c>
    </row>
    <row r="7911" spans="1:11" hidden="1">
      <c r="A7911" s="4">
        <v>2026</v>
      </c>
      <c r="B7911">
        <v>21</v>
      </c>
      <c r="C7911" t="s">
        <v>54</v>
      </c>
      <c r="D7911" t="s">
        <v>11</v>
      </c>
      <c r="E7911" t="s">
        <v>16</v>
      </c>
      <c r="F7911" t="s">
        <v>68</v>
      </c>
      <c r="G7911" t="str">
        <f t="shared" si="322"/>
        <v>005JOCKER</v>
      </c>
      <c r="H7911" s="5">
        <v>2625</v>
      </c>
      <c r="I7911" s="6">
        <v>1162.4642856673661</v>
      </c>
      <c r="J7911" s="5">
        <v>8800</v>
      </c>
      <c r="K7911" s="6">
        <f t="shared" si="321"/>
        <v>2.2581338905332458</v>
      </c>
    </row>
    <row r="7912" spans="1:11" hidden="1">
      <c r="A7912" s="4">
        <v>2026</v>
      </c>
      <c r="B7912">
        <v>21</v>
      </c>
      <c r="C7912" t="s">
        <v>54</v>
      </c>
      <c r="D7912" t="s">
        <v>11</v>
      </c>
      <c r="E7912" t="s">
        <v>16</v>
      </c>
      <c r="F7912" t="s">
        <v>74</v>
      </c>
      <c r="G7912" t="str">
        <f t="shared" si="322"/>
        <v>005VENDELA</v>
      </c>
      <c r="H7912" s="5">
        <v>2040</v>
      </c>
      <c r="I7912" s="6">
        <v>686.91071425798907</v>
      </c>
      <c r="J7912" s="5">
        <v>5200</v>
      </c>
      <c r="K7912" s="6">
        <f t="shared" si="321"/>
        <v>2.9698182859232842</v>
      </c>
    </row>
    <row r="7913" spans="1:11" hidden="1">
      <c r="A7913" s="4">
        <v>2026</v>
      </c>
      <c r="B7913">
        <v>21</v>
      </c>
      <c r="C7913" t="s">
        <v>54</v>
      </c>
      <c r="D7913" t="s">
        <v>11</v>
      </c>
      <c r="E7913" t="s">
        <v>75</v>
      </c>
      <c r="F7913" t="s">
        <v>76</v>
      </c>
      <c r="G7913" t="str">
        <f t="shared" si="322"/>
        <v>006ATOMIC</v>
      </c>
      <c r="H7913" s="5">
        <v>1800</v>
      </c>
      <c r="I7913" s="6">
        <v>845.428571394752</v>
      </c>
      <c r="J7913" s="5">
        <v>6400</v>
      </c>
      <c r="K7913" s="6">
        <f t="shared" si="321"/>
        <v>2.129097668216295</v>
      </c>
    </row>
    <row r="7914" spans="1:11" hidden="1">
      <c r="A7914" s="4">
        <v>2026</v>
      </c>
      <c r="B7914">
        <v>21</v>
      </c>
      <c r="C7914" t="s">
        <v>54</v>
      </c>
      <c r="D7914" t="s">
        <v>11</v>
      </c>
      <c r="E7914" t="s">
        <v>75</v>
      </c>
      <c r="F7914" t="s">
        <v>57</v>
      </c>
      <c r="G7914" t="str">
        <f t="shared" si="322"/>
        <v>006EXPLORER</v>
      </c>
      <c r="H7914" s="5">
        <v>10125</v>
      </c>
      <c r="I7914" s="6">
        <v>3910.1071427007359</v>
      </c>
      <c r="J7914" s="5">
        <v>29600</v>
      </c>
      <c r="K7914" s="6">
        <f t="shared" si="321"/>
        <v>2.5894431099927862</v>
      </c>
    </row>
    <row r="7915" spans="1:11" hidden="1">
      <c r="A7915" s="4">
        <v>2026</v>
      </c>
      <c r="B7915">
        <v>21</v>
      </c>
      <c r="C7915" t="s">
        <v>54</v>
      </c>
      <c r="D7915" t="s">
        <v>11</v>
      </c>
      <c r="E7915" t="s">
        <v>75</v>
      </c>
      <c r="F7915" t="s">
        <v>77</v>
      </c>
      <c r="G7915" t="str">
        <f t="shared" si="322"/>
        <v>006MONDIAL</v>
      </c>
      <c r="H7915" s="5">
        <v>7300</v>
      </c>
      <c r="I7915" s="6">
        <v>4015.7857141250797</v>
      </c>
      <c r="J7915" s="5">
        <v>30400</v>
      </c>
      <c r="K7915" s="6">
        <f t="shared" si="321"/>
        <v>1.8178260792957806</v>
      </c>
    </row>
    <row r="7916" spans="1:11" hidden="1">
      <c r="A7916" s="4">
        <v>2026</v>
      </c>
      <c r="B7916">
        <v>21</v>
      </c>
      <c r="C7916" t="s">
        <v>54</v>
      </c>
      <c r="D7916" t="s">
        <v>11</v>
      </c>
      <c r="E7916" t="s">
        <v>20</v>
      </c>
      <c r="F7916" t="s">
        <v>70</v>
      </c>
      <c r="G7916" t="str">
        <f t="shared" si="322"/>
        <v>007COTOPAXI</v>
      </c>
      <c r="H7916" s="5">
        <v>5430</v>
      </c>
      <c r="I7916" s="6">
        <v>2747.5751230427732</v>
      </c>
      <c r="J7916" s="5">
        <v>20800</v>
      </c>
      <c r="K7916" s="6">
        <f t="shared" si="321"/>
        <v>1.9762880928935633</v>
      </c>
    </row>
    <row r="7917" spans="1:11" hidden="1">
      <c r="A7917" s="4">
        <v>2026</v>
      </c>
      <c r="B7917">
        <v>21</v>
      </c>
      <c r="C7917" t="s">
        <v>54</v>
      </c>
      <c r="D7917" t="s">
        <v>11</v>
      </c>
      <c r="E7917" t="s">
        <v>20</v>
      </c>
      <c r="F7917" t="s">
        <v>78</v>
      </c>
      <c r="G7917" t="str">
        <f t="shared" si="322"/>
        <v>007REDIANT</v>
      </c>
      <c r="H7917" s="5">
        <v>1800</v>
      </c>
      <c r="I7917" s="6">
        <v>1056.7586206473795</v>
      </c>
      <c r="J7917" s="5">
        <v>9600</v>
      </c>
      <c r="K7917" s="6">
        <f t="shared" si="321"/>
        <v>1.7033218038924578</v>
      </c>
    </row>
    <row r="7918" spans="1:11" hidden="1">
      <c r="A7918" s="4">
        <v>2026</v>
      </c>
      <c r="B7918">
        <v>21</v>
      </c>
      <c r="C7918" t="s">
        <v>54</v>
      </c>
      <c r="D7918" t="s">
        <v>11</v>
      </c>
      <c r="E7918" t="s">
        <v>20</v>
      </c>
      <c r="F7918" t="s">
        <v>63</v>
      </c>
      <c r="G7918" t="str">
        <f t="shared" si="322"/>
        <v>007SUMMER ROMANCE</v>
      </c>
      <c r="H7918" s="5">
        <v>1150</v>
      </c>
      <c r="I7918" s="6">
        <v>369.86551722658481</v>
      </c>
      <c r="J7918" s="5">
        <v>3080</v>
      </c>
      <c r="K7918" s="6">
        <f t="shared" si="321"/>
        <v>3.10923821345447</v>
      </c>
    </row>
    <row r="7919" spans="1:11" hidden="1">
      <c r="A7919" s="4">
        <v>2026</v>
      </c>
      <c r="B7919">
        <v>21</v>
      </c>
      <c r="C7919" t="s">
        <v>54</v>
      </c>
      <c r="D7919" t="s">
        <v>11</v>
      </c>
      <c r="E7919" t="s">
        <v>20</v>
      </c>
      <c r="F7919" t="s">
        <v>74</v>
      </c>
      <c r="G7919" t="str">
        <f t="shared" si="322"/>
        <v>007VENDELA</v>
      </c>
      <c r="H7919" s="5">
        <v>12630</v>
      </c>
      <c r="I7919" s="6">
        <v>3592.9793102011167</v>
      </c>
      <c r="J7919" s="5">
        <v>27820</v>
      </c>
      <c r="K7919" s="6">
        <f t="shared" si="321"/>
        <v>3.5151886246996051</v>
      </c>
    </row>
    <row r="7920" spans="1:11" hidden="1">
      <c r="A7920" s="4">
        <v>2026</v>
      </c>
      <c r="B7920">
        <v>21</v>
      </c>
      <c r="C7920" t="s">
        <v>54</v>
      </c>
      <c r="D7920" t="s">
        <v>11</v>
      </c>
      <c r="E7920" t="s">
        <v>79</v>
      </c>
      <c r="F7920" t="s">
        <v>67</v>
      </c>
      <c r="G7920" t="str">
        <f t="shared" si="322"/>
        <v>008DEEP PURPLE</v>
      </c>
      <c r="H7920" s="5">
        <v>3570</v>
      </c>
      <c r="I7920" s="6">
        <v>1585.2222221588088</v>
      </c>
      <c r="J7920" s="5">
        <v>11490</v>
      </c>
      <c r="K7920" s="6">
        <f t="shared" si="321"/>
        <v>2.2520501858334123</v>
      </c>
    </row>
    <row r="7921" spans="1:11" hidden="1">
      <c r="A7921" s="4">
        <v>2026</v>
      </c>
      <c r="B7921">
        <v>21</v>
      </c>
      <c r="C7921" t="s">
        <v>54</v>
      </c>
      <c r="D7921" t="s">
        <v>11</v>
      </c>
      <c r="E7921" t="s">
        <v>79</v>
      </c>
      <c r="F7921" t="s">
        <v>81</v>
      </c>
      <c r="G7921" t="str">
        <f t="shared" si="322"/>
        <v>008FREEDOM</v>
      </c>
      <c r="H7921" s="5">
        <v>4650</v>
      </c>
      <c r="I7921" s="6">
        <v>2219.3111110223322</v>
      </c>
      <c r="J7921" s="5">
        <v>16800</v>
      </c>
      <c r="K7921" s="6">
        <f t="shared" si="321"/>
        <v>2.095244770733367</v>
      </c>
    </row>
    <row r="7922" spans="1:11" hidden="1">
      <c r="A7922" s="4">
        <v>2026</v>
      </c>
      <c r="B7922">
        <v>21</v>
      </c>
      <c r="C7922" t="s">
        <v>54</v>
      </c>
      <c r="D7922" t="s">
        <v>11</v>
      </c>
      <c r="E7922" t="s">
        <v>79</v>
      </c>
      <c r="F7922" t="s">
        <v>68</v>
      </c>
      <c r="G7922" t="str">
        <f t="shared" si="322"/>
        <v>008JOCKER</v>
      </c>
      <c r="H7922" s="5">
        <v>7975</v>
      </c>
      <c r="I7922" s="6">
        <v>2959.0814813631118</v>
      </c>
      <c r="J7922" s="5">
        <v>22400</v>
      </c>
      <c r="K7922" s="6">
        <f t="shared" ref="K7922:K7985" si="323">+H7922/I7922</f>
        <v>2.6950930720320301</v>
      </c>
    </row>
    <row r="7923" spans="1:11" hidden="1">
      <c r="A7923" s="4">
        <v>2026</v>
      </c>
      <c r="B7923">
        <v>21</v>
      </c>
      <c r="C7923" t="s">
        <v>54</v>
      </c>
      <c r="D7923" t="s">
        <v>11</v>
      </c>
      <c r="E7923" t="s">
        <v>79</v>
      </c>
      <c r="F7923" t="s">
        <v>61</v>
      </c>
      <c r="G7923" t="str">
        <f t="shared" si="322"/>
        <v>008LUMIA</v>
      </c>
      <c r="H7923" s="5">
        <v>2430</v>
      </c>
      <c r="I7923" s="6">
        <v>1796.5851851133164</v>
      </c>
      <c r="J7923" s="5">
        <v>13600</v>
      </c>
      <c r="K7923" s="6">
        <f t="shared" si="323"/>
        <v>1.3525659791337599</v>
      </c>
    </row>
    <row r="7924" spans="1:11" hidden="1">
      <c r="A7924" s="4">
        <v>2026</v>
      </c>
      <c r="B7924">
        <v>21</v>
      </c>
      <c r="C7924" t="s">
        <v>54</v>
      </c>
      <c r="D7924" t="s">
        <v>11</v>
      </c>
      <c r="E7924" t="s">
        <v>82</v>
      </c>
      <c r="F7924" t="s">
        <v>83</v>
      </c>
      <c r="G7924" t="str">
        <f t="shared" si="322"/>
        <v>010COOLDOWN</v>
      </c>
      <c r="H7924" s="5">
        <v>4675</v>
      </c>
      <c r="I7924" s="6">
        <v>1912.3542857142854</v>
      </c>
      <c r="J7924" s="5">
        <v>16320</v>
      </c>
      <c r="K7924" s="6">
        <f t="shared" si="323"/>
        <v>2.4446307020217417</v>
      </c>
    </row>
    <row r="7925" spans="1:11" hidden="1">
      <c r="A7925" s="4">
        <v>2026</v>
      </c>
      <c r="B7925">
        <v>21</v>
      </c>
      <c r="C7925" t="s">
        <v>54</v>
      </c>
      <c r="D7925" t="s">
        <v>11</v>
      </c>
      <c r="E7925" t="s">
        <v>82</v>
      </c>
      <c r="F7925" t="s">
        <v>84</v>
      </c>
      <c r="G7925" t="str">
        <f t="shared" si="322"/>
        <v>010VIOLET HILL</v>
      </c>
      <c r="H7925" s="5">
        <v>5160</v>
      </c>
      <c r="I7925" s="6">
        <v>2812.2857142428566</v>
      </c>
      <c r="J7925" s="5">
        <v>20000</v>
      </c>
      <c r="K7925" s="6">
        <f t="shared" si="323"/>
        <v>1.8348064614726429</v>
      </c>
    </row>
    <row r="7926" spans="1:11" hidden="1">
      <c r="A7926" s="4">
        <v>2026</v>
      </c>
      <c r="B7926">
        <v>21</v>
      </c>
      <c r="C7926" t="s">
        <v>54</v>
      </c>
      <c r="D7926" t="s">
        <v>11</v>
      </c>
      <c r="E7926" t="s">
        <v>85</v>
      </c>
      <c r="F7926" t="s">
        <v>86</v>
      </c>
      <c r="G7926" t="str">
        <f t="shared" si="322"/>
        <v>011BRIGHTON</v>
      </c>
      <c r="H7926" s="5">
        <v>3925</v>
      </c>
      <c r="I7926" s="6">
        <v>1768.8376470588212</v>
      </c>
      <c r="J7926" s="5">
        <v>12800</v>
      </c>
      <c r="K7926" s="6">
        <f t="shared" si="323"/>
        <v>2.2189713151607733</v>
      </c>
    </row>
    <row r="7927" spans="1:11" hidden="1">
      <c r="A7927" s="4">
        <v>2026</v>
      </c>
      <c r="B7927">
        <v>21</v>
      </c>
      <c r="C7927" t="s">
        <v>54</v>
      </c>
      <c r="D7927" t="s">
        <v>11</v>
      </c>
      <c r="E7927" t="s">
        <v>85</v>
      </c>
      <c r="F7927" t="s">
        <v>87</v>
      </c>
      <c r="G7927" t="str">
        <f t="shared" si="322"/>
        <v>011CANDLELIGHT</v>
      </c>
      <c r="H7927" s="5">
        <v>3640</v>
      </c>
      <c r="I7927" s="6">
        <v>2263.799999886814</v>
      </c>
      <c r="J7927" s="5">
        <v>17920</v>
      </c>
      <c r="K7927" s="6">
        <f t="shared" si="323"/>
        <v>1.6079158937105722</v>
      </c>
    </row>
    <row r="7928" spans="1:11" hidden="1">
      <c r="A7928" s="4">
        <v>2026</v>
      </c>
      <c r="B7928">
        <v>21</v>
      </c>
      <c r="C7928" t="s">
        <v>54</v>
      </c>
      <c r="D7928" t="s">
        <v>11</v>
      </c>
      <c r="E7928" t="s">
        <v>85</v>
      </c>
      <c r="F7928" t="s">
        <v>88</v>
      </c>
      <c r="G7928" t="str">
        <f t="shared" si="322"/>
        <v>011CAYENNE</v>
      </c>
      <c r="H7928" s="5">
        <v>1620</v>
      </c>
      <c r="I7928" s="6">
        <v>994.97117647058758</v>
      </c>
      <c r="J7928" s="5">
        <v>7200</v>
      </c>
      <c r="K7928" s="6">
        <f t="shared" si="323"/>
        <v>1.6281878694682861</v>
      </c>
    </row>
    <row r="7929" spans="1:11" hidden="1">
      <c r="A7929" s="4">
        <v>2026</v>
      </c>
      <c r="B7929">
        <v>21</v>
      </c>
      <c r="C7929" t="s">
        <v>54</v>
      </c>
      <c r="D7929" t="s">
        <v>11</v>
      </c>
      <c r="E7929" t="s">
        <v>85</v>
      </c>
      <c r="F7929" t="s">
        <v>61</v>
      </c>
      <c r="G7929" t="str">
        <f t="shared" si="322"/>
        <v>011LUMIA</v>
      </c>
      <c r="H7929" s="5">
        <v>1320</v>
      </c>
      <c r="I7929" s="6">
        <v>994.97117647058769</v>
      </c>
      <c r="J7929" s="5">
        <v>7920</v>
      </c>
      <c r="K7929" s="6">
        <f t="shared" si="323"/>
        <v>1.3266715973445291</v>
      </c>
    </row>
    <row r="7930" spans="1:11" hidden="1">
      <c r="A7930" s="4">
        <v>2026</v>
      </c>
      <c r="B7930">
        <v>21</v>
      </c>
      <c r="C7930" t="s">
        <v>54</v>
      </c>
      <c r="D7930" t="s">
        <v>11</v>
      </c>
      <c r="E7930" t="s">
        <v>85</v>
      </c>
      <c r="F7930" t="s">
        <v>89</v>
      </c>
      <c r="G7930" t="str">
        <f t="shared" si="322"/>
        <v>011STARDUST</v>
      </c>
      <c r="H7930" s="5">
        <v>3650</v>
      </c>
      <c r="I7930" s="6">
        <v>2263.799999886814</v>
      </c>
      <c r="J7930" s="5">
        <v>17920</v>
      </c>
      <c r="K7930" s="6">
        <f t="shared" si="323"/>
        <v>1.6123332450669201</v>
      </c>
    </row>
    <row r="7931" spans="1:11" hidden="1">
      <c r="A7931" s="4">
        <v>2026</v>
      </c>
      <c r="B7931">
        <v>21</v>
      </c>
      <c r="C7931" t="s">
        <v>54</v>
      </c>
      <c r="D7931" t="s">
        <v>11</v>
      </c>
      <c r="E7931" t="s">
        <v>90</v>
      </c>
      <c r="F7931" t="s">
        <v>67</v>
      </c>
      <c r="G7931" t="str">
        <f t="shared" si="322"/>
        <v>012DEEP PURPLE</v>
      </c>
      <c r="H7931" s="5">
        <v>13380</v>
      </c>
      <c r="I7931" s="6">
        <v>6727.0499997982606</v>
      </c>
      <c r="J7931" s="5">
        <v>49210</v>
      </c>
      <c r="K7931" s="6">
        <f t="shared" si="323"/>
        <v>1.9889847705013723</v>
      </c>
    </row>
    <row r="7932" spans="1:11" hidden="1">
      <c r="A7932" s="4">
        <v>2026</v>
      </c>
      <c r="B7932">
        <v>21</v>
      </c>
      <c r="C7932" t="s">
        <v>54</v>
      </c>
      <c r="D7932" t="s">
        <v>11</v>
      </c>
      <c r="E7932" t="s">
        <v>90</v>
      </c>
      <c r="F7932" t="s">
        <v>60</v>
      </c>
      <c r="G7932" t="str">
        <f t="shared" si="322"/>
        <v>012LIGHT HOUSE</v>
      </c>
      <c r="H7932" s="5">
        <v>1350</v>
      </c>
      <c r="I7932" s="6">
        <v>994.9499999999997</v>
      </c>
      <c r="J7932" s="5">
        <v>7200</v>
      </c>
      <c r="K7932" s="6">
        <f t="shared" si="323"/>
        <v>1.3568521031207603</v>
      </c>
    </row>
    <row r="7933" spans="1:11" hidden="1">
      <c r="A7933" s="4">
        <v>2026</v>
      </c>
      <c r="B7933">
        <v>21</v>
      </c>
      <c r="C7933" t="s">
        <v>54</v>
      </c>
      <c r="D7933" t="s">
        <v>11</v>
      </c>
      <c r="E7933" t="s">
        <v>91</v>
      </c>
      <c r="F7933" t="s">
        <v>92</v>
      </c>
      <c r="G7933" t="str">
        <f t="shared" si="322"/>
        <v>013COUNTRY BLUES</v>
      </c>
      <c r="H7933" s="5">
        <v>1260</v>
      </c>
      <c r="I7933" s="6">
        <v>831.60000000000025</v>
      </c>
      <c r="J7933" s="5">
        <v>6300</v>
      </c>
      <c r="K7933" s="6">
        <f t="shared" si="323"/>
        <v>1.5151515151515147</v>
      </c>
    </row>
    <row r="7934" spans="1:11" hidden="1">
      <c r="A7934" s="4">
        <v>2026</v>
      </c>
      <c r="B7934">
        <v>21</v>
      </c>
      <c r="C7934" t="s">
        <v>54</v>
      </c>
      <c r="D7934" t="s">
        <v>11</v>
      </c>
      <c r="E7934" t="s">
        <v>91</v>
      </c>
      <c r="F7934" t="s">
        <v>93</v>
      </c>
      <c r="G7934" t="str">
        <f t="shared" si="322"/>
        <v>013LORRAINE</v>
      </c>
      <c r="H7934" s="5">
        <v>3150</v>
      </c>
      <c r="I7934" s="6">
        <v>1267.1999999999998</v>
      </c>
      <c r="J7934" s="5">
        <v>9600</v>
      </c>
      <c r="K7934" s="6">
        <f t="shared" si="323"/>
        <v>2.485795454545455</v>
      </c>
    </row>
    <row r="7935" spans="1:11" hidden="1">
      <c r="A7935" s="4">
        <v>2026</v>
      </c>
      <c r="B7935">
        <v>21</v>
      </c>
      <c r="C7935" t="s">
        <v>54</v>
      </c>
      <c r="D7935" t="s">
        <v>11</v>
      </c>
      <c r="E7935" t="s">
        <v>91</v>
      </c>
      <c r="F7935" t="s">
        <v>61</v>
      </c>
      <c r="G7935" t="str">
        <f t="shared" si="322"/>
        <v>013LUMIA</v>
      </c>
      <c r="H7935" s="5">
        <v>420</v>
      </c>
      <c r="I7935" s="6">
        <v>316.8</v>
      </c>
      <c r="J7935" s="5">
        <v>2400</v>
      </c>
      <c r="K7935" s="6">
        <f t="shared" si="323"/>
        <v>1.3257575757575757</v>
      </c>
    </row>
    <row r="7936" spans="1:11" hidden="1">
      <c r="A7936" s="4">
        <v>2026</v>
      </c>
      <c r="B7936">
        <v>21</v>
      </c>
      <c r="C7936" t="s">
        <v>54</v>
      </c>
      <c r="D7936" t="s">
        <v>11</v>
      </c>
      <c r="E7936" t="s">
        <v>91</v>
      </c>
      <c r="F7936" t="s">
        <v>74</v>
      </c>
      <c r="G7936" t="str">
        <f t="shared" si="322"/>
        <v>013VENDELA</v>
      </c>
      <c r="H7936" s="5">
        <v>12000</v>
      </c>
      <c r="I7936" s="6">
        <v>3603.5999999999949</v>
      </c>
      <c r="J7936" s="5">
        <v>27296</v>
      </c>
      <c r="K7936" s="6">
        <f t="shared" si="323"/>
        <v>3.3300033300033349</v>
      </c>
    </row>
    <row r="7937" spans="1:11" hidden="1">
      <c r="A7937" s="4">
        <v>2026</v>
      </c>
      <c r="B7937">
        <v>21</v>
      </c>
      <c r="C7937" t="s">
        <v>54</v>
      </c>
      <c r="D7937" t="s">
        <v>11</v>
      </c>
      <c r="E7937" t="s">
        <v>23</v>
      </c>
      <c r="F7937" t="s">
        <v>89</v>
      </c>
      <c r="G7937" t="str">
        <f t="shared" si="322"/>
        <v>014STARDUST</v>
      </c>
      <c r="H7937" s="5">
        <v>4975</v>
      </c>
      <c r="I7937" s="6">
        <v>3682.7999999999943</v>
      </c>
      <c r="J7937" s="5">
        <v>27900</v>
      </c>
      <c r="K7937" s="6">
        <f t="shared" si="323"/>
        <v>1.3508743347453045</v>
      </c>
    </row>
    <row r="7938" spans="1:11" hidden="1">
      <c r="A7938" s="4">
        <v>2026</v>
      </c>
      <c r="B7938">
        <v>21</v>
      </c>
      <c r="C7938" t="s">
        <v>54</v>
      </c>
      <c r="D7938" t="s">
        <v>11</v>
      </c>
      <c r="E7938" t="s">
        <v>25</v>
      </c>
      <c r="F7938" t="s">
        <v>68</v>
      </c>
      <c r="G7938" t="str">
        <f t="shared" si="322"/>
        <v>015JOCKER</v>
      </c>
      <c r="H7938" s="5">
        <v>3475</v>
      </c>
      <c r="I7938" s="6">
        <v>2375.9999999999973</v>
      </c>
      <c r="J7938" s="5">
        <v>18000</v>
      </c>
      <c r="K7938" s="6">
        <f t="shared" si="323"/>
        <v>1.4625420875420891</v>
      </c>
    </row>
    <row r="7939" spans="1:11" hidden="1">
      <c r="A7939" s="4">
        <v>2026</v>
      </c>
      <c r="B7939">
        <v>21</v>
      </c>
      <c r="C7939" t="s">
        <v>54</v>
      </c>
      <c r="D7939" t="s">
        <v>11</v>
      </c>
      <c r="E7939" t="s">
        <v>27</v>
      </c>
      <c r="F7939" t="s">
        <v>94</v>
      </c>
      <c r="G7939" t="str">
        <f t="shared" si="322"/>
        <v>016DREAM IN PEACH</v>
      </c>
      <c r="H7939" s="5">
        <v>1470</v>
      </c>
      <c r="I7939" s="6">
        <v>950.40000000000032</v>
      </c>
      <c r="J7939" s="5">
        <v>7200</v>
      </c>
      <c r="K7939" s="6">
        <f t="shared" si="323"/>
        <v>1.5467171717171713</v>
      </c>
    </row>
    <row r="7940" spans="1:11" hidden="1">
      <c r="A7940" s="4">
        <v>2026</v>
      </c>
      <c r="B7940">
        <v>21</v>
      </c>
      <c r="C7940" t="s">
        <v>54</v>
      </c>
      <c r="D7940" t="s">
        <v>11</v>
      </c>
      <c r="E7940" t="s">
        <v>27</v>
      </c>
      <c r="F7940" t="s">
        <v>95</v>
      </c>
      <c r="G7940" t="str">
        <f t="shared" si="322"/>
        <v>016NINA</v>
      </c>
      <c r="H7940" s="5">
        <v>3000</v>
      </c>
      <c r="I7940" s="6">
        <v>1346.3999999999996</v>
      </c>
      <c r="J7940" s="5">
        <v>10200</v>
      </c>
      <c r="K7940" s="6">
        <f t="shared" si="323"/>
        <v>2.228163992869876</v>
      </c>
    </row>
    <row r="7941" spans="1:11" hidden="1">
      <c r="A7941" s="4">
        <v>2026</v>
      </c>
      <c r="B7941">
        <v>21</v>
      </c>
      <c r="C7941" t="s">
        <v>54</v>
      </c>
      <c r="D7941" t="s">
        <v>11</v>
      </c>
      <c r="E7941" t="s">
        <v>30</v>
      </c>
      <c r="F7941" t="s">
        <v>81</v>
      </c>
      <c r="G7941" t="str">
        <f t="shared" si="322"/>
        <v>017FREEDOM</v>
      </c>
      <c r="H7941" s="5">
        <v>5340</v>
      </c>
      <c r="I7941" s="6">
        <v>2851.1999999999962</v>
      </c>
      <c r="J7941" s="5">
        <v>21600</v>
      </c>
      <c r="K7941" s="6">
        <f t="shared" si="323"/>
        <v>1.8728956228956255</v>
      </c>
    </row>
    <row r="7942" spans="1:11" hidden="1">
      <c r="A7942" s="4">
        <v>2026</v>
      </c>
      <c r="B7942">
        <v>21</v>
      </c>
      <c r="C7942" t="s">
        <v>54</v>
      </c>
      <c r="D7942" t="s">
        <v>11</v>
      </c>
      <c r="E7942" t="s">
        <v>30</v>
      </c>
      <c r="F7942" t="s">
        <v>73</v>
      </c>
      <c r="G7942" t="str">
        <f t="shared" si="322"/>
        <v>017GOLDFINCH</v>
      </c>
      <c r="H7942" s="5">
        <v>2775</v>
      </c>
      <c r="I7942" s="6">
        <v>2138.3999999999978</v>
      </c>
      <c r="J7942" s="5">
        <v>16200</v>
      </c>
      <c r="K7942" s="6">
        <f t="shared" si="323"/>
        <v>1.2976992143658823</v>
      </c>
    </row>
    <row r="7943" spans="1:11" hidden="1">
      <c r="A7943" s="4">
        <v>2026</v>
      </c>
      <c r="B7943">
        <v>21</v>
      </c>
      <c r="C7943" t="s">
        <v>54</v>
      </c>
      <c r="D7943" t="s">
        <v>11</v>
      </c>
      <c r="E7943" t="s">
        <v>32</v>
      </c>
      <c r="F7943" t="s">
        <v>86</v>
      </c>
      <c r="G7943" t="str">
        <f t="shared" si="322"/>
        <v>018BRIGHTON</v>
      </c>
      <c r="H7943" s="5">
        <v>2425</v>
      </c>
      <c r="I7943" s="6">
        <v>963.60000000000036</v>
      </c>
      <c r="J7943" s="5">
        <v>7570</v>
      </c>
      <c r="K7943" s="6">
        <f t="shared" si="323"/>
        <v>2.516604400166043</v>
      </c>
    </row>
    <row r="7944" spans="1:11" hidden="1">
      <c r="A7944" s="4">
        <v>2026</v>
      </c>
      <c r="B7944">
        <v>21</v>
      </c>
      <c r="C7944" t="s">
        <v>54</v>
      </c>
      <c r="D7944" t="s">
        <v>11</v>
      </c>
      <c r="E7944" t="s">
        <v>35</v>
      </c>
      <c r="F7944" t="s">
        <v>86</v>
      </c>
      <c r="G7944" t="str">
        <f t="shared" si="322"/>
        <v>019BRIGHTON</v>
      </c>
      <c r="H7944" s="5">
        <v>5675</v>
      </c>
      <c r="I7944" s="6">
        <v>3167.9999999999955</v>
      </c>
      <c r="J7944" s="5">
        <v>24000</v>
      </c>
      <c r="K7944" s="6">
        <f t="shared" si="323"/>
        <v>1.7913510101010126</v>
      </c>
    </row>
    <row r="7945" spans="1:11" hidden="1">
      <c r="A7945" s="4">
        <v>2026</v>
      </c>
      <c r="B7945">
        <v>21</v>
      </c>
      <c r="C7945" t="s">
        <v>54</v>
      </c>
      <c r="D7945" t="s">
        <v>11</v>
      </c>
      <c r="E7945" t="s">
        <v>35</v>
      </c>
      <c r="F7945" t="s">
        <v>96</v>
      </c>
      <c r="G7945" t="str">
        <f t="shared" si="322"/>
        <v>019TABATHA</v>
      </c>
      <c r="H7945" s="5">
        <v>2490</v>
      </c>
      <c r="I7945" s="6">
        <v>1188</v>
      </c>
      <c r="J7945" s="5">
        <v>9000</v>
      </c>
      <c r="K7945" s="6">
        <f t="shared" si="323"/>
        <v>2.095959595959596</v>
      </c>
    </row>
    <row r="7946" spans="1:11" hidden="1">
      <c r="A7946" s="4">
        <v>2026</v>
      </c>
      <c r="B7946">
        <v>21</v>
      </c>
      <c r="C7946" t="s">
        <v>54</v>
      </c>
      <c r="D7946" t="s">
        <v>11</v>
      </c>
      <c r="E7946" t="s">
        <v>36</v>
      </c>
      <c r="F7946" t="s">
        <v>86</v>
      </c>
      <c r="G7946" t="str">
        <f t="shared" si="322"/>
        <v>020BRIGHTON</v>
      </c>
      <c r="H7946" s="5">
        <v>5350</v>
      </c>
      <c r="I7946" s="6">
        <v>2732.3999999999965</v>
      </c>
      <c r="J7946" s="5">
        <v>20700</v>
      </c>
      <c r="K7946" s="6">
        <f t="shared" si="323"/>
        <v>1.9579856536378302</v>
      </c>
    </row>
    <row r="7947" spans="1:11" hidden="1">
      <c r="A7947" s="4">
        <v>2026</v>
      </c>
      <c r="B7947">
        <v>21</v>
      </c>
      <c r="C7947" t="s">
        <v>54</v>
      </c>
      <c r="D7947" t="s">
        <v>11</v>
      </c>
      <c r="E7947" t="s">
        <v>36</v>
      </c>
      <c r="F7947" t="s">
        <v>97</v>
      </c>
      <c r="G7947" t="str">
        <f t="shared" si="322"/>
        <v>020TYCOON</v>
      </c>
      <c r="H7947" s="5">
        <v>1170</v>
      </c>
      <c r="I7947" s="6">
        <v>673.2</v>
      </c>
      <c r="J7947" s="5">
        <v>5100</v>
      </c>
      <c r="K7947" s="6">
        <f t="shared" si="323"/>
        <v>1.7379679144385025</v>
      </c>
    </row>
    <row r="7948" spans="1:11" hidden="1">
      <c r="A7948" s="4">
        <v>2026</v>
      </c>
      <c r="B7948">
        <v>21</v>
      </c>
      <c r="C7948" t="s">
        <v>54</v>
      </c>
      <c r="D7948" t="s">
        <v>11</v>
      </c>
      <c r="E7948" t="s">
        <v>38</v>
      </c>
      <c r="F7948" t="s">
        <v>98</v>
      </c>
      <c r="G7948" t="str">
        <f t="shared" ref="G7948:G8010" si="324">+E7948&amp;F7948</f>
        <v>021SHOW GIRL</v>
      </c>
      <c r="H7948" s="5">
        <v>2325</v>
      </c>
      <c r="I7948" s="6">
        <v>1100.4749999999997</v>
      </c>
      <c r="J7948" s="5">
        <v>8000</v>
      </c>
      <c r="K7948" s="6">
        <f t="shared" si="323"/>
        <v>2.1127240509779872</v>
      </c>
    </row>
    <row r="7949" spans="1:11" hidden="1">
      <c r="A7949" s="4">
        <v>2026</v>
      </c>
      <c r="B7949">
        <v>21</v>
      </c>
      <c r="C7949" t="s">
        <v>54</v>
      </c>
      <c r="D7949" t="s">
        <v>11</v>
      </c>
      <c r="E7949" t="s">
        <v>43</v>
      </c>
      <c r="F7949" t="s">
        <v>99</v>
      </c>
      <c r="G7949" t="str">
        <f t="shared" si="324"/>
        <v>022CORAL REEF</v>
      </c>
      <c r="H7949" s="5">
        <v>3250</v>
      </c>
      <c r="I7949" s="6">
        <v>1287</v>
      </c>
      <c r="J7949" s="5">
        <v>9400</v>
      </c>
      <c r="K7949" s="6">
        <f t="shared" si="323"/>
        <v>2.5252525252525251</v>
      </c>
    </row>
    <row r="7950" spans="1:11" hidden="1">
      <c r="A7950" s="4">
        <v>2026</v>
      </c>
      <c r="B7950">
        <v>21</v>
      </c>
      <c r="C7950" t="s">
        <v>54</v>
      </c>
      <c r="D7950" t="s">
        <v>11</v>
      </c>
      <c r="E7950" t="s">
        <v>100</v>
      </c>
      <c r="F7950" t="s">
        <v>70</v>
      </c>
      <c r="G7950" t="str">
        <f t="shared" si="324"/>
        <v>023COTOPAXI</v>
      </c>
      <c r="H7950" s="5">
        <v>8100</v>
      </c>
      <c r="I7950" s="6">
        <v>2641.139999999999</v>
      </c>
      <c r="J7950" s="5">
        <v>19200</v>
      </c>
      <c r="K7950" s="6">
        <f t="shared" si="323"/>
        <v>3.0668574933551431</v>
      </c>
    </row>
    <row r="7951" spans="1:11" hidden="1">
      <c r="A7951" s="4">
        <v>2026</v>
      </c>
      <c r="B7951">
        <v>21</v>
      </c>
      <c r="C7951" t="s">
        <v>54</v>
      </c>
      <c r="D7951" t="s">
        <v>11</v>
      </c>
      <c r="E7951" t="s">
        <v>100</v>
      </c>
      <c r="F7951" t="s">
        <v>101</v>
      </c>
      <c r="G7951" t="str">
        <f t="shared" si="324"/>
        <v>023FRUTTETO</v>
      </c>
      <c r="H7951" s="5">
        <v>5040</v>
      </c>
      <c r="I7951" s="6">
        <v>2641.139999999999</v>
      </c>
      <c r="J7951" s="5">
        <v>19200</v>
      </c>
      <c r="K7951" s="6">
        <f t="shared" si="323"/>
        <v>1.9082668847543114</v>
      </c>
    </row>
    <row r="7952" spans="1:11" hidden="1">
      <c r="A7952" s="4">
        <v>2026</v>
      </c>
      <c r="B7952">
        <v>21</v>
      </c>
      <c r="C7952" t="s">
        <v>54</v>
      </c>
      <c r="D7952" t="s">
        <v>11</v>
      </c>
      <c r="E7952" t="s">
        <v>102</v>
      </c>
      <c r="F7952" t="s">
        <v>70</v>
      </c>
      <c r="G7952" t="str">
        <f t="shared" si="324"/>
        <v>024COTOPAXI</v>
      </c>
      <c r="H7952" s="5">
        <v>3750</v>
      </c>
      <c r="I7952" s="6">
        <v>1430.6174906249998</v>
      </c>
      <c r="J7952" s="5">
        <v>10400</v>
      </c>
      <c r="K7952" s="6">
        <f t="shared" si="323"/>
        <v>2.621245737993684</v>
      </c>
    </row>
    <row r="7953" spans="1:11" hidden="1">
      <c r="A7953" s="4">
        <v>2026</v>
      </c>
      <c r="B7953">
        <v>21</v>
      </c>
      <c r="C7953" t="s">
        <v>54</v>
      </c>
      <c r="D7953" t="s">
        <v>11</v>
      </c>
      <c r="E7953" t="s">
        <v>102</v>
      </c>
      <c r="F7953" t="s">
        <v>64</v>
      </c>
      <c r="G7953" t="str">
        <f t="shared" si="324"/>
        <v>024SWEETNESS</v>
      </c>
      <c r="H7953" s="5">
        <v>2040</v>
      </c>
      <c r="I7953" s="6">
        <v>1430.6174999999998</v>
      </c>
      <c r="J7953" s="5">
        <v>10400</v>
      </c>
      <c r="K7953" s="6">
        <f t="shared" si="323"/>
        <v>1.4259576721241005</v>
      </c>
    </row>
    <row r="7954" spans="1:11" hidden="1">
      <c r="A7954" s="4">
        <v>2026</v>
      </c>
      <c r="B7954">
        <v>21</v>
      </c>
      <c r="C7954" t="s">
        <v>54</v>
      </c>
      <c r="D7954" t="s">
        <v>11</v>
      </c>
      <c r="E7954" t="s">
        <v>102</v>
      </c>
      <c r="F7954" t="s">
        <v>97</v>
      </c>
      <c r="G7954" t="str">
        <f t="shared" si="324"/>
        <v>024TYCOON</v>
      </c>
      <c r="H7954" s="5">
        <v>4530</v>
      </c>
      <c r="I7954" s="6">
        <v>2861.2349999999983</v>
      </c>
      <c r="J7954" s="5">
        <v>20800</v>
      </c>
      <c r="K7954" s="6">
        <f t="shared" si="323"/>
        <v>1.5832324153730828</v>
      </c>
    </row>
    <row r="7955" spans="1:11" hidden="1">
      <c r="A7955" s="4">
        <v>2026</v>
      </c>
      <c r="B7955">
        <v>21</v>
      </c>
      <c r="C7955" t="s">
        <v>54</v>
      </c>
      <c r="D7955" t="s">
        <v>11</v>
      </c>
      <c r="E7955" t="s">
        <v>103</v>
      </c>
      <c r="F7955" t="s">
        <v>104</v>
      </c>
      <c r="G7955" t="str">
        <f t="shared" si="324"/>
        <v>025PINK MONDIAL</v>
      </c>
      <c r="H7955" s="5">
        <v>5050</v>
      </c>
      <c r="I7955" s="6">
        <v>3071.9505624999983</v>
      </c>
      <c r="J7955" s="5">
        <v>22400</v>
      </c>
      <c r="K7955" s="6">
        <f t="shared" si="323"/>
        <v>1.6439066636183872</v>
      </c>
    </row>
    <row r="7956" spans="1:11" hidden="1">
      <c r="A7956" s="4">
        <v>2026</v>
      </c>
      <c r="B7956">
        <v>21</v>
      </c>
      <c r="C7956" t="s">
        <v>54</v>
      </c>
      <c r="D7956" t="s">
        <v>11</v>
      </c>
      <c r="E7956" t="s">
        <v>45</v>
      </c>
      <c r="F7956" t="s">
        <v>105</v>
      </c>
      <c r="G7956" t="str">
        <f t="shared" si="324"/>
        <v>026LOLA</v>
      </c>
      <c r="H7956" s="5">
        <v>5800</v>
      </c>
      <c r="I7956" s="6">
        <v>2852.5249999999992</v>
      </c>
      <c r="J7956" s="5">
        <v>20800</v>
      </c>
      <c r="K7956" s="6">
        <f t="shared" si="323"/>
        <v>2.0332862989807281</v>
      </c>
    </row>
    <row r="7957" spans="1:11" hidden="1">
      <c r="A7957" s="4">
        <v>2026</v>
      </c>
      <c r="B7957">
        <v>21</v>
      </c>
      <c r="C7957" t="s">
        <v>54</v>
      </c>
      <c r="D7957" t="s">
        <v>11</v>
      </c>
      <c r="E7957" t="s">
        <v>45</v>
      </c>
      <c r="F7957" t="s">
        <v>106</v>
      </c>
      <c r="G7957" t="str">
        <f t="shared" si="324"/>
        <v>026PALOMA</v>
      </c>
      <c r="H7957" s="5">
        <v>6600</v>
      </c>
      <c r="I7957" s="6">
        <v>2852.5249999999992</v>
      </c>
      <c r="J7957" s="5">
        <v>20800</v>
      </c>
      <c r="K7957" s="6">
        <f t="shared" si="323"/>
        <v>2.3137395815987598</v>
      </c>
    </row>
    <row r="7958" spans="1:11" hidden="1">
      <c r="A7958" s="4">
        <v>2026</v>
      </c>
      <c r="B7958">
        <v>21</v>
      </c>
      <c r="C7958" t="s">
        <v>54</v>
      </c>
      <c r="D7958" t="s">
        <v>11</v>
      </c>
      <c r="E7958" t="s">
        <v>107</v>
      </c>
      <c r="F7958" t="s">
        <v>108</v>
      </c>
      <c r="G7958" t="str">
        <f t="shared" si="324"/>
        <v>027SATISFACTION</v>
      </c>
      <c r="H7958" s="5">
        <v>5640</v>
      </c>
      <c r="I7958" s="6">
        <v>2633.0999999999995</v>
      </c>
      <c r="J7958" s="5">
        <v>19200</v>
      </c>
      <c r="K7958" s="6">
        <f t="shared" si="323"/>
        <v>2.1419619459952153</v>
      </c>
    </row>
    <row r="7959" spans="1:11" hidden="1">
      <c r="A7959" s="4">
        <v>2026</v>
      </c>
      <c r="B7959">
        <v>21</v>
      </c>
      <c r="C7959" t="s">
        <v>54</v>
      </c>
      <c r="D7959" t="s">
        <v>11</v>
      </c>
      <c r="E7959" t="s">
        <v>107</v>
      </c>
      <c r="F7959" t="s">
        <v>109</v>
      </c>
      <c r="G7959" t="str">
        <f t="shared" si="324"/>
        <v>027TIFFANY</v>
      </c>
      <c r="H7959" s="5">
        <v>6420</v>
      </c>
      <c r="I7959" s="6">
        <v>2633.0999999999995</v>
      </c>
      <c r="J7959" s="5">
        <v>19200</v>
      </c>
      <c r="K7959" s="6">
        <f t="shared" si="323"/>
        <v>2.4381907257605109</v>
      </c>
    </row>
    <row r="7960" spans="1:11" hidden="1">
      <c r="A7960" s="4">
        <v>2026</v>
      </c>
      <c r="B7960">
        <v>21</v>
      </c>
      <c r="C7960" t="s">
        <v>54</v>
      </c>
      <c r="D7960" t="s">
        <v>11</v>
      </c>
      <c r="E7960" t="s">
        <v>110</v>
      </c>
      <c r="F7960" t="s">
        <v>70</v>
      </c>
      <c r="G7960" t="str">
        <f t="shared" si="324"/>
        <v>028COTOPAXI</v>
      </c>
      <c r="H7960" s="5">
        <v>6450</v>
      </c>
      <c r="I7960" s="6">
        <v>2852.5249999999987</v>
      </c>
      <c r="J7960" s="5">
        <v>20800</v>
      </c>
      <c r="K7960" s="6">
        <f t="shared" si="323"/>
        <v>2.261154591107879</v>
      </c>
    </row>
    <row r="7961" spans="1:11" hidden="1">
      <c r="A7961" s="4">
        <v>2026</v>
      </c>
      <c r="B7961">
        <v>21</v>
      </c>
      <c r="C7961" t="s">
        <v>54</v>
      </c>
      <c r="D7961" t="s">
        <v>11</v>
      </c>
      <c r="E7961" t="s">
        <v>110</v>
      </c>
      <c r="F7961" t="s">
        <v>67</v>
      </c>
      <c r="G7961" t="str">
        <f t="shared" si="324"/>
        <v>028DEEP PURPLE</v>
      </c>
      <c r="H7961" s="5">
        <v>6270</v>
      </c>
      <c r="I7961" s="6">
        <v>2852.5249999999987</v>
      </c>
      <c r="J7961" s="5">
        <v>20800</v>
      </c>
      <c r="K7961" s="6">
        <f t="shared" si="323"/>
        <v>2.1980526025188221</v>
      </c>
    </row>
    <row r="7962" spans="1:11" hidden="1">
      <c r="A7962" s="4">
        <v>2026</v>
      </c>
      <c r="B7962">
        <v>21</v>
      </c>
      <c r="C7962" t="s">
        <v>54</v>
      </c>
      <c r="D7962" t="s">
        <v>11</v>
      </c>
      <c r="E7962" t="s">
        <v>111</v>
      </c>
      <c r="F7962" t="s">
        <v>112</v>
      </c>
      <c r="G7962" t="str">
        <f t="shared" si="324"/>
        <v>029PINK FLOYD</v>
      </c>
      <c r="H7962" s="5">
        <v>3900</v>
      </c>
      <c r="I7962" s="6">
        <v>3071.949999999998</v>
      </c>
      <c r="J7962" s="5">
        <v>22400</v>
      </c>
      <c r="K7962" s="6">
        <f t="shared" si="323"/>
        <v>1.2695519132798394</v>
      </c>
    </row>
    <row r="7963" spans="1:11" hidden="1">
      <c r="A7963" s="4">
        <v>2026</v>
      </c>
      <c r="B7963">
        <v>21</v>
      </c>
      <c r="C7963" t="s">
        <v>54</v>
      </c>
      <c r="D7963" t="s">
        <v>11</v>
      </c>
      <c r="E7963" t="s">
        <v>47</v>
      </c>
      <c r="F7963" t="s">
        <v>57</v>
      </c>
      <c r="G7963" t="str">
        <f t="shared" si="324"/>
        <v>030EXPLORER</v>
      </c>
      <c r="H7963" s="5">
        <v>4025</v>
      </c>
      <c r="I7963" s="6">
        <v>1645.6875000000009</v>
      </c>
      <c r="J7963" s="5">
        <v>12000</v>
      </c>
      <c r="K7963" s="6">
        <f t="shared" si="323"/>
        <v>2.4457863354980809</v>
      </c>
    </row>
    <row r="7964" spans="1:11" hidden="1">
      <c r="A7964" s="4">
        <v>2026</v>
      </c>
      <c r="B7964">
        <v>22</v>
      </c>
      <c r="C7964" t="s">
        <v>10</v>
      </c>
      <c r="D7964" t="s">
        <v>11</v>
      </c>
      <c r="E7964" t="s">
        <v>12</v>
      </c>
      <c r="F7964" t="s">
        <v>13</v>
      </c>
      <c r="G7964" t="str">
        <f t="shared" si="324"/>
        <v>002SOMERSET</v>
      </c>
      <c r="H7964" s="5">
        <v>13020</v>
      </c>
      <c r="I7964" s="6">
        <v>4121.4642855494158</v>
      </c>
      <c r="J7964" s="5">
        <v>31200</v>
      </c>
      <c r="K7964" s="6">
        <f t="shared" si="323"/>
        <v>3.1590714119858876</v>
      </c>
    </row>
    <row r="7965" spans="1:11" hidden="1">
      <c r="A7965" s="4">
        <v>2026</v>
      </c>
      <c r="B7965">
        <v>22</v>
      </c>
      <c r="C7965" t="s">
        <v>10</v>
      </c>
      <c r="D7965" t="s">
        <v>11</v>
      </c>
      <c r="E7965" t="s">
        <v>14</v>
      </c>
      <c r="F7965" t="s">
        <v>15</v>
      </c>
      <c r="G7965" t="str">
        <f t="shared" si="324"/>
        <v>004BELLINA</v>
      </c>
      <c r="H7965" s="5">
        <v>1335</v>
      </c>
      <c r="I7965" s="6">
        <v>1056.785714243442</v>
      </c>
      <c r="J7965" s="5">
        <v>8000</v>
      </c>
      <c r="K7965" s="6">
        <f t="shared" si="323"/>
        <v>1.2632646164749992</v>
      </c>
    </row>
    <row r="7966" spans="1:11" hidden="1">
      <c r="A7966" s="4">
        <v>2026</v>
      </c>
      <c r="B7966">
        <v>22</v>
      </c>
      <c r="C7966" t="s">
        <v>10</v>
      </c>
      <c r="D7966" t="s">
        <v>11</v>
      </c>
      <c r="E7966" t="s">
        <v>16</v>
      </c>
      <c r="F7966" t="s">
        <v>17</v>
      </c>
      <c r="G7966" t="str">
        <f t="shared" si="324"/>
        <v>005ELBA</v>
      </c>
      <c r="H7966" s="5">
        <v>12410</v>
      </c>
      <c r="I7966" s="6">
        <v>2641.9642856076448</v>
      </c>
      <c r="J7966" s="5">
        <v>19996</v>
      </c>
      <c r="K7966" s="6">
        <f t="shared" si="323"/>
        <v>4.6972625889020048</v>
      </c>
    </row>
    <row r="7967" spans="1:11" hidden="1">
      <c r="A7967" s="4">
        <v>2026</v>
      </c>
      <c r="B7967">
        <v>22</v>
      </c>
      <c r="C7967" t="s">
        <v>10</v>
      </c>
      <c r="D7967" t="s">
        <v>11</v>
      </c>
      <c r="E7967" t="s">
        <v>16</v>
      </c>
      <c r="F7967" t="s">
        <v>18</v>
      </c>
      <c r="G7967" t="str">
        <f t="shared" si="324"/>
        <v>005HOT BUBBLES</v>
      </c>
      <c r="H7967" s="5">
        <v>1580</v>
      </c>
      <c r="I7967" s="6">
        <v>528.39285712153003</v>
      </c>
      <c r="J7967" s="5">
        <v>4000</v>
      </c>
      <c r="K7967" s="6">
        <f t="shared" si="323"/>
        <v>2.9901993918070717</v>
      </c>
    </row>
    <row r="7968" spans="1:11" hidden="1">
      <c r="A7968" s="4">
        <v>2026</v>
      </c>
      <c r="B7968">
        <v>22</v>
      </c>
      <c r="C7968" t="s">
        <v>10</v>
      </c>
      <c r="D7968" t="s">
        <v>11</v>
      </c>
      <c r="E7968" t="s">
        <v>16</v>
      </c>
      <c r="F7968" t="s">
        <v>19</v>
      </c>
      <c r="G7968" t="str">
        <f t="shared" si="324"/>
        <v>005SUSPIRO</v>
      </c>
      <c r="H7968" s="5">
        <v>5160</v>
      </c>
      <c r="I7968" s="6">
        <v>1902.2142856375083</v>
      </c>
      <c r="J7968" s="5">
        <v>14400</v>
      </c>
      <c r="K7968" s="6">
        <f t="shared" si="323"/>
        <v>2.7126281402469212</v>
      </c>
    </row>
    <row r="7969" spans="1:11" hidden="1">
      <c r="A7969" s="4">
        <v>2026</v>
      </c>
      <c r="B7969">
        <v>22</v>
      </c>
      <c r="C7969" t="s">
        <v>10</v>
      </c>
      <c r="D7969" t="s">
        <v>11</v>
      </c>
      <c r="E7969" t="s">
        <v>20</v>
      </c>
      <c r="F7969" t="s">
        <v>21</v>
      </c>
      <c r="G7969" t="str">
        <f t="shared" si="324"/>
        <v>007SNOW BUBBLES</v>
      </c>
      <c r="H7969" s="5">
        <v>1220</v>
      </c>
      <c r="I7969" s="6">
        <v>634.05652706821184</v>
      </c>
      <c r="J7969" s="5">
        <v>4800</v>
      </c>
      <c r="K7969" s="6">
        <f t="shared" si="323"/>
        <v>1.9241186675281277</v>
      </c>
    </row>
    <row r="7970" spans="1:11" hidden="1">
      <c r="A7970" s="4">
        <v>2026</v>
      </c>
      <c r="B7970">
        <v>22</v>
      </c>
      <c r="C7970" t="s">
        <v>10</v>
      </c>
      <c r="D7970" t="s">
        <v>11</v>
      </c>
      <c r="E7970" t="s">
        <v>22</v>
      </c>
      <c r="F7970" t="s">
        <v>18</v>
      </c>
      <c r="G7970" t="str">
        <f t="shared" si="324"/>
        <v>009HOT BUBBLES</v>
      </c>
      <c r="H7970" s="5">
        <v>9860</v>
      </c>
      <c r="I7970" s="6">
        <v>4487.9999999102447</v>
      </c>
      <c r="J7970" s="5">
        <v>31740</v>
      </c>
      <c r="K7970" s="6">
        <f t="shared" si="323"/>
        <v>2.1969696970136341</v>
      </c>
    </row>
    <row r="7971" spans="1:11" hidden="1">
      <c r="A7971" s="4">
        <v>2026</v>
      </c>
      <c r="B7971">
        <v>22</v>
      </c>
      <c r="C7971" t="s">
        <v>10</v>
      </c>
      <c r="D7971" t="s">
        <v>11</v>
      </c>
      <c r="E7971" t="s">
        <v>23</v>
      </c>
      <c r="F7971" t="s">
        <v>24</v>
      </c>
      <c r="G7971" t="str">
        <f t="shared" si="324"/>
        <v>014FRUITY BUBBLES</v>
      </c>
      <c r="H7971" s="5">
        <v>2425</v>
      </c>
      <c r="I7971" s="6">
        <v>1702.7999999999988</v>
      </c>
      <c r="J7971" s="5">
        <v>12900</v>
      </c>
      <c r="K7971" s="6">
        <f t="shared" si="323"/>
        <v>1.4241249706365995</v>
      </c>
    </row>
    <row r="7972" spans="1:11" hidden="1">
      <c r="A7972" s="4">
        <v>2026</v>
      </c>
      <c r="B7972">
        <v>22</v>
      </c>
      <c r="C7972" t="s">
        <v>10</v>
      </c>
      <c r="D7972" t="s">
        <v>11</v>
      </c>
      <c r="E7972" t="s">
        <v>25</v>
      </c>
      <c r="F7972" t="s">
        <v>26</v>
      </c>
      <c r="G7972" t="str">
        <f t="shared" si="324"/>
        <v>015FELLINI</v>
      </c>
      <c r="H7972" s="5">
        <v>6560</v>
      </c>
      <c r="I7972" s="6">
        <v>3009.5999999999958</v>
      </c>
      <c r="J7972" s="5">
        <v>22800</v>
      </c>
      <c r="K7972" s="6">
        <f t="shared" si="323"/>
        <v>2.1796916533758668</v>
      </c>
    </row>
    <row r="7973" spans="1:11" hidden="1">
      <c r="A7973" s="4">
        <v>2026</v>
      </c>
      <c r="B7973">
        <v>22</v>
      </c>
      <c r="C7973" t="s">
        <v>10</v>
      </c>
      <c r="D7973" t="s">
        <v>11</v>
      </c>
      <c r="E7973" t="s">
        <v>27</v>
      </c>
      <c r="F7973" t="s">
        <v>28</v>
      </c>
      <c r="G7973" t="str">
        <f t="shared" si="324"/>
        <v>016GOOD PEACH</v>
      </c>
      <c r="H7973" s="5">
        <v>3660</v>
      </c>
      <c r="I7973" s="6">
        <v>1385.9999999999995</v>
      </c>
      <c r="J7973" s="5">
        <v>10500</v>
      </c>
      <c r="K7973" s="6">
        <f t="shared" si="323"/>
        <v>2.6406926406926416</v>
      </c>
    </row>
    <row r="7974" spans="1:11" hidden="1">
      <c r="A7974" s="4">
        <v>2026</v>
      </c>
      <c r="B7974">
        <v>22</v>
      </c>
      <c r="C7974" t="s">
        <v>10</v>
      </c>
      <c r="D7974" t="s">
        <v>11</v>
      </c>
      <c r="E7974" t="s">
        <v>27</v>
      </c>
      <c r="F7974" t="s">
        <v>29</v>
      </c>
      <c r="G7974" t="str">
        <f t="shared" si="324"/>
        <v>016GOOD YELLOW</v>
      </c>
      <c r="H7974" s="5">
        <v>3600</v>
      </c>
      <c r="I7974" s="6">
        <v>1385.9999999999995</v>
      </c>
      <c r="J7974" s="5">
        <v>10500</v>
      </c>
      <c r="K7974" s="6">
        <f t="shared" si="323"/>
        <v>2.5974025974025983</v>
      </c>
    </row>
    <row r="7975" spans="1:11" hidden="1">
      <c r="A7975" s="4">
        <v>2026</v>
      </c>
      <c r="B7975">
        <v>22</v>
      </c>
      <c r="C7975" t="s">
        <v>10</v>
      </c>
      <c r="D7975" t="s">
        <v>11</v>
      </c>
      <c r="E7975" t="s">
        <v>30</v>
      </c>
      <c r="F7975" t="s">
        <v>31</v>
      </c>
      <c r="G7975" t="str">
        <f t="shared" si="324"/>
        <v>017ORANGE STAR</v>
      </c>
      <c r="H7975" s="5">
        <v>1475</v>
      </c>
      <c r="I7975" s="6">
        <v>1029.6000000000004</v>
      </c>
      <c r="J7975" s="5">
        <v>7800</v>
      </c>
      <c r="K7975" s="6">
        <f t="shared" si="323"/>
        <v>1.4325951825951821</v>
      </c>
    </row>
    <row r="7976" spans="1:11" hidden="1">
      <c r="A7976" s="4">
        <v>2026</v>
      </c>
      <c r="B7976">
        <v>22</v>
      </c>
      <c r="C7976" t="s">
        <v>10</v>
      </c>
      <c r="D7976" t="s">
        <v>11</v>
      </c>
      <c r="E7976" t="s">
        <v>32</v>
      </c>
      <c r="F7976" t="s">
        <v>33</v>
      </c>
      <c r="G7976" t="str">
        <f t="shared" si="324"/>
        <v>018COSMO</v>
      </c>
      <c r="H7976" s="5">
        <v>3925</v>
      </c>
      <c r="I7976" s="6">
        <v>2653.1999999999966</v>
      </c>
      <c r="J7976" s="5">
        <v>20100</v>
      </c>
      <c r="K7976" s="6">
        <f t="shared" si="323"/>
        <v>1.4793456957636082</v>
      </c>
    </row>
    <row r="7977" spans="1:11" hidden="1">
      <c r="A7977" s="4">
        <v>2026</v>
      </c>
      <c r="B7977">
        <v>22</v>
      </c>
      <c r="C7977" t="s">
        <v>10</v>
      </c>
      <c r="D7977" t="s">
        <v>11</v>
      </c>
      <c r="E7977" t="s">
        <v>32</v>
      </c>
      <c r="F7977" t="s">
        <v>34</v>
      </c>
      <c r="G7977" t="str">
        <f t="shared" si="324"/>
        <v>018RUBICON</v>
      </c>
      <c r="H7977" s="5">
        <v>6030</v>
      </c>
      <c r="I7977" s="6">
        <v>1768.7999999999988</v>
      </c>
      <c r="J7977" s="5">
        <v>13400</v>
      </c>
      <c r="K7977" s="6">
        <f t="shared" si="323"/>
        <v>3.4090909090909114</v>
      </c>
    </row>
    <row r="7978" spans="1:11" hidden="1">
      <c r="A7978" s="4">
        <v>2026</v>
      </c>
      <c r="B7978">
        <v>22</v>
      </c>
      <c r="C7978" t="s">
        <v>10</v>
      </c>
      <c r="D7978" t="s">
        <v>11</v>
      </c>
      <c r="E7978" t="s">
        <v>35</v>
      </c>
      <c r="F7978" t="s">
        <v>15</v>
      </c>
      <c r="G7978" t="str">
        <f t="shared" si="324"/>
        <v>019BELLINA</v>
      </c>
      <c r="H7978" s="5">
        <v>1575</v>
      </c>
      <c r="I7978" s="6">
        <v>1029.6000000000004</v>
      </c>
      <c r="J7978" s="5">
        <v>7800</v>
      </c>
      <c r="K7978" s="6">
        <f t="shared" si="323"/>
        <v>1.5297202797202791</v>
      </c>
    </row>
    <row r="7979" spans="1:11" hidden="1">
      <c r="A7979" s="4">
        <v>2026</v>
      </c>
      <c r="B7979">
        <v>22</v>
      </c>
      <c r="C7979" t="s">
        <v>10</v>
      </c>
      <c r="D7979" t="s">
        <v>11</v>
      </c>
      <c r="E7979" t="s">
        <v>36</v>
      </c>
      <c r="F7979" t="s">
        <v>37</v>
      </c>
      <c r="G7979" t="str">
        <f t="shared" si="324"/>
        <v>020SUMMER DANCE</v>
      </c>
      <c r="H7979" s="5">
        <v>2775</v>
      </c>
      <c r="I7979" s="6">
        <v>1346.3999999999996</v>
      </c>
      <c r="J7979" s="5">
        <v>10200</v>
      </c>
      <c r="K7979" s="6">
        <f t="shared" si="323"/>
        <v>2.061051693404635</v>
      </c>
    </row>
    <row r="7980" spans="1:11" hidden="1">
      <c r="A7980" s="4">
        <v>2026</v>
      </c>
      <c r="B7980">
        <v>22</v>
      </c>
      <c r="C7980" t="s">
        <v>10</v>
      </c>
      <c r="D7980" t="s">
        <v>11</v>
      </c>
      <c r="E7980" t="s">
        <v>38</v>
      </c>
      <c r="F7980" t="s">
        <v>39</v>
      </c>
      <c r="G7980" t="str">
        <f t="shared" si="324"/>
        <v>021ELEGANT ROSEVER</v>
      </c>
      <c r="H7980" s="5">
        <v>1290</v>
      </c>
      <c r="I7980" s="6">
        <v>440.18999062500001</v>
      </c>
      <c r="J7980" s="5">
        <v>3200</v>
      </c>
      <c r="K7980" s="6">
        <f t="shared" si="323"/>
        <v>2.9305527782864953</v>
      </c>
    </row>
    <row r="7981" spans="1:11" hidden="1">
      <c r="A7981" s="4">
        <v>2026</v>
      </c>
      <c r="B7981">
        <v>22</v>
      </c>
      <c r="C7981" t="s">
        <v>10</v>
      </c>
      <c r="D7981" t="s">
        <v>11</v>
      </c>
      <c r="E7981" t="s">
        <v>38</v>
      </c>
      <c r="F7981" t="s">
        <v>40</v>
      </c>
      <c r="G7981" t="str">
        <f t="shared" si="324"/>
        <v>021FLAME CLUB</v>
      </c>
      <c r="H7981" s="5">
        <v>1875</v>
      </c>
      <c r="I7981" s="6">
        <v>880.37999999999965</v>
      </c>
      <c r="J7981" s="5">
        <v>6400</v>
      </c>
      <c r="K7981" s="6">
        <f t="shared" si="323"/>
        <v>2.129762148163294</v>
      </c>
    </row>
    <row r="7982" spans="1:11" hidden="1">
      <c r="A7982" s="4">
        <v>2026</v>
      </c>
      <c r="B7982">
        <v>22</v>
      </c>
      <c r="C7982" t="s">
        <v>10</v>
      </c>
      <c r="D7982" t="s">
        <v>11</v>
      </c>
      <c r="E7982" t="s">
        <v>38</v>
      </c>
      <c r="F7982" t="s">
        <v>41</v>
      </c>
      <c r="G7982" t="str">
        <f t="shared" si="324"/>
        <v>021KELLY</v>
      </c>
      <c r="H7982" s="5">
        <v>1150</v>
      </c>
      <c r="I7982" s="6">
        <v>330.14249999999998</v>
      </c>
      <c r="J7982" s="5">
        <v>2400</v>
      </c>
      <c r="K7982" s="6">
        <f t="shared" si="323"/>
        <v>3.4833443134404085</v>
      </c>
    </row>
    <row r="7983" spans="1:11" hidden="1">
      <c r="A7983" s="4">
        <v>2026</v>
      </c>
      <c r="B7983">
        <v>22</v>
      </c>
      <c r="C7983" t="s">
        <v>10</v>
      </c>
      <c r="D7983" t="s">
        <v>11</v>
      </c>
      <c r="E7983" t="s">
        <v>38</v>
      </c>
      <c r="F7983" t="s">
        <v>42</v>
      </c>
      <c r="G7983" t="str">
        <f t="shared" si="324"/>
        <v>021LEILA</v>
      </c>
      <c r="H7983" s="5">
        <v>5300</v>
      </c>
      <c r="I7983" s="6">
        <v>770.33249999999975</v>
      </c>
      <c r="J7983" s="5">
        <v>5600</v>
      </c>
      <c r="K7983" s="6">
        <f t="shared" si="323"/>
        <v>6.8801459110189453</v>
      </c>
    </row>
    <row r="7984" spans="1:11" hidden="1">
      <c r="A7984" s="4">
        <v>2026</v>
      </c>
      <c r="B7984">
        <v>22</v>
      </c>
      <c r="C7984" t="s">
        <v>10</v>
      </c>
      <c r="D7984" t="s">
        <v>11</v>
      </c>
      <c r="E7984" t="s">
        <v>38</v>
      </c>
      <c r="F7984" t="s">
        <v>115</v>
      </c>
      <c r="G7984" t="str">
        <f t="shared" si="324"/>
        <v>021PISTACHIO KISS</v>
      </c>
      <c r="H7984" s="5">
        <v>75</v>
      </c>
      <c r="I7984" s="6">
        <v>880.37999999999965</v>
      </c>
      <c r="J7984" s="5">
        <v>6400</v>
      </c>
      <c r="K7984" s="6">
        <f t="shared" si="323"/>
        <v>8.5190485926531764E-2</v>
      </c>
    </row>
    <row r="7985" spans="1:11" hidden="1">
      <c r="A7985" s="4">
        <v>2026</v>
      </c>
      <c r="B7985">
        <v>22</v>
      </c>
      <c r="C7985" t="s">
        <v>10</v>
      </c>
      <c r="D7985" t="s">
        <v>11</v>
      </c>
      <c r="E7985" t="s">
        <v>38</v>
      </c>
      <c r="F7985" t="s">
        <v>21</v>
      </c>
      <c r="G7985" t="str">
        <f t="shared" si="324"/>
        <v>021SNOW BUBBLES</v>
      </c>
      <c r="H7985" s="5">
        <v>2540</v>
      </c>
      <c r="I7985" s="6">
        <v>1287.0000000000018</v>
      </c>
      <c r="J7985" s="5">
        <v>9400</v>
      </c>
      <c r="K7985" s="6">
        <f t="shared" si="323"/>
        <v>1.9735819735819708</v>
      </c>
    </row>
    <row r="7986" spans="1:11" hidden="1">
      <c r="A7986" s="4">
        <v>2026</v>
      </c>
      <c r="B7986">
        <v>22</v>
      </c>
      <c r="C7986" t="s">
        <v>10</v>
      </c>
      <c r="D7986" t="s">
        <v>11</v>
      </c>
      <c r="E7986" t="s">
        <v>43</v>
      </c>
      <c r="F7986" t="s">
        <v>24</v>
      </c>
      <c r="G7986" t="str">
        <f t="shared" si="324"/>
        <v>022FRUITY BUBBLES</v>
      </c>
      <c r="H7986" s="5">
        <v>5475</v>
      </c>
      <c r="I7986" s="6">
        <v>2641.139999999999</v>
      </c>
      <c r="J7986" s="5">
        <v>19200</v>
      </c>
      <c r="K7986" s="6">
        <f t="shared" ref="K7986:K8047" si="325">+H7986/I7986</f>
        <v>2.0729684908789396</v>
      </c>
    </row>
    <row r="7987" spans="1:11" hidden="1">
      <c r="A7987" s="4">
        <v>2026</v>
      </c>
      <c r="B7987">
        <v>22</v>
      </c>
      <c r="C7987" t="s">
        <v>10</v>
      </c>
      <c r="D7987" t="s">
        <v>11</v>
      </c>
      <c r="E7987" t="s">
        <v>43</v>
      </c>
      <c r="F7987" t="s">
        <v>28</v>
      </c>
      <c r="G7987" t="str">
        <f t="shared" si="324"/>
        <v>022GOOD PEACH</v>
      </c>
      <c r="H7987" s="5">
        <v>2670</v>
      </c>
      <c r="I7987" s="6">
        <v>880.37999999999965</v>
      </c>
      <c r="J7987" s="5">
        <v>6400</v>
      </c>
      <c r="K7987" s="6">
        <f t="shared" si="325"/>
        <v>3.0327812989845304</v>
      </c>
    </row>
    <row r="7988" spans="1:11" hidden="1">
      <c r="A7988" s="4">
        <v>2026</v>
      </c>
      <c r="B7988">
        <v>22</v>
      </c>
      <c r="C7988" t="s">
        <v>10</v>
      </c>
      <c r="D7988" t="s">
        <v>11</v>
      </c>
      <c r="E7988" t="s">
        <v>43</v>
      </c>
      <c r="F7988" t="s">
        <v>44</v>
      </c>
      <c r="G7988" t="str">
        <f t="shared" si="324"/>
        <v>022MIRABEL</v>
      </c>
      <c r="H7988" s="5">
        <v>1440</v>
      </c>
      <c r="I7988" s="6">
        <v>880.37999999999965</v>
      </c>
      <c r="J7988" s="5">
        <v>6400</v>
      </c>
      <c r="K7988" s="6">
        <f t="shared" si="325"/>
        <v>1.6356573297894097</v>
      </c>
    </row>
    <row r="7989" spans="1:11" hidden="1">
      <c r="A7989" s="4">
        <v>2026</v>
      </c>
      <c r="B7989">
        <v>22</v>
      </c>
      <c r="C7989" t="s">
        <v>10</v>
      </c>
      <c r="D7989" t="s">
        <v>11</v>
      </c>
      <c r="E7989" t="s">
        <v>47</v>
      </c>
      <c r="F7989" t="s">
        <v>44</v>
      </c>
      <c r="G7989" t="str">
        <f t="shared" si="324"/>
        <v>030MIRABEL</v>
      </c>
      <c r="H7989" s="5">
        <v>5400</v>
      </c>
      <c r="I7989" s="6">
        <v>2413.6749943750001</v>
      </c>
      <c r="J7989" s="5">
        <v>17600</v>
      </c>
      <c r="K7989" s="6">
        <f t="shared" si="325"/>
        <v>2.2372523279167842</v>
      </c>
    </row>
    <row r="7990" spans="1:11" hidden="1">
      <c r="A7990" s="4">
        <v>2026</v>
      </c>
      <c r="B7990">
        <v>22</v>
      </c>
      <c r="C7990" t="s">
        <v>10</v>
      </c>
      <c r="D7990" t="s">
        <v>11</v>
      </c>
      <c r="E7990" t="s">
        <v>47</v>
      </c>
      <c r="F7990" t="s">
        <v>13</v>
      </c>
      <c r="G7990" t="str">
        <f t="shared" si="324"/>
        <v>030SOMERSET</v>
      </c>
      <c r="H7990" s="5">
        <v>3840</v>
      </c>
      <c r="I7990" s="6">
        <v>1645.6875000000009</v>
      </c>
      <c r="J7990" s="5">
        <v>12000</v>
      </c>
      <c r="K7990" s="6">
        <f t="shared" si="325"/>
        <v>2.3333713113820198</v>
      </c>
    </row>
    <row r="7991" spans="1:11" hidden="1">
      <c r="A7991" s="4">
        <v>2026</v>
      </c>
      <c r="B7991">
        <v>22</v>
      </c>
      <c r="C7991" t="s">
        <v>10</v>
      </c>
      <c r="D7991" t="s">
        <v>11</v>
      </c>
      <c r="E7991" t="s">
        <v>48</v>
      </c>
      <c r="F7991" t="s">
        <v>49</v>
      </c>
      <c r="G7991" t="str">
        <f t="shared" si="324"/>
        <v>03182989</v>
      </c>
      <c r="H7991" s="5">
        <v>1440</v>
      </c>
      <c r="I7991" s="6">
        <v>726.32013058333712</v>
      </c>
      <c r="J7991" s="5">
        <v>5712</v>
      </c>
      <c r="K7991" s="6">
        <f t="shared" si="325"/>
        <v>1.9825968458887098</v>
      </c>
    </row>
    <row r="7992" spans="1:11" hidden="1">
      <c r="A7992" s="4">
        <v>2026</v>
      </c>
      <c r="B7992">
        <v>22</v>
      </c>
      <c r="C7992" t="s">
        <v>10</v>
      </c>
      <c r="D7992" t="s">
        <v>11</v>
      </c>
      <c r="E7992" t="s">
        <v>48</v>
      </c>
      <c r="F7992" t="s">
        <v>34</v>
      </c>
      <c r="G7992" t="str">
        <f t="shared" si="324"/>
        <v>031RUBICON</v>
      </c>
      <c r="H7992" s="5">
        <v>2940</v>
      </c>
      <c r="I7992" s="6">
        <v>924.39958333667118</v>
      </c>
      <c r="J7992" s="5">
        <v>6720</v>
      </c>
      <c r="K7992" s="6">
        <f t="shared" si="325"/>
        <v>3.1804428009237178</v>
      </c>
    </row>
    <row r="7993" spans="1:11" hidden="1">
      <c r="A7993" s="4">
        <v>2026</v>
      </c>
      <c r="B7993">
        <v>22</v>
      </c>
      <c r="C7993" t="s">
        <v>10</v>
      </c>
      <c r="D7993" t="s">
        <v>11</v>
      </c>
      <c r="E7993" t="s">
        <v>48</v>
      </c>
      <c r="F7993" t="s">
        <v>13</v>
      </c>
      <c r="G7993" t="str">
        <f t="shared" si="324"/>
        <v>031SOMERSET</v>
      </c>
      <c r="H7993" s="5">
        <v>5260</v>
      </c>
      <c r="I7993" s="6">
        <v>1122.4852083333392</v>
      </c>
      <c r="J7993" s="5">
        <v>8160</v>
      </c>
      <c r="K7993" s="6">
        <f t="shared" si="325"/>
        <v>4.6860305694451183</v>
      </c>
    </row>
    <row r="7994" spans="1:11" hidden="1">
      <c r="A7994" s="4">
        <v>2026</v>
      </c>
      <c r="B7994">
        <v>22</v>
      </c>
      <c r="C7994" t="s">
        <v>10</v>
      </c>
      <c r="D7994" t="s">
        <v>11</v>
      </c>
      <c r="E7994" t="s">
        <v>48</v>
      </c>
      <c r="F7994" t="s">
        <v>50</v>
      </c>
      <c r="G7994" t="str">
        <f t="shared" si="324"/>
        <v>031VELVET BLOSSOMS</v>
      </c>
      <c r="H7994" s="5">
        <v>760</v>
      </c>
      <c r="I7994" s="6">
        <v>396.17125000000203</v>
      </c>
      <c r="J7994" s="5">
        <v>2880</v>
      </c>
      <c r="K7994" s="6">
        <f t="shared" si="325"/>
        <v>1.9183623243736039</v>
      </c>
    </row>
    <row r="7995" spans="1:11" hidden="1">
      <c r="A7995" s="4">
        <v>2026</v>
      </c>
      <c r="B7995">
        <v>22</v>
      </c>
      <c r="C7995" t="s">
        <v>10</v>
      </c>
      <c r="D7995" t="s">
        <v>11</v>
      </c>
      <c r="E7995" t="s">
        <v>51</v>
      </c>
      <c r="F7995" t="s">
        <v>17</v>
      </c>
      <c r="G7995" t="str">
        <f t="shared" si="324"/>
        <v>032ELBA</v>
      </c>
      <c r="H7995" s="5">
        <v>4110</v>
      </c>
      <c r="I7995" s="6">
        <v>1535.9749999999992</v>
      </c>
      <c r="J7995" s="5">
        <v>11200</v>
      </c>
      <c r="K7995" s="6">
        <f t="shared" si="325"/>
        <v>2.6758248018359687</v>
      </c>
    </row>
    <row r="7996" spans="1:11" hidden="1">
      <c r="A7996" s="4">
        <v>2026</v>
      </c>
      <c r="B7996">
        <v>22</v>
      </c>
      <c r="C7996" t="s">
        <v>10</v>
      </c>
      <c r="D7996" t="s">
        <v>11</v>
      </c>
      <c r="E7996" t="s">
        <v>51</v>
      </c>
      <c r="F7996" t="s">
        <v>44</v>
      </c>
      <c r="G7996" t="str">
        <f t="shared" si="324"/>
        <v>032MIRABEL</v>
      </c>
      <c r="H7996" s="5">
        <v>1960</v>
      </c>
      <c r="I7996" s="6">
        <v>1535.9749999999995</v>
      </c>
      <c r="J7996" s="5">
        <v>11200</v>
      </c>
      <c r="K7996" s="6">
        <f t="shared" si="325"/>
        <v>1.2760624359120434</v>
      </c>
    </row>
    <row r="7997" spans="1:11" hidden="1">
      <c r="A7997" s="4">
        <v>2026</v>
      </c>
      <c r="B7997">
        <v>22</v>
      </c>
      <c r="C7997" t="s">
        <v>10</v>
      </c>
      <c r="D7997" t="s">
        <v>11</v>
      </c>
      <c r="E7997" t="s">
        <v>52</v>
      </c>
      <c r="F7997" t="s">
        <v>53</v>
      </c>
      <c r="G7997" t="str">
        <f t="shared" si="324"/>
        <v>033CREAMY FOLIES</v>
      </c>
      <c r="H7997" s="5">
        <v>840</v>
      </c>
      <c r="I7997" s="6">
        <v>594.25687500000311</v>
      </c>
      <c r="J7997" s="5">
        <v>4320</v>
      </c>
      <c r="K7997" s="6">
        <f t="shared" si="325"/>
        <v>1.4135301337489712</v>
      </c>
    </row>
    <row r="7998" spans="1:11" hidden="1">
      <c r="A7998" s="4">
        <v>2026</v>
      </c>
      <c r="B7998">
        <v>22</v>
      </c>
      <c r="C7998" t="s">
        <v>10</v>
      </c>
      <c r="D7998" t="s">
        <v>11</v>
      </c>
      <c r="E7998" t="s">
        <v>52</v>
      </c>
      <c r="F7998" t="s">
        <v>18</v>
      </c>
      <c r="G7998" t="str">
        <f t="shared" si="324"/>
        <v>033HOT BUBBLES</v>
      </c>
      <c r="H7998" s="5">
        <v>3080</v>
      </c>
      <c r="I7998" s="6">
        <v>2575.1131250013464</v>
      </c>
      <c r="J7998" s="5">
        <v>18720</v>
      </c>
      <c r="K7998" s="6">
        <f t="shared" si="325"/>
        <v>1.1960639593254334</v>
      </c>
    </row>
    <row r="7999" spans="1:11" hidden="1">
      <c r="A7999" s="4">
        <v>2026</v>
      </c>
      <c r="B7999">
        <v>22</v>
      </c>
      <c r="C7999" t="s">
        <v>54</v>
      </c>
      <c r="D7999" t="s">
        <v>11</v>
      </c>
      <c r="E7999" t="s">
        <v>55</v>
      </c>
      <c r="F7999" t="s">
        <v>56</v>
      </c>
      <c r="G7999" t="str">
        <f t="shared" si="324"/>
        <v>001BELIEVE IN PINK</v>
      </c>
      <c r="H7999" s="5">
        <v>1710</v>
      </c>
      <c r="I7999" s="6">
        <v>528.37931032368999</v>
      </c>
      <c r="J7999" s="5">
        <v>4000</v>
      </c>
      <c r="K7999" s="6">
        <f t="shared" si="325"/>
        <v>3.2363114273956683</v>
      </c>
    </row>
    <row r="8000" spans="1:11" hidden="1">
      <c r="A8000" s="4">
        <v>2026</v>
      </c>
      <c r="B8000">
        <v>22</v>
      </c>
      <c r="C8000" t="s">
        <v>54</v>
      </c>
      <c r="D8000" t="s">
        <v>11</v>
      </c>
      <c r="E8000" t="s">
        <v>55</v>
      </c>
      <c r="F8000" t="s">
        <v>57</v>
      </c>
      <c r="G8000" t="str">
        <f t="shared" si="324"/>
        <v>001EXPLORER</v>
      </c>
      <c r="H8000" s="5">
        <v>5625</v>
      </c>
      <c r="I8000" s="6">
        <v>2272.0310343918723</v>
      </c>
      <c r="J8000" s="5">
        <v>17200</v>
      </c>
      <c r="K8000" s="6">
        <f t="shared" si="325"/>
        <v>2.4757584358901936</v>
      </c>
    </row>
    <row r="8001" spans="1:11" hidden="1">
      <c r="A8001" s="4">
        <v>2026</v>
      </c>
      <c r="B8001">
        <v>22</v>
      </c>
      <c r="C8001" t="s">
        <v>54</v>
      </c>
      <c r="D8001" t="s">
        <v>11</v>
      </c>
      <c r="E8001" t="s">
        <v>55</v>
      </c>
      <c r="F8001" t="s">
        <v>58</v>
      </c>
      <c r="G8001" t="str">
        <f t="shared" si="324"/>
        <v>001GRACE KELLY</v>
      </c>
      <c r="H8001" s="5">
        <v>2100</v>
      </c>
      <c r="I8001" s="6">
        <v>1162.434482712122</v>
      </c>
      <c r="J8001" s="5">
        <v>8800</v>
      </c>
      <c r="K8001" s="6">
        <f t="shared" si="325"/>
        <v>1.8065534283707816</v>
      </c>
    </row>
    <row r="8002" spans="1:11" hidden="1">
      <c r="A8002" s="4">
        <v>2026</v>
      </c>
      <c r="B8002">
        <v>22</v>
      </c>
      <c r="C8002" t="s">
        <v>54</v>
      </c>
      <c r="D8002" t="s">
        <v>11</v>
      </c>
      <c r="E8002" t="s">
        <v>55</v>
      </c>
      <c r="F8002" t="s">
        <v>60</v>
      </c>
      <c r="G8002" t="str">
        <f t="shared" si="324"/>
        <v>001LIGHT HOUSE</v>
      </c>
      <c r="H8002" s="5">
        <v>2220</v>
      </c>
      <c r="I8002" s="6">
        <v>1056.7586206473825</v>
      </c>
      <c r="J8002" s="5">
        <v>8000</v>
      </c>
      <c r="K8002" s="6">
        <f t="shared" si="325"/>
        <v>2.1007635581340254</v>
      </c>
    </row>
    <row r="8003" spans="1:11" hidden="1">
      <c r="A8003" s="4">
        <v>2026</v>
      </c>
      <c r="B8003">
        <v>22</v>
      </c>
      <c r="C8003" t="s">
        <v>54</v>
      </c>
      <c r="D8003" t="s">
        <v>11</v>
      </c>
      <c r="E8003" t="s">
        <v>55</v>
      </c>
      <c r="F8003" t="s">
        <v>61</v>
      </c>
      <c r="G8003" t="str">
        <f t="shared" si="324"/>
        <v>001LUMIA</v>
      </c>
      <c r="H8003" s="5">
        <v>1620</v>
      </c>
      <c r="I8003" s="6">
        <v>1109.5965516797528</v>
      </c>
      <c r="J8003" s="5">
        <v>8400</v>
      </c>
      <c r="K8003" s="6">
        <f t="shared" si="325"/>
        <v>1.4599901176221011</v>
      </c>
    </row>
    <row r="8004" spans="1:11" hidden="1">
      <c r="A8004" s="4">
        <v>2026</v>
      </c>
      <c r="B8004">
        <v>22</v>
      </c>
      <c r="C8004" t="s">
        <v>54</v>
      </c>
      <c r="D8004" t="s">
        <v>11</v>
      </c>
      <c r="E8004" t="s">
        <v>55</v>
      </c>
      <c r="F8004" t="s">
        <v>62</v>
      </c>
      <c r="G8004" t="str">
        <f t="shared" si="324"/>
        <v>001MOMENTUM</v>
      </c>
      <c r="H8004" s="5">
        <v>4200</v>
      </c>
      <c r="I8004" s="6">
        <v>1902.1655171652874</v>
      </c>
      <c r="J8004" s="5">
        <v>14400</v>
      </c>
      <c r="K8004" s="6">
        <f t="shared" si="325"/>
        <v>2.2080097457865144</v>
      </c>
    </row>
    <row r="8005" spans="1:11" hidden="1">
      <c r="A8005" s="4">
        <v>2026</v>
      </c>
      <c r="B8005">
        <v>22</v>
      </c>
      <c r="C8005" t="s">
        <v>54</v>
      </c>
      <c r="D8005" t="s">
        <v>11</v>
      </c>
      <c r="E8005" t="s">
        <v>12</v>
      </c>
      <c r="F8005" t="s">
        <v>63</v>
      </c>
      <c r="G8005" t="str">
        <f t="shared" si="324"/>
        <v>002SUMMER ROMANCE</v>
      </c>
      <c r="H8005" s="5">
        <v>2825</v>
      </c>
      <c r="I8005" s="6">
        <v>951.10714281909407</v>
      </c>
      <c r="J8005" s="5">
        <v>7200</v>
      </c>
      <c r="K8005" s="6">
        <f t="shared" si="325"/>
        <v>2.9702226729437262</v>
      </c>
    </row>
    <row r="8006" spans="1:11" hidden="1">
      <c r="A8006" s="4">
        <v>2026</v>
      </c>
      <c r="B8006">
        <v>22</v>
      </c>
      <c r="C8006" t="s">
        <v>54</v>
      </c>
      <c r="D8006" t="s">
        <v>11</v>
      </c>
      <c r="E8006" t="s">
        <v>12</v>
      </c>
      <c r="F8006" t="s">
        <v>64</v>
      </c>
      <c r="G8006" t="str">
        <f t="shared" si="324"/>
        <v>002SWEETNESS</v>
      </c>
      <c r="H8006" s="5">
        <v>6360</v>
      </c>
      <c r="I8006" s="6">
        <v>3804.4285712763835</v>
      </c>
      <c r="J8006" s="5">
        <v>28800</v>
      </c>
      <c r="K8006" s="6">
        <f t="shared" si="325"/>
        <v>1.6717359468957578</v>
      </c>
    </row>
    <row r="8007" spans="1:11" hidden="1">
      <c r="A8007" s="4">
        <v>2026</v>
      </c>
      <c r="B8007">
        <v>22</v>
      </c>
      <c r="C8007" t="s">
        <v>54</v>
      </c>
      <c r="D8007" t="s">
        <v>11</v>
      </c>
      <c r="E8007" t="s">
        <v>65</v>
      </c>
      <c r="F8007" t="s">
        <v>66</v>
      </c>
      <c r="G8007" t="str">
        <f t="shared" si="324"/>
        <v>003CABARET</v>
      </c>
      <c r="H8007" s="5">
        <v>4110</v>
      </c>
      <c r="I8007" s="6">
        <v>2641.8965516184676</v>
      </c>
      <c r="J8007" s="5">
        <v>20000</v>
      </c>
      <c r="K8007" s="6">
        <f t="shared" si="325"/>
        <v>1.5557005808884337</v>
      </c>
    </row>
    <row r="8008" spans="1:11" hidden="1">
      <c r="A8008" s="4">
        <v>2026</v>
      </c>
      <c r="B8008">
        <v>22</v>
      </c>
      <c r="C8008" t="s">
        <v>54</v>
      </c>
      <c r="D8008" t="s">
        <v>11</v>
      </c>
      <c r="E8008" t="s">
        <v>65</v>
      </c>
      <c r="F8008" t="s">
        <v>67</v>
      </c>
      <c r="G8008" t="str">
        <f t="shared" si="324"/>
        <v>003DEEP PURPLE</v>
      </c>
      <c r="H8008" s="5">
        <v>8880</v>
      </c>
      <c r="I8008" s="6">
        <v>3592.9793102010881</v>
      </c>
      <c r="J8008" s="5">
        <v>26044</v>
      </c>
      <c r="K8008" s="6">
        <f t="shared" si="325"/>
        <v>2.4714865389812148</v>
      </c>
    </row>
    <row r="8009" spans="1:11" hidden="1">
      <c r="A8009" s="4">
        <v>2026</v>
      </c>
      <c r="B8009">
        <v>22</v>
      </c>
      <c r="C8009" t="s">
        <v>54</v>
      </c>
      <c r="D8009" t="s">
        <v>11</v>
      </c>
      <c r="E8009" t="s">
        <v>65</v>
      </c>
      <c r="F8009" t="s">
        <v>57</v>
      </c>
      <c r="G8009" t="str">
        <f t="shared" si="324"/>
        <v>003EXPLORER</v>
      </c>
      <c r="H8009" s="5">
        <v>2500</v>
      </c>
      <c r="I8009" s="6">
        <v>1268.1103447768635</v>
      </c>
      <c r="J8009" s="5">
        <v>9600</v>
      </c>
      <c r="K8009" s="6">
        <f t="shared" si="325"/>
        <v>1.9714372730236656</v>
      </c>
    </row>
    <row r="8010" spans="1:11" hidden="1">
      <c r="A8010" s="4">
        <v>2026</v>
      </c>
      <c r="B8010">
        <v>22</v>
      </c>
      <c r="C8010" t="s">
        <v>54</v>
      </c>
      <c r="D8010" t="s">
        <v>11</v>
      </c>
      <c r="E8010" t="s">
        <v>65</v>
      </c>
      <c r="F8010" t="s">
        <v>68</v>
      </c>
      <c r="G8010" t="str">
        <f t="shared" si="324"/>
        <v>003JOCKER</v>
      </c>
      <c r="H8010" s="5">
        <v>850</v>
      </c>
      <c r="I8010" s="6">
        <v>528.37931032368999</v>
      </c>
      <c r="J8010" s="5">
        <v>4000</v>
      </c>
      <c r="K8010" s="6">
        <f t="shared" si="325"/>
        <v>1.6086928147873205</v>
      </c>
    </row>
    <row r="8011" spans="1:11" hidden="1">
      <c r="A8011" s="4">
        <v>2026</v>
      </c>
      <c r="B8011">
        <v>22</v>
      </c>
      <c r="C8011" t="s">
        <v>54</v>
      </c>
      <c r="D8011" t="s">
        <v>11</v>
      </c>
      <c r="E8011" t="s">
        <v>65</v>
      </c>
      <c r="F8011" t="s">
        <v>69</v>
      </c>
      <c r="G8011" t="str">
        <f t="shared" ref="G8011:G8073" si="326">+E8011&amp;F8011</f>
        <v>003QUICKSAND</v>
      </c>
      <c r="H8011" s="5">
        <v>1980</v>
      </c>
      <c r="I8011" s="6">
        <v>1162.4344827121247</v>
      </c>
      <c r="J8011" s="5">
        <v>8800</v>
      </c>
      <c r="K8011" s="6">
        <f t="shared" si="325"/>
        <v>1.7033218038924471</v>
      </c>
    </row>
    <row r="8012" spans="1:11" hidden="1">
      <c r="A8012" s="4">
        <v>2026</v>
      </c>
      <c r="B8012">
        <v>22</v>
      </c>
      <c r="C8012" t="s">
        <v>54</v>
      </c>
      <c r="D8012" t="s">
        <v>11</v>
      </c>
      <c r="E8012" t="s">
        <v>14</v>
      </c>
      <c r="F8012" t="s">
        <v>70</v>
      </c>
      <c r="G8012" t="str">
        <f t="shared" si="326"/>
        <v>004COTOPAXI</v>
      </c>
      <c r="H8012" s="5">
        <v>570</v>
      </c>
      <c r="I8012" s="6">
        <v>528.39150244191671</v>
      </c>
      <c r="J8012" s="5">
        <v>4000</v>
      </c>
      <c r="K8012" s="6">
        <f t="shared" si="325"/>
        <v>1.0787455842226703</v>
      </c>
    </row>
    <row r="8013" spans="1:11" hidden="1">
      <c r="A8013" s="4">
        <v>2026</v>
      </c>
      <c r="B8013">
        <v>22</v>
      </c>
      <c r="C8013" t="s">
        <v>54</v>
      </c>
      <c r="D8013" t="s">
        <v>11</v>
      </c>
      <c r="E8013" t="s">
        <v>14</v>
      </c>
      <c r="F8013" t="s">
        <v>67</v>
      </c>
      <c r="G8013" t="str">
        <f t="shared" si="326"/>
        <v>004DEEP PURPLE</v>
      </c>
      <c r="H8013" s="5">
        <v>9000</v>
      </c>
      <c r="I8013" s="6">
        <v>3910.1071427007341</v>
      </c>
      <c r="J8013" s="5">
        <v>29260</v>
      </c>
      <c r="K8013" s="6">
        <f t="shared" si="325"/>
        <v>2.3017272088824776</v>
      </c>
    </row>
    <row r="8014" spans="1:11" hidden="1">
      <c r="A8014" s="4">
        <v>2026</v>
      </c>
      <c r="B8014">
        <v>22</v>
      </c>
      <c r="C8014" t="s">
        <v>54</v>
      </c>
      <c r="D8014" t="s">
        <v>11</v>
      </c>
      <c r="E8014" t="s">
        <v>14</v>
      </c>
      <c r="F8014" t="s">
        <v>71</v>
      </c>
      <c r="G8014" t="str">
        <f t="shared" si="326"/>
        <v>004HOT EXPLORER</v>
      </c>
      <c r="H8014" s="5">
        <v>3500</v>
      </c>
      <c r="I8014" s="6">
        <v>1902.2142856381947</v>
      </c>
      <c r="J8014" s="5">
        <v>14400</v>
      </c>
      <c r="K8014" s="6">
        <f t="shared" si="325"/>
        <v>1.83996094784124</v>
      </c>
    </row>
    <row r="8015" spans="1:11" hidden="1">
      <c r="A8015" s="4">
        <v>2026</v>
      </c>
      <c r="B8015">
        <v>22</v>
      </c>
      <c r="C8015" t="s">
        <v>54</v>
      </c>
      <c r="D8015" t="s">
        <v>11</v>
      </c>
      <c r="E8015" t="s">
        <v>14</v>
      </c>
      <c r="F8015" t="s">
        <v>72</v>
      </c>
      <c r="G8015" t="str">
        <f t="shared" si="326"/>
        <v>004HOT MERENGUE</v>
      </c>
      <c r="H8015" s="5">
        <v>3450</v>
      </c>
      <c r="I8015" s="6">
        <v>1162.4642856677858</v>
      </c>
      <c r="J8015" s="5">
        <v>8800</v>
      </c>
      <c r="K8015" s="6">
        <f t="shared" si="325"/>
        <v>2.9678331132711944</v>
      </c>
    </row>
    <row r="8016" spans="1:11" hidden="1">
      <c r="A8016" s="4">
        <v>2026</v>
      </c>
      <c r="B8016">
        <v>22</v>
      </c>
      <c r="C8016" t="s">
        <v>54</v>
      </c>
      <c r="D8016" t="s">
        <v>11</v>
      </c>
      <c r="E8016" t="s">
        <v>14</v>
      </c>
      <c r="F8016" t="s">
        <v>64</v>
      </c>
      <c r="G8016" t="str">
        <f t="shared" si="326"/>
        <v>004SWEETNESS</v>
      </c>
      <c r="H8016" s="5">
        <v>630</v>
      </c>
      <c r="I8016" s="6">
        <v>317.03571427303262</v>
      </c>
      <c r="J8016" s="5">
        <v>2400</v>
      </c>
      <c r="K8016" s="6">
        <f t="shared" si="325"/>
        <v>1.9871578236685381</v>
      </c>
    </row>
    <row r="8017" spans="1:11" hidden="1">
      <c r="A8017" s="4">
        <v>2026</v>
      </c>
      <c r="B8017">
        <v>22</v>
      </c>
      <c r="C8017" t="s">
        <v>54</v>
      </c>
      <c r="D8017" t="s">
        <v>11</v>
      </c>
      <c r="E8017" t="s">
        <v>16</v>
      </c>
      <c r="F8017" t="s">
        <v>57</v>
      </c>
      <c r="G8017" t="str">
        <f t="shared" si="326"/>
        <v>005EXPLORER</v>
      </c>
      <c r="H8017" s="5">
        <v>1950</v>
      </c>
      <c r="I8017" s="6">
        <v>951.10714281875414</v>
      </c>
      <c r="J8017" s="5">
        <v>7200</v>
      </c>
      <c r="K8017" s="6">
        <f t="shared" si="325"/>
        <v>2.050242199023836</v>
      </c>
    </row>
    <row r="8018" spans="1:11" hidden="1">
      <c r="A8018" s="4">
        <v>2026</v>
      </c>
      <c r="B8018">
        <v>22</v>
      </c>
      <c r="C8018" t="s">
        <v>54</v>
      </c>
      <c r="D8018" t="s">
        <v>11</v>
      </c>
      <c r="E8018" t="s">
        <v>16</v>
      </c>
      <c r="F8018" t="s">
        <v>73</v>
      </c>
      <c r="G8018" t="str">
        <f t="shared" si="326"/>
        <v>005GOLDFINCH</v>
      </c>
      <c r="H8018" s="5">
        <v>1125</v>
      </c>
      <c r="I8018" s="6">
        <v>898.26785710660113</v>
      </c>
      <c r="J8018" s="5">
        <v>6800</v>
      </c>
      <c r="K8018" s="6">
        <f t="shared" si="325"/>
        <v>1.252410393068859</v>
      </c>
    </row>
    <row r="8019" spans="1:11" hidden="1">
      <c r="A8019" s="4">
        <v>2026</v>
      </c>
      <c r="B8019">
        <v>22</v>
      </c>
      <c r="C8019" t="s">
        <v>54</v>
      </c>
      <c r="D8019" t="s">
        <v>11</v>
      </c>
      <c r="E8019" t="s">
        <v>16</v>
      </c>
      <c r="F8019" t="s">
        <v>68</v>
      </c>
      <c r="G8019" t="str">
        <f t="shared" si="326"/>
        <v>005JOCKER</v>
      </c>
      <c r="H8019" s="5">
        <v>3225</v>
      </c>
      <c r="I8019" s="6">
        <v>1162.4642856673661</v>
      </c>
      <c r="J8019" s="5">
        <v>8800</v>
      </c>
      <c r="K8019" s="6">
        <f t="shared" si="325"/>
        <v>2.7742787797979878</v>
      </c>
    </row>
    <row r="8020" spans="1:11" hidden="1">
      <c r="A8020" s="4">
        <v>2026</v>
      </c>
      <c r="B8020">
        <v>22</v>
      </c>
      <c r="C8020" t="s">
        <v>54</v>
      </c>
      <c r="D8020" t="s">
        <v>11</v>
      </c>
      <c r="E8020" t="s">
        <v>16</v>
      </c>
      <c r="F8020" t="s">
        <v>74</v>
      </c>
      <c r="G8020" t="str">
        <f t="shared" si="326"/>
        <v>005VENDELA</v>
      </c>
      <c r="H8020" s="5">
        <v>2460</v>
      </c>
      <c r="I8020" s="6">
        <v>686.91071425798907</v>
      </c>
      <c r="J8020" s="5">
        <v>5200</v>
      </c>
      <c r="K8020" s="6">
        <f t="shared" si="325"/>
        <v>3.5812514624369016</v>
      </c>
    </row>
    <row r="8021" spans="1:11" hidden="1">
      <c r="A8021" s="4">
        <v>2026</v>
      </c>
      <c r="B8021">
        <v>22</v>
      </c>
      <c r="C8021" t="s">
        <v>54</v>
      </c>
      <c r="D8021" t="s">
        <v>11</v>
      </c>
      <c r="E8021" t="s">
        <v>75</v>
      </c>
      <c r="F8021" t="s">
        <v>76</v>
      </c>
      <c r="G8021" t="str">
        <f t="shared" si="326"/>
        <v>006ATOMIC</v>
      </c>
      <c r="H8021" s="5">
        <v>1250</v>
      </c>
      <c r="I8021" s="6">
        <v>845.428571394752</v>
      </c>
      <c r="J8021" s="5">
        <v>6400</v>
      </c>
      <c r="K8021" s="6">
        <f t="shared" si="325"/>
        <v>1.4785400473724271</v>
      </c>
    </row>
    <row r="8022" spans="1:11" hidden="1">
      <c r="A8022" s="4">
        <v>2026</v>
      </c>
      <c r="B8022">
        <v>22</v>
      </c>
      <c r="C8022" t="s">
        <v>54</v>
      </c>
      <c r="D8022" t="s">
        <v>11</v>
      </c>
      <c r="E8022" t="s">
        <v>75</v>
      </c>
      <c r="F8022" t="s">
        <v>57</v>
      </c>
      <c r="G8022" t="str">
        <f t="shared" si="326"/>
        <v>006EXPLORER</v>
      </c>
      <c r="H8022" s="5">
        <v>9525</v>
      </c>
      <c r="I8022" s="6">
        <v>3910.1071427007359</v>
      </c>
      <c r="J8022" s="5">
        <v>29600</v>
      </c>
      <c r="K8022" s="6">
        <f t="shared" si="325"/>
        <v>2.4359946294006209</v>
      </c>
    </row>
    <row r="8023" spans="1:11" hidden="1">
      <c r="A8023" s="4">
        <v>2026</v>
      </c>
      <c r="B8023">
        <v>22</v>
      </c>
      <c r="C8023" t="s">
        <v>54</v>
      </c>
      <c r="D8023" t="s">
        <v>11</v>
      </c>
      <c r="E8023" t="s">
        <v>75</v>
      </c>
      <c r="F8023" t="s">
        <v>77</v>
      </c>
      <c r="G8023" t="str">
        <f t="shared" si="326"/>
        <v>006MONDIAL</v>
      </c>
      <c r="H8023" s="5">
        <v>5975</v>
      </c>
      <c r="I8023" s="6">
        <v>4015.7857141250797</v>
      </c>
      <c r="J8023" s="5">
        <v>30400</v>
      </c>
      <c r="K8023" s="6">
        <f t="shared" si="325"/>
        <v>1.4878781950400395</v>
      </c>
    </row>
    <row r="8024" spans="1:11" hidden="1">
      <c r="A8024" s="4">
        <v>2026</v>
      </c>
      <c r="B8024">
        <v>22</v>
      </c>
      <c r="C8024" t="s">
        <v>54</v>
      </c>
      <c r="D8024" t="s">
        <v>11</v>
      </c>
      <c r="E8024" t="s">
        <v>20</v>
      </c>
      <c r="F8024" t="s">
        <v>70</v>
      </c>
      <c r="G8024" t="str">
        <f t="shared" si="326"/>
        <v>007COTOPAXI</v>
      </c>
      <c r="H8024" s="5">
        <v>5160</v>
      </c>
      <c r="I8024" s="6">
        <v>2747.5751230427732</v>
      </c>
      <c r="J8024" s="5">
        <v>20800</v>
      </c>
      <c r="K8024" s="6">
        <f t="shared" si="325"/>
        <v>1.8780196241861487</v>
      </c>
    </row>
    <row r="8025" spans="1:11" hidden="1">
      <c r="A8025" s="4">
        <v>2026</v>
      </c>
      <c r="B8025">
        <v>22</v>
      </c>
      <c r="C8025" t="s">
        <v>54</v>
      </c>
      <c r="D8025" t="s">
        <v>11</v>
      </c>
      <c r="E8025" t="s">
        <v>20</v>
      </c>
      <c r="F8025" t="s">
        <v>78</v>
      </c>
      <c r="G8025" t="str">
        <f t="shared" si="326"/>
        <v>007REDIANT</v>
      </c>
      <c r="H8025" s="5">
        <v>1830</v>
      </c>
      <c r="I8025" s="6">
        <v>1056.7586206473795</v>
      </c>
      <c r="J8025" s="5">
        <v>9600</v>
      </c>
      <c r="K8025" s="6">
        <f t="shared" si="325"/>
        <v>1.7317105006239988</v>
      </c>
    </row>
    <row r="8026" spans="1:11" hidden="1">
      <c r="A8026" s="4">
        <v>2026</v>
      </c>
      <c r="B8026">
        <v>22</v>
      </c>
      <c r="C8026" t="s">
        <v>54</v>
      </c>
      <c r="D8026" t="s">
        <v>11</v>
      </c>
      <c r="E8026" t="s">
        <v>20</v>
      </c>
      <c r="F8026" t="s">
        <v>63</v>
      </c>
      <c r="G8026" t="str">
        <f t="shared" si="326"/>
        <v>007SUMMER ROMANCE</v>
      </c>
      <c r="H8026" s="5">
        <v>675</v>
      </c>
      <c r="I8026" s="6">
        <v>317.02758619421576</v>
      </c>
      <c r="J8026" s="5">
        <v>2640</v>
      </c>
      <c r="K8026" s="6">
        <f t="shared" si="325"/>
        <v>2.1291522548655597</v>
      </c>
    </row>
    <row r="8027" spans="1:11" hidden="1">
      <c r="A8027" s="4">
        <v>2026</v>
      </c>
      <c r="B8027">
        <v>22</v>
      </c>
      <c r="C8027" t="s">
        <v>54</v>
      </c>
      <c r="D8027" t="s">
        <v>11</v>
      </c>
      <c r="E8027" t="s">
        <v>20</v>
      </c>
      <c r="F8027" t="s">
        <v>74</v>
      </c>
      <c r="G8027" t="str">
        <f t="shared" si="326"/>
        <v>007VENDELA</v>
      </c>
      <c r="H8027" s="5">
        <v>12720</v>
      </c>
      <c r="I8027" s="6">
        <v>3592.9793102011167</v>
      </c>
      <c r="J8027" s="5">
        <v>27820</v>
      </c>
      <c r="K8027" s="6">
        <f t="shared" si="325"/>
        <v>3.540237474756847</v>
      </c>
    </row>
    <row r="8028" spans="1:11" hidden="1">
      <c r="A8028" s="4">
        <v>2026</v>
      </c>
      <c r="B8028">
        <v>22</v>
      </c>
      <c r="C8028" t="s">
        <v>54</v>
      </c>
      <c r="D8028" t="s">
        <v>11</v>
      </c>
      <c r="E8028" t="s">
        <v>79</v>
      </c>
      <c r="F8028" t="s">
        <v>67</v>
      </c>
      <c r="G8028" t="str">
        <f t="shared" si="326"/>
        <v>008DEEP PURPLE</v>
      </c>
      <c r="H8028" s="5">
        <v>3240</v>
      </c>
      <c r="I8028" s="6">
        <v>1585.2222221588088</v>
      </c>
      <c r="J8028" s="5">
        <v>11490</v>
      </c>
      <c r="K8028" s="6">
        <f t="shared" si="325"/>
        <v>2.0438774795799035</v>
      </c>
    </row>
    <row r="8029" spans="1:11" hidden="1">
      <c r="A8029" s="4">
        <v>2026</v>
      </c>
      <c r="B8029">
        <v>22</v>
      </c>
      <c r="C8029" t="s">
        <v>54</v>
      </c>
      <c r="D8029" t="s">
        <v>11</v>
      </c>
      <c r="E8029" t="s">
        <v>79</v>
      </c>
      <c r="F8029" t="s">
        <v>81</v>
      </c>
      <c r="G8029" t="str">
        <f t="shared" si="326"/>
        <v>008FREEDOM</v>
      </c>
      <c r="H8029" s="5">
        <v>3600</v>
      </c>
      <c r="I8029" s="6">
        <v>2219.3111110223322</v>
      </c>
      <c r="J8029" s="5">
        <v>16800</v>
      </c>
      <c r="K8029" s="6">
        <f t="shared" si="325"/>
        <v>1.6221249837935743</v>
      </c>
    </row>
    <row r="8030" spans="1:11" hidden="1">
      <c r="A8030" s="4">
        <v>2026</v>
      </c>
      <c r="B8030">
        <v>22</v>
      </c>
      <c r="C8030" t="s">
        <v>54</v>
      </c>
      <c r="D8030" t="s">
        <v>11</v>
      </c>
      <c r="E8030" t="s">
        <v>79</v>
      </c>
      <c r="F8030" t="s">
        <v>68</v>
      </c>
      <c r="G8030" t="str">
        <f t="shared" si="326"/>
        <v>008JOCKER</v>
      </c>
      <c r="H8030" s="5">
        <v>6000</v>
      </c>
      <c r="I8030" s="6">
        <v>2959.0814813631118</v>
      </c>
      <c r="J8030" s="5">
        <v>22400</v>
      </c>
      <c r="K8030" s="6">
        <f t="shared" si="325"/>
        <v>2.0276562297419662</v>
      </c>
    </row>
    <row r="8031" spans="1:11" hidden="1">
      <c r="A8031" s="4">
        <v>2026</v>
      </c>
      <c r="B8031">
        <v>22</v>
      </c>
      <c r="C8031" t="s">
        <v>54</v>
      </c>
      <c r="D8031" t="s">
        <v>11</v>
      </c>
      <c r="E8031" t="s">
        <v>79</v>
      </c>
      <c r="F8031" t="s">
        <v>61</v>
      </c>
      <c r="G8031" t="str">
        <f t="shared" si="326"/>
        <v>008LUMIA</v>
      </c>
      <c r="H8031" s="5">
        <v>1860</v>
      </c>
      <c r="I8031" s="6">
        <v>1796.5851851133164</v>
      </c>
      <c r="J8031" s="5">
        <v>13600</v>
      </c>
      <c r="K8031" s="6">
        <f t="shared" si="325"/>
        <v>1.0352974161270754</v>
      </c>
    </row>
    <row r="8032" spans="1:11" hidden="1">
      <c r="A8032" s="4">
        <v>2026</v>
      </c>
      <c r="B8032">
        <v>22</v>
      </c>
      <c r="C8032" t="s">
        <v>54</v>
      </c>
      <c r="D8032" t="s">
        <v>11</v>
      </c>
      <c r="E8032" t="s">
        <v>82</v>
      </c>
      <c r="F8032" t="s">
        <v>83</v>
      </c>
      <c r="G8032" t="str">
        <f t="shared" si="326"/>
        <v>010COOLDOWN</v>
      </c>
      <c r="H8032" s="5">
        <v>1750</v>
      </c>
      <c r="I8032" s="6">
        <v>1912.3542857142854</v>
      </c>
      <c r="J8032" s="5">
        <v>16320</v>
      </c>
      <c r="K8032" s="6">
        <f t="shared" si="325"/>
        <v>0.91510240182632041</v>
      </c>
    </row>
    <row r="8033" spans="1:11" hidden="1">
      <c r="A8033" s="4">
        <v>2026</v>
      </c>
      <c r="B8033">
        <v>22</v>
      </c>
      <c r="C8033" t="s">
        <v>54</v>
      </c>
      <c r="D8033" t="s">
        <v>11</v>
      </c>
      <c r="E8033" t="s">
        <v>82</v>
      </c>
      <c r="F8033" t="s">
        <v>84</v>
      </c>
      <c r="G8033" t="str">
        <f t="shared" si="326"/>
        <v>010VIOLET HILL</v>
      </c>
      <c r="H8033" s="5">
        <v>2940</v>
      </c>
      <c r="I8033" s="6">
        <v>2812.2857142428566</v>
      </c>
      <c r="J8033" s="5">
        <v>20000</v>
      </c>
      <c r="K8033" s="6">
        <f t="shared" si="325"/>
        <v>1.0454129838623198</v>
      </c>
    </row>
    <row r="8034" spans="1:11" hidden="1">
      <c r="A8034" s="4">
        <v>2026</v>
      </c>
      <c r="B8034">
        <v>22</v>
      </c>
      <c r="C8034" t="s">
        <v>54</v>
      </c>
      <c r="D8034" t="s">
        <v>11</v>
      </c>
      <c r="E8034" t="s">
        <v>85</v>
      </c>
      <c r="F8034" t="s">
        <v>86</v>
      </c>
      <c r="G8034" t="str">
        <f t="shared" si="326"/>
        <v>011BRIGHTON</v>
      </c>
      <c r="H8034" s="5">
        <v>3600</v>
      </c>
      <c r="I8034" s="6">
        <v>1768.8376470588212</v>
      </c>
      <c r="J8034" s="5">
        <v>12800</v>
      </c>
      <c r="K8034" s="6">
        <f t="shared" si="325"/>
        <v>2.0352348368353588</v>
      </c>
    </row>
    <row r="8035" spans="1:11" hidden="1">
      <c r="A8035" s="4">
        <v>2026</v>
      </c>
      <c r="B8035">
        <v>22</v>
      </c>
      <c r="C8035" t="s">
        <v>54</v>
      </c>
      <c r="D8035" t="s">
        <v>11</v>
      </c>
      <c r="E8035" t="s">
        <v>85</v>
      </c>
      <c r="F8035" t="s">
        <v>87</v>
      </c>
      <c r="G8035" t="str">
        <f t="shared" si="326"/>
        <v>011CANDLELIGHT</v>
      </c>
      <c r="H8035" s="5">
        <v>4560</v>
      </c>
      <c r="I8035" s="6">
        <v>2263.799999886814</v>
      </c>
      <c r="J8035" s="5">
        <v>17920</v>
      </c>
      <c r="K8035" s="6">
        <f t="shared" si="325"/>
        <v>2.0143122184945632</v>
      </c>
    </row>
    <row r="8036" spans="1:11" hidden="1">
      <c r="A8036" s="4">
        <v>2026</v>
      </c>
      <c r="B8036">
        <v>22</v>
      </c>
      <c r="C8036" t="s">
        <v>54</v>
      </c>
      <c r="D8036" t="s">
        <v>11</v>
      </c>
      <c r="E8036" t="s">
        <v>85</v>
      </c>
      <c r="F8036" t="s">
        <v>88</v>
      </c>
      <c r="G8036" t="str">
        <f t="shared" si="326"/>
        <v>011CAYENNE</v>
      </c>
      <c r="H8036" s="5">
        <v>1440</v>
      </c>
      <c r="I8036" s="6">
        <v>994.97117647058758</v>
      </c>
      <c r="J8036" s="5">
        <v>7200</v>
      </c>
      <c r="K8036" s="6">
        <f t="shared" si="325"/>
        <v>1.4472781061940321</v>
      </c>
    </row>
    <row r="8037" spans="1:11" hidden="1">
      <c r="A8037" s="4">
        <v>2026</v>
      </c>
      <c r="B8037">
        <v>22</v>
      </c>
      <c r="C8037" t="s">
        <v>54</v>
      </c>
      <c r="D8037" t="s">
        <v>11</v>
      </c>
      <c r="E8037" t="s">
        <v>85</v>
      </c>
      <c r="F8037" t="s">
        <v>61</v>
      </c>
      <c r="G8037" t="str">
        <f t="shared" si="326"/>
        <v>011LUMIA</v>
      </c>
      <c r="H8037" s="5">
        <v>1320</v>
      </c>
      <c r="I8037" s="6">
        <v>994.97117647058769</v>
      </c>
      <c r="J8037" s="5">
        <v>7920</v>
      </c>
      <c r="K8037" s="6">
        <f t="shared" si="325"/>
        <v>1.3266715973445291</v>
      </c>
    </row>
    <row r="8038" spans="1:11" hidden="1">
      <c r="A8038" s="4">
        <v>2026</v>
      </c>
      <c r="B8038">
        <v>22</v>
      </c>
      <c r="C8038" t="s">
        <v>54</v>
      </c>
      <c r="D8038" t="s">
        <v>11</v>
      </c>
      <c r="E8038" t="s">
        <v>85</v>
      </c>
      <c r="F8038" t="s">
        <v>89</v>
      </c>
      <c r="G8038" t="str">
        <f t="shared" si="326"/>
        <v>011STARDUST</v>
      </c>
      <c r="H8038" s="5">
        <v>3150</v>
      </c>
      <c r="I8038" s="6">
        <v>2263.799999886814</v>
      </c>
      <c r="J8038" s="5">
        <v>17920</v>
      </c>
      <c r="K8038" s="6">
        <f t="shared" si="325"/>
        <v>1.3914656772495337</v>
      </c>
    </row>
    <row r="8039" spans="1:11" hidden="1">
      <c r="A8039" s="4">
        <v>2026</v>
      </c>
      <c r="B8039">
        <v>22</v>
      </c>
      <c r="C8039" t="s">
        <v>54</v>
      </c>
      <c r="D8039" t="s">
        <v>11</v>
      </c>
      <c r="E8039" t="s">
        <v>90</v>
      </c>
      <c r="F8039" t="s">
        <v>67</v>
      </c>
      <c r="G8039" t="str">
        <f t="shared" si="326"/>
        <v>012DEEP PURPLE</v>
      </c>
      <c r="H8039" s="5">
        <v>13440</v>
      </c>
      <c r="I8039" s="6">
        <v>6727.0499997982606</v>
      </c>
      <c r="J8039" s="5">
        <v>49210</v>
      </c>
      <c r="K8039" s="6">
        <f t="shared" si="325"/>
        <v>1.9979039847188673</v>
      </c>
    </row>
    <row r="8040" spans="1:11" hidden="1">
      <c r="A8040" s="4">
        <v>2026</v>
      </c>
      <c r="B8040">
        <v>22</v>
      </c>
      <c r="C8040" t="s">
        <v>54</v>
      </c>
      <c r="D8040" t="s">
        <v>11</v>
      </c>
      <c r="E8040" t="s">
        <v>90</v>
      </c>
      <c r="F8040" t="s">
        <v>60</v>
      </c>
      <c r="G8040" t="str">
        <f t="shared" si="326"/>
        <v>012LIGHT HOUSE</v>
      </c>
      <c r="H8040" s="5">
        <v>1230</v>
      </c>
      <c r="I8040" s="6">
        <v>994.9499999999997</v>
      </c>
      <c r="J8040" s="5">
        <v>7200</v>
      </c>
      <c r="K8040" s="6">
        <f t="shared" si="325"/>
        <v>1.2362430272878038</v>
      </c>
    </row>
    <row r="8041" spans="1:11" hidden="1">
      <c r="A8041" s="4">
        <v>2026</v>
      </c>
      <c r="B8041">
        <v>22</v>
      </c>
      <c r="C8041" t="s">
        <v>54</v>
      </c>
      <c r="D8041" t="s">
        <v>11</v>
      </c>
      <c r="E8041" t="s">
        <v>91</v>
      </c>
      <c r="F8041" t="s">
        <v>92</v>
      </c>
      <c r="G8041" t="str">
        <f t="shared" si="326"/>
        <v>013COUNTRY BLUES</v>
      </c>
      <c r="H8041" s="5">
        <v>1520</v>
      </c>
      <c r="I8041" s="6">
        <v>831.60000000000025</v>
      </c>
      <c r="J8041" s="5">
        <v>6300</v>
      </c>
      <c r="K8041" s="6">
        <f t="shared" si="325"/>
        <v>1.8278018278018273</v>
      </c>
    </row>
    <row r="8042" spans="1:11" hidden="1">
      <c r="A8042" s="4">
        <v>2026</v>
      </c>
      <c r="B8042">
        <v>22</v>
      </c>
      <c r="C8042" t="s">
        <v>54</v>
      </c>
      <c r="D8042" t="s">
        <v>11</v>
      </c>
      <c r="E8042" t="s">
        <v>91</v>
      </c>
      <c r="F8042" t="s">
        <v>93</v>
      </c>
      <c r="G8042" t="str">
        <f t="shared" si="326"/>
        <v>013LORRAINE</v>
      </c>
      <c r="H8042" s="5">
        <v>2575</v>
      </c>
      <c r="I8042" s="6">
        <v>1267.1999999999998</v>
      </c>
      <c r="J8042" s="5">
        <v>9600</v>
      </c>
      <c r="K8042" s="6">
        <f t="shared" si="325"/>
        <v>2.0320391414141419</v>
      </c>
    </row>
    <row r="8043" spans="1:11" hidden="1">
      <c r="A8043" s="4">
        <v>2026</v>
      </c>
      <c r="B8043">
        <v>22</v>
      </c>
      <c r="C8043" t="s">
        <v>54</v>
      </c>
      <c r="D8043" t="s">
        <v>11</v>
      </c>
      <c r="E8043" t="s">
        <v>91</v>
      </c>
      <c r="F8043" t="s">
        <v>61</v>
      </c>
      <c r="G8043" t="str">
        <f t="shared" si="326"/>
        <v>013LUMIA</v>
      </c>
      <c r="H8043" s="5">
        <v>390</v>
      </c>
      <c r="I8043" s="6">
        <v>316.8</v>
      </c>
      <c r="J8043" s="5">
        <v>2400</v>
      </c>
      <c r="K8043" s="6">
        <f t="shared" si="325"/>
        <v>1.231060606060606</v>
      </c>
    </row>
    <row r="8044" spans="1:11" hidden="1">
      <c r="A8044" s="4">
        <v>2026</v>
      </c>
      <c r="B8044">
        <v>22</v>
      </c>
      <c r="C8044" t="s">
        <v>54</v>
      </c>
      <c r="D8044" t="s">
        <v>11</v>
      </c>
      <c r="E8044" t="s">
        <v>91</v>
      </c>
      <c r="F8044" t="s">
        <v>74</v>
      </c>
      <c r="G8044" t="str">
        <f t="shared" si="326"/>
        <v>013VENDELA</v>
      </c>
      <c r="H8044" s="5">
        <v>12120</v>
      </c>
      <c r="I8044" s="6">
        <v>3603.5999999999949</v>
      </c>
      <c r="J8044" s="5">
        <v>27296</v>
      </c>
      <c r="K8044" s="6">
        <f t="shared" si="325"/>
        <v>3.363303363303368</v>
      </c>
    </row>
    <row r="8045" spans="1:11" hidden="1">
      <c r="A8045" s="4">
        <v>2026</v>
      </c>
      <c r="B8045">
        <v>22</v>
      </c>
      <c r="C8045" t="s">
        <v>54</v>
      </c>
      <c r="D8045" t="s">
        <v>11</v>
      </c>
      <c r="E8045" t="s">
        <v>23</v>
      </c>
      <c r="F8045" t="s">
        <v>89</v>
      </c>
      <c r="G8045" t="str">
        <f t="shared" si="326"/>
        <v>014STARDUST</v>
      </c>
      <c r="H8045" s="5">
        <v>6075</v>
      </c>
      <c r="I8045" s="6">
        <v>3682.7999999999943</v>
      </c>
      <c r="J8045" s="5">
        <v>27900</v>
      </c>
      <c r="K8045" s="6">
        <f t="shared" si="325"/>
        <v>1.6495601173020553</v>
      </c>
    </row>
    <row r="8046" spans="1:11" hidden="1">
      <c r="A8046" s="4">
        <v>2026</v>
      </c>
      <c r="B8046">
        <v>22</v>
      </c>
      <c r="C8046" t="s">
        <v>54</v>
      </c>
      <c r="D8046" t="s">
        <v>11</v>
      </c>
      <c r="E8046" t="s">
        <v>25</v>
      </c>
      <c r="F8046" t="s">
        <v>68</v>
      </c>
      <c r="G8046" t="str">
        <f t="shared" si="326"/>
        <v>015JOCKER</v>
      </c>
      <c r="H8046" s="5">
        <v>3525</v>
      </c>
      <c r="I8046" s="6">
        <v>2375.9999999999973</v>
      </c>
      <c r="J8046" s="5">
        <v>18000</v>
      </c>
      <c r="K8046" s="6">
        <f t="shared" si="325"/>
        <v>1.4835858585858603</v>
      </c>
    </row>
    <row r="8047" spans="1:11" hidden="1">
      <c r="A8047" s="4">
        <v>2026</v>
      </c>
      <c r="B8047">
        <v>22</v>
      </c>
      <c r="C8047" t="s">
        <v>54</v>
      </c>
      <c r="D8047" t="s">
        <v>11</v>
      </c>
      <c r="E8047" t="s">
        <v>27</v>
      </c>
      <c r="F8047" t="s">
        <v>94</v>
      </c>
      <c r="G8047" t="str">
        <f t="shared" si="326"/>
        <v>016DREAM IN PEACH</v>
      </c>
      <c r="H8047" s="5">
        <v>1710</v>
      </c>
      <c r="I8047" s="6">
        <v>950.40000000000032</v>
      </c>
      <c r="J8047" s="5">
        <v>7200</v>
      </c>
      <c r="K8047" s="6">
        <f t="shared" si="325"/>
        <v>1.7992424242424236</v>
      </c>
    </row>
    <row r="8048" spans="1:11" hidden="1">
      <c r="A8048" s="4">
        <v>2026</v>
      </c>
      <c r="B8048">
        <v>22</v>
      </c>
      <c r="C8048" t="s">
        <v>54</v>
      </c>
      <c r="D8048" t="s">
        <v>11</v>
      </c>
      <c r="E8048" t="s">
        <v>27</v>
      </c>
      <c r="F8048" t="s">
        <v>95</v>
      </c>
      <c r="G8048" t="str">
        <f t="shared" si="326"/>
        <v>016NINA</v>
      </c>
      <c r="H8048" s="5">
        <v>3025</v>
      </c>
      <c r="I8048" s="6">
        <v>1346.3999999999996</v>
      </c>
      <c r="J8048" s="5">
        <v>10200</v>
      </c>
      <c r="K8048" s="6">
        <f t="shared" ref="K8048:K8104" si="327">+H8048/I8048</f>
        <v>2.2467320261437913</v>
      </c>
    </row>
    <row r="8049" spans="1:11" hidden="1">
      <c r="A8049" s="4">
        <v>2026</v>
      </c>
      <c r="B8049">
        <v>22</v>
      </c>
      <c r="C8049" t="s">
        <v>54</v>
      </c>
      <c r="D8049" t="s">
        <v>11</v>
      </c>
      <c r="E8049" t="s">
        <v>30</v>
      </c>
      <c r="F8049" t="s">
        <v>81</v>
      </c>
      <c r="G8049" t="str">
        <f t="shared" si="326"/>
        <v>017FREEDOM</v>
      </c>
      <c r="H8049" s="5">
        <v>6480</v>
      </c>
      <c r="I8049" s="6">
        <v>2851.1999999999962</v>
      </c>
      <c r="J8049" s="5">
        <v>21600</v>
      </c>
      <c r="K8049" s="6">
        <f t="shared" si="327"/>
        <v>2.2727272727272756</v>
      </c>
    </row>
    <row r="8050" spans="1:11" hidden="1">
      <c r="A8050" s="4">
        <v>2026</v>
      </c>
      <c r="B8050">
        <v>22</v>
      </c>
      <c r="C8050" t="s">
        <v>54</v>
      </c>
      <c r="D8050" t="s">
        <v>11</v>
      </c>
      <c r="E8050" t="s">
        <v>30</v>
      </c>
      <c r="F8050" t="s">
        <v>73</v>
      </c>
      <c r="G8050" t="str">
        <f t="shared" si="326"/>
        <v>017GOLDFINCH</v>
      </c>
      <c r="H8050" s="5">
        <v>3675</v>
      </c>
      <c r="I8050" s="6">
        <v>2138.3999999999978</v>
      </c>
      <c r="J8050" s="5">
        <v>16200</v>
      </c>
      <c r="K8050" s="6">
        <f t="shared" si="327"/>
        <v>1.7185746352413036</v>
      </c>
    </row>
    <row r="8051" spans="1:11" hidden="1">
      <c r="A8051" s="4">
        <v>2026</v>
      </c>
      <c r="B8051">
        <v>22</v>
      </c>
      <c r="C8051" t="s">
        <v>54</v>
      </c>
      <c r="D8051" t="s">
        <v>11</v>
      </c>
      <c r="E8051" t="s">
        <v>32</v>
      </c>
      <c r="F8051" t="s">
        <v>86</v>
      </c>
      <c r="G8051" t="str">
        <f t="shared" si="326"/>
        <v>018BRIGHTON</v>
      </c>
      <c r="H8051" s="5">
        <v>1650</v>
      </c>
      <c r="I8051" s="6">
        <v>963.60000000000036</v>
      </c>
      <c r="J8051" s="5">
        <v>7570</v>
      </c>
      <c r="K8051" s="6">
        <f t="shared" si="327"/>
        <v>1.712328767123287</v>
      </c>
    </row>
    <row r="8052" spans="1:11" hidden="1">
      <c r="A8052" s="4">
        <v>2026</v>
      </c>
      <c r="B8052">
        <v>22</v>
      </c>
      <c r="C8052" t="s">
        <v>54</v>
      </c>
      <c r="D8052" t="s">
        <v>11</v>
      </c>
      <c r="E8052" t="s">
        <v>35</v>
      </c>
      <c r="F8052" t="s">
        <v>86</v>
      </c>
      <c r="G8052" t="str">
        <f t="shared" si="326"/>
        <v>019BRIGHTON</v>
      </c>
      <c r="H8052" s="5">
        <v>7425</v>
      </c>
      <c r="I8052" s="6">
        <v>3167.9999999999955</v>
      </c>
      <c r="J8052" s="5">
        <v>24000</v>
      </c>
      <c r="K8052" s="6">
        <f t="shared" si="327"/>
        <v>2.3437500000000036</v>
      </c>
    </row>
    <row r="8053" spans="1:11" hidden="1">
      <c r="A8053" s="4">
        <v>2026</v>
      </c>
      <c r="B8053">
        <v>22</v>
      </c>
      <c r="C8053" t="s">
        <v>54</v>
      </c>
      <c r="D8053" t="s">
        <v>11</v>
      </c>
      <c r="E8053" t="s">
        <v>35</v>
      </c>
      <c r="F8053" t="s">
        <v>96</v>
      </c>
      <c r="G8053" t="str">
        <f t="shared" si="326"/>
        <v>019TABATHA</v>
      </c>
      <c r="H8053" s="5">
        <v>2370</v>
      </c>
      <c r="I8053" s="6">
        <v>1188</v>
      </c>
      <c r="J8053" s="5">
        <v>9000</v>
      </c>
      <c r="K8053" s="6">
        <f t="shared" si="327"/>
        <v>1.994949494949495</v>
      </c>
    </row>
    <row r="8054" spans="1:11" hidden="1">
      <c r="A8054" s="4">
        <v>2026</v>
      </c>
      <c r="B8054">
        <v>22</v>
      </c>
      <c r="C8054" t="s">
        <v>54</v>
      </c>
      <c r="D8054" t="s">
        <v>11</v>
      </c>
      <c r="E8054" t="s">
        <v>36</v>
      </c>
      <c r="F8054" t="s">
        <v>86</v>
      </c>
      <c r="G8054" t="str">
        <f t="shared" si="326"/>
        <v>020BRIGHTON</v>
      </c>
      <c r="H8054" s="5">
        <v>5200</v>
      </c>
      <c r="I8054" s="6">
        <v>2732.3999999999965</v>
      </c>
      <c r="J8054" s="5">
        <v>20700</v>
      </c>
      <c r="K8054" s="6">
        <f t="shared" si="327"/>
        <v>1.9030888596106013</v>
      </c>
    </row>
    <row r="8055" spans="1:11" hidden="1">
      <c r="A8055" s="4">
        <v>2026</v>
      </c>
      <c r="B8055">
        <v>22</v>
      </c>
      <c r="C8055" t="s">
        <v>54</v>
      </c>
      <c r="D8055" t="s">
        <v>11</v>
      </c>
      <c r="E8055" t="s">
        <v>36</v>
      </c>
      <c r="F8055" t="s">
        <v>97</v>
      </c>
      <c r="G8055" t="str">
        <f t="shared" si="326"/>
        <v>020TYCOON</v>
      </c>
      <c r="H8055" s="5">
        <v>870</v>
      </c>
      <c r="I8055" s="6">
        <v>673.2</v>
      </c>
      <c r="J8055" s="5">
        <v>5100</v>
      </c>
      <c r="K8055" s="6">
        <f t="shared" si="327"/>
        <v>1.2923351158645275</v>
      </c>
    </row>
    <row r="8056" spans="1:11" hidden="1">
      <c r="A8056" s="4">
        <v>2026</v>
      </c>
      <c r="B8056">
        <v>22</v>
      </c>
      <c r="C8056" t="s">
        <v>54</v>
      </c>
      <c r="D8056" t="s">
        <v>11</v>
      </c>
      <c r="E8056" t="s">
        <v>38</v>
      </c>
      <c r="F8056" t="s">
        <v>98</v>
      </c>
      <c r="G8056" t="str">
        <f t="shared" si="326"/>
        <v>021SHOW GIRL</v>
      </c>
      <c r="H8056" s="5">
        <v>2275</v>
      </c>
      <c r="I8056" s="6">
        <v>1100.4749999999997</v>
      </c>
      <c r="J8056" s="5">
        <v>8000</v>
      </c>
      <c r="K8056" s="6">
        <f t="shared" si="327"/>
        <v>2.0672891251505039</v>
      </c>
    </row>
    <row r="8057" spans="1:11" hidden="1">
      <c r="A8057" s="4">
        <v>2026</v>
      </c>
      <c r="B8057">
        <v>22</v>
      </c>
      <c r="C8057" t="s">
        <v>54</v>
      </c>
      <c r="D8057" t="s">
        <v>11</v>
      </c>
      <c r="E8057" t="s">
        <v>43</v>
      </c>
      <c r="F8057" t="s">
        <v>99</v>
      </c>
      <c r="G8057" t="str">
        <f t="shared" si="326"/>
        <v>022CORAL REEF</v>
      </c>
      <c r="H8057" s="5">
        <v>3475</v>
      </c>
      <c r="I8057" s="6">
        <v>1287</v>
      </c>
      <c r="J8057" s="5">
        <v>9400</v>
      </c>
      <c r="K8057" s="6">
        <f t="shared" si="327"/>
        <v>2.7000777000777001</v>
      </c>
    </row>
    <row r="8058" spans="1:11" hidden="1">
      <c r="A8058" s="4">
        <v>2026</v>
      </c>
      <c r="B8058">
        <v>22</v>
      </c>
      <c r="C8058" t="s">
        <v>54</v>
      </c>
      <c r="D8058" t="s">
        <v>11</v>
      </c>
      <c r="E8058" t="s">
        <v>100</v>
      </c>
      <c r="F8058" t="s">
        <v>70</v>
      </c>
      <c r="G8058" t="str">
        <f t="shared" si="326"/>
        <v>023COTOPAXI</v>
      </c>
      <c r="H8058" s="5">
        <v>4290</v>
      </c>
      <c r="I8058" s="6">
        <v>2641.139999999999</v>
      </c>
      <c r="J8058" s="5">
        <v>19200</v>
      </c>
      <c r="K8058" s="6">
        <f t="shared" si="327"/>
        <v>1.6242985983325389</v>
      </c>
    </row>
    <row r="8059" spans="1:11" hidden="1">
      <c r="A8059" s="4">
        <v>2026</v>
      </c>
      <c r="B8059">
        <v>22</v>
      </c>
      <c r="C8059" t="s">
        <v>54</v>
      </c>
      <c r="D8059" t="s">
        <v>11</v>
      </c>
      <c r="E8059" t="s">
        <v>100</v>
      </c>
      <c r="F8059" t="s">
        <v>101</v>
      </c>
      <c r="G8059" t="str">
        <f t="shared" si="326"/>
        <v>023FRUTTETO</v>
      </c>
      <c r="H8059" s="5">
        <v>5070</v>
      </c>
      <c r="I8059" s="6">
        <v>2641.139999999999</v>
      </c>
      <c r="J8059" s="5">
        <v>19200</v>
      </c>
      <c r="K8059" s="6">
        <f t="shared" si="327"/>
        <v>1.9196256162111822</v>
      </c>
    </row>
    <row r="8060" spans="1:11" hidden="1">
      <c r="A8060" s="4">
        <v>2026</v>
      </c>
      <c r="B8060">
        <v>22</v>
      </c>
      <c r="C8060" t="s">
        <v>54</v>
      </c>
      <c r="D8060" t="s">
        <v>11</v>
      </c>
      <c r="E8060" t="s">
        <v>102</v>
      </c>
      <c r="F8060" t="s">
        <v>70</v>
      </c>
      <c r="G8060" t="str">
        <f t="shared" si="326"/>
        <v>024COTOPAXI</v>
      </c>
      <c r="H8060" s="5">
        <v>2640</v>
      </c>
      <c r="I8060" s="6">
        <v>1430.6174906249998</v>
      </c>
      <c r="J8060" s="5">
        <v>10400</v>
      </c>
      <c r="K8060" s="6">
        <f t="shared" si="327"/>
        <v>1.8453569995475536</v>
      </c>
    </row>
    <row r="8061" spans="1:11" hidden="1">
      <c r="A8061" s="4">
        <v>2026</v>
      </c>
      <c r="B8061">
        <v>22</v>
      </c>
      <c r="C8061" t="s">
        <v>54</v>
      </c>
      <c r="D8061" t="s">
        <v>11</v>
      </c>
      <c r="E8061" t="s">
        <v>102</v>
      </c>
      <c r="F8061" t="s">
        <v>64</v>
      </c>
      <c r="G8061" t="str">
        <f t="shared" si="326"/>
        <v>024SWEETNESS</v>
      </c>
      <c r="H8061" s="5">
        <v>1470</v>
      </c>
      <c r="I8061" s="6">
        <v>1430.6174999999998</v>
      </c>
      <c r="J8061" s="5">
        <v>10400</v>
      </c>
      <c r="K8061" s="6">
        <f t="shared" si="327"/>
        <v>1.0275283225600136</v>
      </c>
    </row>
    <row r="8062" spans="1:11" hidden="1">
      <c r="A8062" s="4">
        <v>2026</v>
      </c>
      <c r="B8062">
        <v>22</v>
      </c>
      <c r="C8062" t="s">
        <v>54</v>
      </c>
      <c r="D8062" t="s">
        <v>11</v>
      </c>
      <c r="E8062" t="s">
        <v>102</v>
      </c>
      <c r="F8062" t="s">
        <v>97</v>
      </c>
      <c r="G8062" t="str">
        <f t="shared" si="326"/>
        <v>024TYCOON</v>
      </c>
      <c r="H8062" s="5">
        <v>3810</v>
      </c>
      <c r="I8062" s="6">
        <v>2861.2349999999983</v>
      </c>
      <c r="J8062" s="5">
        <v>20800</v>
      </c>
      <c r="K8062" s="6">
        <f t="shared" si="327"/>
        <v>1.3315928261747121</v>
      </c>
    </row>
    <row r="8063" spans="1:11" hidden="1">
      <c r="A8063" s="4">
        <v>2026</v>
      </c>
      <c r="B8063">
        <v>22</v>
      </c>
      <c r="C8063" t="s">
        <v>54</v>
      </c>
      <c r="D8063" t="s">
        <v>11</v>
      </c>
      <c r="E8063" t="s">
        <v>103</v>
      </c>
      <c r="F8063" t="s">
        <v>104</v>
      </c>
      <c r="G8063" t="str">
        <f t="shared" si="326"/>
        <v>025PINK MONDIAL</v>
      </c>
      <c r="H8063" s="5">
        <v>5000</v>
      </c>
      <c r="I8063" s="6">
        <v>3071.9505624999983</v>
      </c>
      <c r="J8063" s="5">
        <v>22400</v>
      </c>
      <c r="K8063" s="6">
        <f t="shared" si="327"/>
        <v>1.6276303600182052</v>
      </c>
    </row>
    <row r="8064" spans="1:11" hidden="1">
      <c r="A8064" s="4">
        <v>2026</v>
      </c>
      <c r="B8064">
        <v>22</v>
      </c>
      <c r="C8064" t="s">
        <v>54</v>
      </c>
      <c r="D8064" t="s">
        <v>11</v>
      </c>
      <c r="E8064" t="s">
        <v>45</v>
      </c>
      <c r="F8064" t="s">
        <v>105</v>
      </c>
      <c r="G8064" t="str">
        <f t="shared" si="326"/>
        <v>026LOLA</v>
      </c>
      <c r="H8064" s="5">
        <v>3400</v>
      </c>
      <c r="I8064" s="6">
        <v>2852.5249999999992</v>
      </c>
      <c r="J8064" s="5">
        <v>20800</v>
      </c>
      <c r="K8064" s="6">
        <f t="shared" si="327"/>
        <v>1.1919264511266339</v>
      </c>
    </row>
    <row r="8065" spans="1:11" hidden="1">
      <c r="A8065" s="4">
        <v>2026</v>
      </c>
      <c r="B8065">
        <v>22</v>
      </c>
      <c r="C8065" t="s">
        <v>54</v>
      </c>
      <c r="D8065" t="s">
        <v>11</v>
      </c>
      <c r="E8065" t="s">
        <v>45</v>
      </c>
      <c r="F8065" t="s">
        <v>106</v>
      </c>
      <c r="G8065" t="str">
        <f t="shared" si="326"/>
        <v>026PALOMA</v>
      </c>
      <c r="H8065" s="5">
        <v>3750</v>
      </c>
      <c r="I8065" s="6">
        <v>2852.5249999999992</v>
      </c>
      <c r="J8065" s="5">
        <v>20800</v>
      </c>
      <c r="K8065" s="6">
        <f t="shared" si="327"/>
        <v>1.3146247622720226</v>
      </c>
    </row>
    <row r="8066" spans="1:11" hidden="1">
      <c r="A8066" s="4">
        <v>2026</v>
      </c>
      <c r="B8066">
        <v>22</v>
      </c>
      <c r="C8066" t="s">
        <v>54</v>
      </c>
      <c r="D8066" t="s">
        <v>11</v>
      </c>
      <c r="E8066" t="s">
        <v>107</v>
      </c>
      <c r="F8066" t="s">
        <v>108</v>
      </c>
      <c r="G8066" t="str">
        <f t="shared" si="326"/>
        <v>027SATISFACTION</v>
      </c>
      <c r="H8066" s="5">
        <v>5040</v>
      </c>
      <c r="I8066" s="6">
        <v>2633.0999999999995</v>
      </c>
      <c r="J8066" s="5">
        <v>19200</v>
      </c>
      <c r="K8066" s="6">
        <f t="shared" si="327"/>
        <v>1.9140936538680646</v>
      </c>
    </row>
    <row r="8067" spans="1:11" hidden="1">
      <c r="A8067" s="4">
        <v>2026</v>
      </c>
      <c r="B8067">
        <v>22</v>
      </c>
      <c r="C8067" t="s">
        <v>54</v>
      </c>
      <c r="D8067" t="s">
        <v>11</v>
      </c>
      <c r="E8067" t="s">
        <v>107</v>
      </c>
      <c r="F8067" t="s">
        <v>109</v>
      </c>
      <c r="G8067" t="str">
        <f t="shared" si="326"/>
        <v>027TIFFANY</v>
      </c>
      <c r="H8067" s="5">
        <v>5220</v>
      </c>
      <c r="I8067" s="6">
        <v>2633.0999999999995</v>
      </c>
      <c r="J8067" s="5">
        <v>19200</v>
      </c>
      <c r="K8067" s="6">
        <f t="shared" si="327"/>
        <v>1.9824541415062098</v>
      </c>
    </row>
    <row r="8068" spans="1:11" hidden="1">
      <c r="A8068" s="4">
        <v>2026</v>
      </c>
      <c r="B8068">
        <v>22</v>
      </c>
      <c r="C8068" t="s">
        <v>54</v>
      </c>
      <c r="D8068" t="s">
        <v>11</v>
      </c>
      <c r="E8068" t="s">
        <v>110</v>
      </c>
      <c r="F8068" t="s">
        <v>70</v>
      </c>
      <c r="G8068" t="str">
        <f t="shared" si="326"/>
        <v>028COTOPAXI</v>
      </c>
      <c r="H8068" s="5">
        <v>3600</v>
      </c>
      <c r="I8068" s="6">
        <v>2852.5249999999987</v>
      </c>
      <c r="J8068" s="5">
        <v>20800</v>
      </c>
      <c r="K8068" s="6">
        <f t="shared" si="327"/>
        <v>1.2620397717811418</v>
      </c>
    </row>
    <row r="8069" spans="1:11" hidden="1">
      <c r="A8069" s="4">
        <v>2026</v>
      </c>
      <c r="B8069">
        <v>22</v>
      </c>
      <c r="C8069" t="s">
        <v>54</v>
      </c>
      <c r="D8069" t="s">
        <v>11</v>
      </c>
      <c r="E8069" t="s">
        <v>110</v>
      </c>
      <c r="F8069" t="s">
        <v>67</v>
      </c>
      <c r="G8069" t="str">
        <f t="shared" si="326"/>
        <v>028DEEP PURPLE</v>
      </c>
      <c r="H8069" s="5">
        <v>5280</v>
      </c>
      <c r="I8069" s="6">
        <v>2852.5249999999987</v>
      </c>
      <c r="J8069" s="5">
        <v>20800</v>
      </c>
      <c r="K8069" s="6">
        <f t="shared" si="327"/>
        <v>1.8509916652790079</v>
      </c>
    </row>
    <row r="8070" spans="1:11" hidden="1">
      <c r="A8070" s="4">
        <v>2026</v>
      </c>
      <c r="B8070">
        <v>22</v>
      </c>
      <c r="C8070" t="s">
        <v>54</v>
      </c>
      <c r="D8070" t="s">
        <v>11</v>
      </c>
      <c r="E8070" t="s">
        <v>111</v>
      </c>
      <c r="F8070" t="s">
        <v>112</v>
      </c>
      <c r="G8070" t="str">
        <f t="shared" si="326"/>
        <v>029PINK FLOYD</v>
      </c>
      <c r="H8070" s="5">
        <v>4525</v>
      </c>
      <c r="I8070" s="6">
        <v>3071.949999999998</v>
      </c>
      <c r="J8070" s="5">
        <v>22400</v>
      </c>
      <c r="K8070" s="6">
        <f t="shared" si="327"/>
        <v>1.473005745536224</v>
      </c>
    </row>
    <row r="8071" spans="1:11" hidden="1">
      <c r="A8071" s="4">
        <v>2026</v>
      </c>
      <c r="B8071">
        <v>22</v>
      </c>
      <c r="C8071" t="s">
        <v>54</v>
      </c>
      <c r="D8071" t="s">
        <v>11</v>
      </c>
      <c r="E8071" t="s">
        <v>47</v>
      </c>
      <c r="F8071" t="s">
        <v>57</v>
      </c>
      <c r="G8071" t="str">
        <f t="shared" si="326"/>
        <v>030EXPLORER</v>
      </c>
      <c r="H8071" s="5">
        <v>3225</v>
      </c>
      <c r="I8071" s="6">
        <v>1645.6875000000009</v>
      </c>
      <c r="J8071" s="5">
        <v>12000</v>
      </c>
      <c r="K8071" s="6">
        <f t="shared" si="327"/>
        <v>1.9596673122934933</v>
      </c>
    </row>
    <row r="8072" spans="1:11" hidden="1">
      <c r="A8072" s="4">
        <v>2026</v>
      </c>
      <c r="B8072">
        <v>23</v>
      </c>
      <c r="C8072" t="s">
        <v>10</v>
      </c>
      <c r="D8072" t="s">
        <v>11</v>
      </c>
      <c r="E8072" t="s">
        <v>12</v>
      </c>
      <c r="F8072" t="s">
        <v>13</v>
      </c>
      <c r="G8072" t="str">
        <f t="shared" si="326"/>
        <v>002SOMERSET</v>
      </c>
      <c r="H8072" s="5">
        <f>VLOOKUP(G8072,[1]Astroflores!$G$2:$H$109,2,FALSE)</f>
        <v>14340</v>
      </c>
      <c r="I8072" s="6">
        <v>4121.4642855494085</v>
      </c>
      <c r="J8072" s="5">
        <v>31200</v>
      </c>
      <c r="K8072" s="6">
        <f t="shared" si="327"/>
        <v>3.4793459330167211</v>
      </c>
    </row>
    <row r="8073" spans="1:11" hidden="1">
      <c r="A8073" s="4">
        <v>2026</v>
      </c>
      <c r="B8073">
        <v>23</v>
      </c>
      <c r="C8073" t="s">
        <v>10</v>
      </c>
      <c r="D8073" t="s">
        <v>11</v>
      </c>
      <c r="E8073" t="s">
        <v>14</v>
      </c>
      <c r="F8073" t="s">
        <v>15</v>
      </c>
      <c r="G8073" t="str">
        <f t="shared" si="326"/>
        <v>004BELLINA</v>
      </c>
      <c r="H8073" s="5">
        <f>VLOOKUP(G8073,[1]Astroflores!$G$2:$H$109,2,FALSE)</f>
        <v>1575</v>
      </c>
      <c r="I8073" s="6">
        <v>1056.7857142434418</v>
      </c>
      <c r="J8073" s="5">
        <v>8000</v>
      </c>
      <c r="K8073" s="6">
        <f t="shared" si="327"/>
        <v>1.4903683677514039</v>
      </c>
    </row>
    <row r="8074" spans="1:11" hidden="1">
      <c r="A8074" s="4">
        <v>2026</v>
      </c>
      <c r="B8074">
        <v>23</v>
      </c>
      <c r="C8074" t="s">
        <v>10</v>
      </c>
      <c r="D8074" t="s">
        <v>11</v>
      </c>
      <c r="E8074" t="s">
        <v>16</v>
      </c>
      <c r="F8074" t="s">
        <v>17</v>
      </c>
      <c r="G8074" t="str">
        <f t="shared" ref="G8074:G8131" si="328">+E8074&amp;F8074</f>
        <v>005ELBA</v>
      </c>
      <c r="H8074" s="5">
        <f>VLOOKUP(G8074,[1]Astroflores!$G$2:$H$109,2,FALSE)</f>
        <v>11580</v>
      </c>
      <c r="I8074" s="6">
        <v>2641.9642856076484</v>
      </c>
      <c r="J8074" s="5">
        <v>19996</v>
      </c>
      <c r="K8074" s="6">
        <f t="shared" si="327"/>
        <v>4.3831023996361917</v>
      </c>
    </row>
    <row r="8075" spans="1:11" hidden="1">
      <c r="A8075" s="4">
        <v>2026</v>
      </c>
      <c r="B8075">
        <v>23</v>
      </c>
      <c r="C8075" t="s">
        <v>10</v>
      </c>
      <c r="D8075" t="s">
        <v>11</v>
      </c>
      <c r="E8075" t="s">
        <v>16</v>
      </c>
      <c r="F8075" t="s">
        <v>18</v>
      </c>
      <c r="G8075" t="str">
        <f t="shared" si="328"/>
        <v>005HOT BUBBLES</v>
      </c>
      <c r="H8075" s="5">
        <f>VLOOKUP(G8075,[1]Astroflores!$G$2:$H$109,2,FALSE)</f>
        <v>1560</v>
      </c>
      <c r="I8075" s="6">
        <v>528.39285712153003</v>
      </c>
      <c r="J8075" s="5">
        <v>4000</v>
      </c>
      <c r="K8075" s="6">
        <f t="shared" si="327"/>
        <v>2.9523487665943238</v>
      </c>
    </row>
    <row r="8076" spans="1:11" hidden="1">
      <c r="A8076" s="4">
        <v>2026</v>
      </c>
      <c r="B8076">
        <v>23</v>
      </c>
      <c r="C8076" t="s">
        <v>10</v>
      </c>
      <c r="D8076" t="s">
        <v>11</v>
      </c>
      <c r="E8076" t="s">
        <v>16</v>
      </c>
      <c r="F8076" t="s">
        <v>19</v>
      </c>
      <c r="G8076" t="str">
        <f t="shared" si="328"/>
        <v>005SUSPIRO</v>
      </c>
      <c r="H8076" s="5">
        <f>VLOOKUP(G8076,[1]Astroflores!$G$2:$H$109,2,FALSE)</f>
        <v>4830</v>
      </c>
      <c r="I8076" s="6">
        <v>1902.2142856375078</v>
      </c>
      <c r="J8076" s="5">
        <v>14400</v>
      </c>
      <c r="K8076" s="6">
        <f t="shared" si="327"/>
        <v>2.5391461080218281</v>
      </c>
    </row>
    <row r="8077" spans="1:11" hidden="1">
      <c r="A8077" s="4">
        <v>2026</v>
      </c>
      <c r="B8077">
        <v>23</v>
      </c>
      <c r="C8077" t="s">
        <v>10</v>
      </c>
      <c r="D8077" t="s">
        <v>11</v>
      </c>
      <c r="E8077" t="s">
        <v>20</v>
      </c>
      <c r="F8077" t="s">
        <v>21</v>
      </c>
      <c r="G8077" t="str">
        <f t="shared" si="328"/>
        <v>007SNOW BUBBLES</v>
      </c>
      <c r="H8077" s="5">
        <f>VLOOKUP(G8077,[1]Astroflores!$G$2:$H$109,2,FALSE)</f>
        <v>920</v>
      </c>
      <c r="I8077" s="6">
        <v>634.05652706821195</v>
      </c>
      <c r="J8077" s="5">
        <v>4800</v>
      </c>
      <c r="K8077" s="6">
        <f t="shared" si="327"/>
        <v>1.4509747328900633</v>
      </c>
    </row>
    <row r="8078" spans="1:11" hidden="1">
      <c r="A8078" s="4">
        <v>2026</v>
      </c>
      <c r="B8078">
        <v>23</v>
      </c>
      <c r="C8078" t="s">
        <v>10</v>
      </c>
      <c r="D8078" t="s">
        <v>11</v>
      </c>
      <c r="E8078" t="s">
        <v>22</v>
      </c>
      <c r="F8078" t="s">
        <v>18</v>
      </c>
      <c r="G8078" t="str">
        <f t="shared" si="328"/>
        <v>009HOT BUBBLES</v>
      </c>
      <c r="H8078" s="5">
        <f>VLOOKUP(G8078,[1]Astroflores!$G$2:$H$109,2,FALSE)</f>
        <v>10780</v>
      </c>
      <c r="I8078" s="6">
        <v>4487.9999999102474</v>
      </c>
      <c r="J8078" s="5">
        <v>31740</v>
      </c>
      <c r="K8078" s="6">
        <f t="shared" si="327"/>
        <v>2.4019607843617607</v>
      </c>
    </row>
    <row r="8079" spans="1:11" hidden="1">
      <c r="A8079" s="4">
        <v>2026</v>
      </c>
      <c r="B8079">
        <v>23</v>
      </c>
      <c r="C8079" t="s">
        <v>10</v>
      </c>
      <c r="D8079" t="s">
        <v>11</v>
      </c>
      <c r="E8079" t="s">
        <v>23</v>
      </c>
      <c r="F8079" t="s">
        <v>24</v>
      </c>
      <c r="G8079" t="str">
        <f t="shared" si="328"/>
        <v>014FRUITY BUBBLES</v>
      </c>
      <c r="H8079" s="5">
        <f>VLOOKUP(G8079,[1]Astroflores!$G$2:$H$109,2,FALSE)</f>
        <v>2950</v>
      </c>
      <c r="I8079" s="6">
        <v>1702.8</v>
      </c>
      <c r="J8079" s="5">
        <v>12900</v>
      </c>
      <c r="K8079" s="6">
        <f t="shared" si="327"/>
        <v>1.732440685929058</v>
      </c>
    </row>
    <row r="8080" spans="1:11" hidden="1">
      <c r="A8080" s="4">
        <v>2026</v>
      </c>
      <c r="B8080">
        <v>23</v>
      </c>
      <c r="C8080" t="s">
        <v>10</v>
      </c>
      <c r="D8080" t="s">
        <v>11</v>
      </c>
      <c r="E8080" t="s">
        <v>25</v>
      </c>
      <c r="F8080" t="s">
        <v>26</v>
      </c>
      <c r="G8080" t="str">
        <f t="shared" si="328"/>
        <v>015FELLINI</v>
      </c>
      <c r="H8080" s="5">
        <f>VLOOKUP(G8080,[1]Astroflores!$G$2:$H$109,2,FALSE)</f>
        <v>5995</v>
      </c>
      <c r="I8080" s="6">
        <v>3009.6</v>
      </c>
      <c r="J8080" s="5">
        <v>22800</v>
      </c>
      <c r="K8080" s="6">
        <f t="shared" si="327"/>
        <v>1.9919590643274854</v>
      </c>
    </row>
    <row r="8081" spans="1:11" hidden="1">
      <c r="A8081" s="4">
        <v>2026</v>
      </c>
      <c r="B8081">
        <v>23</v>
      </c>
      <c r="C8081" t="s">
        <v>10</v>
      </c>
      <c r="D8081" t="s">
        <v>11</v>
      </c>
      <c r="E8081" t="s">
        <v>27</v>
      </c>
      <c r="F8081" t="s">
        <v>28</v>
      </c>
      <c r="G8081" t="str">
        <f t="shared" si="328"/>
        <v>016GOOD PEACH</v>
      </c>
      <c r="H8081" s="5">
        <f>VLOOKUP(G8081,[1]Astroflores!$G$2:$H$109,2,FALSE)</f>
        <v>3420</v>
      </c>
      <c r="I8081" s="6">
        <v>1386</v>
      </c>
      <c r="J8081" s="5">
        <v>10500</v>
      </c>
      <c r="K8081" s="6">
        <f t="shared" si="327"/>
        <v>2.4675324675324677</v>
      </c>
    </row>
    <row r="8082" spans="1:11" hidden="1">
      <c r="A8082" s="4">
        <v>2026</v>
      </c>
      <c r="B8082">
        <v>23</v>
      </c>
      <c r="C8082" t="s">
        <v>10</v>
      </c>
      <c r="D8082" t="s">
        <v>11</v>
      </c>
      <c r="E8082" t="s">
        <v>27</v>
      </c>
      <c r="F8082" t="s">
        <v>29</v>
      </c>
      <c r="G8082" t="str">
        <f t="shared" si="328"/>
        <v>016GOOD YELLOW</v>
      </c>
      <c r="H8082" s="5">
        <f>VLOOKUP(G8082,[1]Astroflores!$G$2:$H$109,2,FALSE)</f>
        <v>3090</v>
      </c>
      <c r="I8082" s="6">
        <v>1386</v>
      </c>
      <c r="J8082" s="5">
        <v>10500</v>
      </c>
      <c r="K8082" s="6">
        <f t="shared" si="327"/>
        <v>2.2294372294372296</v>
      </c>
    </row>
    <row r="8083" spans="1:11" hidden="1">
      <c r="A8083" s="4">
        <v>2026</v>
      </c>
      <c r="B8083">
        <v>23</v>
      </c>
      <c r="C8083" t="s">
        <v>10</v>
      </c>
      <c r="D8083" t="s">
        <v>11</v>
      </c>
      <c r="E8083" t="s">
        <v>30</v>
      </c>
      <c r="F8083" t="s">
        <v>31</v>
      </c>
      <c r="G8083" t="str">
        <f t="shared" si="328"/>
        <v>017ORANGE STAR</v>
      </c>
      <c r="H8083" s="5">
        <f>VLOOKUP(G8083,[1]Astroflores!$G$2:$H$109,2,FALSE)</f>
        <v>1450</v>
      </c>
      <c r="I8083" s="6">
        <v>1029.5999999999999</v>
      </c>
      <c r="J8083" s="5">
        <v>7800</v>
      </c>
      <c r="K8083" s="6">
        <f t="shared" si="327"/>
        <v>1.4083139083139085</v>
      </c>
    </row>
    <row r="8084" spans="1:11" hidden="1">
      <c r="A8084" s="4">
        <v>2026</v>
      </c>
      <c r="B8084">
        <v>23</v>
      </c>
      <c r="C8084" t="s">
        <v>10</v>
      </c>
      <c r="D8084" t="s">
        <v>11</v>
      </c>
      <c r="E8084" t="s">
        <v>32</v>
      </c>
      <c r="F8084" t="s">
        <v>33</v>
      </c>
      <c r="G8084" t="str">
        <f t="shared" si="328"/>
        <v>018COSMO</v>
      </c>
      <c r="H8084" s="5">
        <f>VLOOKUP(G8084,[1]Astroflores!$G$2:$H$109,2,FALSE)</f>
        <v>3525</v>
      </c>
      <c r="I8084" s="6">
        <v>2653.2</v>
      </c>
      <c r="J8084" s="5">
        <v>20100</v>
      </c>
      <c r="K8084" s="6">
        <f t="shared" si="327"/>
        <v>1.3285843509724107</v>
      </c>
    </row>
    <row r="8085" spans="1:11" hidden="1">
      <c r="A8085" s="4">
        <v>2026</v>
      </c>
      <c r="B8085">
        <v>23</v>
      </c>
      <c r="C8085" t="s">
        <v>10</v>
      </c>
      <c r="D8085" t="s">
        <v>11</v>
      </c>
      <c r="E8085" t="s">
        <v>32</v>
      </c>
      <c r="F8085" t="s">
        <v>34</v>
      </c>
      <c r="G8085" t="str">
        <f t="shared" si="328"/>
        <v>018RUBICON</v>
      </c>
      <c r="H8085" s="5">
        <f>VLOOKUP(G8085,[1]Astroflores!$G$2:$H$109,2,FALSE)</f>
        <v>7290</v>
      </c>
      <c r="I8085" s="6">
        <v>1768.8</v>
      </c>
      <c r="J8085" s="5">
        <v>13400</v>
      </c>
      <c r="K8085" s="6">
        <f t="shared" si="327"/>
        <v>4.1214382632293081</v>
      </c>
    </row>
    <row r="8086" spans="1:11" hidden="1">
      <c r="A8086" s="4">
        <v>2026</v>
      </c>
      <c r="B8086">
        <v>23</v>
      </c>
      <c r="C8086" t="s">
        <v>10</v>
      </c>
      <c r="D8086" t="s">
        <v>11</v>
      </c>
      <c r="E8086" t="s">
        <v>35</v>
      </c>
      <c r="F8086" t="s">
        <v>15</v>
      </c>
      <c r="G8086" t="str">
        <f t="shared" si="328"/>
        <v>019BELLINA</v>
      </c>
      <c r="H8086" s="5">
        <f>VLOOKUP(G8086,[1]Astroflores!$G$2:$H$109,2,FALSE)</f>
        <v>1905</v>
      </c>
      <c r="I8086" s="6">
        <v>1029.5999999999999</v>
      </c>
      <c r="J8086" s="5">
        <v>7800</v>
      </c>
      <c r="K8086" s="6">
        <f t="shared" si="327"/>
        <v>1.8502331002331005</v>
      </c>
    </row>
    <row r="8087" spans="1:11" hidden="1">
      <c r="A8087" s="4">
        <v>2026</v>
      </c>
      <c r="B8087">
        <v>23</v>
      </c>
      <c r="C8087" t="s">
        <v>10</v>
      </c>
      <c r="D8087" t="s">
        <v>11</v>
      </c>
      <c r="E8087" t="s">
        <v>36</v>
      </c>
      <c r="F8087" t="s">
        <v>37</v>
      </c>
      <c r="G8087" t="str">
        <f t="shared" si="328"/>
        <v>020SUMMER DANCE</v>
      </c>
      <c r="H8087" s="5">
        <f>VLOOKUP(G8087,[1]Astroflores!$G$2:$H$109,2,FALSE)</f>
        <v>3625</v>
      </c>
      <c r="I8087" s="6">
        <v>1346.4</v>
      </c>
      <c r="J8087" s="5">
        <v>10200</v>
      </c>
      <c r="K8087" s="6">
        <f t="shared" si="327"/>
        <v>2.6923648247177656</v>
      </c>
    </row>
    <row r="8088" spans="1:11" hidden="1">
      <c r="A8088" s="4">
        <v>2026</v>
      </c>
      <c r="B8088">
        <v>23</v>
      </c>
      <c r="C8088" t="s">
        <v>10</v>
      </c>
      <c r="D8088" t="s">
        <v>11</v>
      </c>
      <c r="E8088" t="s">
        <v>38</v>
      </c>
      <c r="F8088" t="s">
        <v>39</v>
      </c>
      <c r="G8088" t="str">
        <f t="shared" si="328"/>
        <v>021ELEGANT ROSEVER</v>
      </c>
      <c r="H8088" s="5">
        <f>VLOOKUP(G8088,[1]Astroflores!$G$2:$H$109,2,FALSE)</f>
        <v>1020</v>
      </c>
      <c r="I8088" s="6">
        <v>440.18999062500001</v>
      </c>
      <c r="J8088" s="5">
        <v>3200</v>
      </c>
      <c r="K8088" s="6">
        <f t="shared" si="327"/>
        <v>2.3171812665521125</v>
      </c>
    </row>
    <row r="8089" spans="1:11" hidden="1">
      <c r="A8089" s="4">
        <v>2026</v>
      </c>
      <c r="B8089">
        <v>23</v>
      </c>
      <c r="C8089" t="s">
        <v>10</v>
      </c>
      <c r="D8089" t="s">
        <v>11</v>
      </c>
      <c r="E8089" t="s">
        <v>38</v>
      </c>
      <c r="F8089" t="s">
        <v>40</v>
      </c>
      <c r="G8089" t="str">
        <f t="shared" si="328"/>
        <v>021FLAME CLUB</v>
      </c>
      <c r="H8089" s="5">
        <f>VLOOKUP(G8089,[1]Astroflores!$G$2:$H$109,2,FALSE)</f>
        <v>1725</v>
      </c>
      <c r="I8089" s="6">
        <v>880.38</v>
      </c>
      <c r="J8089" s="5">
        <v>6400</v>
      </c>
      <c r="K8089" s="6">
        <f t="shared" si="327"/>
        <v>1.9593811763102298</v>
      </c>
    </row>
    <row r="8090" spans="1:11" hidden="1">
      <c r="A8090" s="4">
        <v>2026</v>
      </c>
      <c r="B8090">
        <v>23</v>
      </c>
      <c r="C8090" t="s">
        <v>10</v>
      </c>
      <c r="D8090" t="s">
        <v>11</v>
      </c>
      <c r="E8090" t="s">
        <v>38</v>
      </c>
      <c r="F8090" t="s">
        <v>41</v>
      </c>
      <c r="G8090" t="str">
        <f t="shared" si="328"/>
        <v>021KELLY</v>
      </c>
      <c r="H8090" s="5">
        <f>VLOOKUP(G8090,[1]Astroflores!$G$2:$H$109,2,FALSE)</f>
        <v>850</v>
      </c>
      <c r="I8090" s="6">
        <v>330.14249999999998</v>
      </c>
      <c r="J8090" s="5">
        <v>2400</v>
      </c>
      <c r="K8090" s="6">
        <f t="shared" si="327"/>
        <v>2.5746457968907368</v>
      </c>
    </row>
    <row r="8091" spans="1:11" hidden="1">
      <c r="A8091" s="4">
        <v>2026</v>
      </c>
      <c r="B8091">
        <v>23</v>
      </c>
      <c r="C8091" t="s">
        <v>10</v>
      </c>
      <c r="D8091" t="s">
        <v>11</v>
      </c>
      <c r="E8091" t="s">
        <v>38</v>
      </c>
      <c r="F8091" t="s">
        <v>42</v>
      </c>
      <c r="G8091" t="str">
        <f t="shared" si="328"/>
        <v>021LEILA</v>
      </c>
      <c r="H8091" s="5">
        <f>VLOOKUP(G8091,[1]Astroflores!$G$2:$H$109,2,FALSE)</f>
        <v>3725</v>
      </c>
      <c r="I8091" s="6">
        <v>1650.7125000000001</v>
      </c>
      <c r="J8091" s="5">
        <v>12000</v>
      </c>
      <c r="K8091" s="6">
        <f t="shared" si="327"/>
        <v>2.2566013160983514</v>
      </c>
    </row>
    <row r="8092" spans="1:11" hidden="1">
      <c r="A8092" s="4">
        <v>2026</v>
      </c>
      <c r="B8092">
        <v>23</v>
      </c>
      <c r="C8092" t="s">
        <v>10</v>
      </c>
      <c r="D8092" t="s">
        <v>11</v>
      </c>
      <c r="E8092" t="s">
        <v>38</v>
      </c>
      <c r="F8092" t="s">
        <v>21</v>
      </c>
      <c r="G8092" t="str">
        <f t="shared" si="328"/>
        <v>021SNOW BUBBLES</v>
      </c>
      <c r="H8092" s="5">
        <f>VLOOKUP(G8092,[1]Astroflores!$G$2:$H$109,2,FALSE)</f>
        <v>1860</v>
      </c>
      <c r="I8092" s="6">
        <v>1287.0000000000018</v>
      </c>
      <c r="J8092" s="5">
        <v>9400</v>
      </c>
      <c r="K8092" s="6">
        <f t="shared" si="327"/>
        <v>1.4452214452214431</v>
      </c>
    </row>
    <row r="8093" spans="1:11" hidden="1">
      <c r="A8093" s="4">
        <v>2026</v>
      </c>
      <c r="B8093">
        <v>23</v>
      </c>
      <c r="C8093" t="s">
        <v>10</v>
      </c>
      <c r="D8093" t="s">
        <v>11</v>
      </c>
      <c r="E8093" t="s">
        <v>43</v>
      </c>
      <c r="F8093" t="s">
        <v>24</v>
      </c>
      <c r="G8093" t="str">
        <f t="shared" si="328"/>
        <v>022FRUITY BUBBLES</v>
      </c>
      <c r="H8093" s="5">
        <f>VLOOKUP(G8093,[1]Astroflores!$G$2:$H$109,2,FALSE)</f>
        <v>5825</v>
      </c>
      <c r="I8093" s="6">
        <v>2641.14</v>
      </c>
      <c r="J8093" s="5">
        <v>19200</v>
      </c>
      <c r="K8093" s="6">
        <f t="shared" si="327"/>
        <v>2.2054870245424327</v>
      </c>
    </row>
    <row r="8094" spans="1:11" hidden="1">
      <c r="A8094" s="4">
        <v>2026</v>
      </c>
      <c r="B8094">
        <v>23</v>
      </c>
      <c r="C8094" t="s">
        <v>10</v>
      </c>
      <c r="D8094" t="s">
        <v>11</v>
      </c>
      <c r="E8094" t="s">
        <v>43</v>
      </c>
      <c r="F8094" t="s">
        <v>28</v>
      </c>
      <c r="G8094" t="str">
        <f t="shared" si="328"/>
        <v>022GOOD PEACH</v>
      </c>
      <c r="H8094" s="5">
        <f>VLOOKUP(G8094,[1]Astroflores!$G$2:$H$109,2,FALSE)</f>
        <v>2190</v>
      </c>
      <c r="I8094" s="6">
        <v>880.38</v>
      </c>
      <c r="J8094" s="5">
        <v>6400</v>
      </c>
      <c r="K8094" s="6">
        <f t="shared" si="327"/>
        <v>2.4875621890547266</v>
      </c>
    </row>
    <row r="8095" spans="1:11" hidden="1">
      <c r="A8095" s="4">
        <v>2026</v>
      </c>
      <c r="B8095">
        <v>23</v>
      </c>
      <c r="C8095" t="s">
        <v>10</v>
      </c>
      <c r="D8095" t="s">
        <v>11</v>
      </c>
      <c r="E8095" t="s">
        <v>43</v>
      </c>
      <c r="F8095" t="s">
        <v>44</v>
      </c>
      <c r="G8095" t="str">
        <f t="shared" si="328"/>
        <v>022MIRABEL</v>
      </c>
      <c r="H8095" s="5">
        <f>VLOOKUP(G8095,[1]Astroflores!$G$2:$H$109,2,FALSE)</f>
        <v>1080</v>
      </c>
      <c r="I8095" s="6">
        <v>880.38</v>
      </c>
      <c r="J8095" s="5">
        <v>6400</v>
      </c>
      <c r="K8095" s="6">
        <f t="shared" si="327"/>
        <v>1.2267429973420569</v>
      </c>
    </row>
    <row r="8096" spans="1:11" hidden="1">
      <c r="A8096" s="4">
        <v>2026</v>
      </c>
      <c r="B8096">
        <v>23</v>
      </c>
      <c r="C8096" t="s">
        <v>10</v>
      </c>
      <c r="D8096" t="s">
        <v>11</v>
      </c>
      <c r="E8096" t="s">
        <v>47</v>
      </c>
      <c r="F8096" t="s">
        <v>44</v>
      </c>
      <c r="G8096" t="str">
        <f t="shared" si="328"/>
        <v>030MIRABEL</v>
      </c>
      <c r="H8096" s="5">
        <f>VLOOKUP(G8096,[1]Astroflores!$G$2:$H$109,2,FALSE)</f>
        <v>5460</v>
      </c>
      <c r="I8096" s="6">
        <v>2413.6749943750001</v>
      </c>
      <c r="J8096" s="5">
        <v>17600</v>
      </c>
      <c r="K8096" s="6">
        <f t="shared" si="327"/>
        <v>2.2621106871158596</v>
      </c>
    </row>
    <row r="8097" spans="1:11" hidden="1">
      <c r="A8097" s="4">
        <v>2026</v>
      </c>
      <c r="B8097">
        <v>23</v>
      </c>
      <c r="C8097" t="s">
        <v>10</v>
      </c>
      <c r="D8097" t="s">
        <v>11</v>
      </c>
      <c r="E8097" t="s">
        <v>47</v>
      </c>
      <c r="F8097" t="s">
        <v>13</v>
      </c>
      <c r="G8097" t="str">
        <f t="shared" si="328"/>
        <v>030SOMERSET</v>
      </c>
      <c r="H8097" s="5">
        <f>VLOOKUP(G8097,[1]Astroflores!$G$2:$H$109,2,FALSE)</f>
        <v>4120</v>
      </c>
      <c r="I8097" s="6">
        <v>1645.6875</v>
      </c>
      <c r="J8097" s="5">
        <v>12000</v>
      </c>
      <c r="K8097" s="6">
        <f t="shared" si="327"/>
        <v>2.5035129695036269</v>
      </c>
    </row>
    <row r="8098" spans="1:11" hidden="1">
      <c r="A8098" s="4">
        <v>2026</v>
      </c>
      <c r="B8098">
        <v>23</v>
      </c>
      <c r="C8098" t="s">
        <v>10</v>
      </c>
      <c r="D8098" t="s">
        <v>11</v>
      </c>
      <c r="E8098" t="s">
        <v>48</v>
      </c>
      <c r="F8098" t="s">
        <v>49</v>
      </c>
      <c r="G8098" t="str">
        <f t="shared" si="328"/>
        <v>03182989</v>
      </c>
      <c r="H8098" s="5">
        <f>VLOOKUP(G8098,[1]Astroflores!$G$2:$H$109,2,FALSE)</f>
        <v>2500</v>
      </c>
      <c r="I8098" s="6">
        <v>726.32013058333712</v>
      </c>
      <c r="J8098" s="5">
        <v>5712</v>
      </c>
      <c r="K8098" s="6">
        <f t="shared" si="327"/>
        <v>3.4420084130012323</v>
      </c>
    </row>
    <row r="8099" spans="1:11" hidden="1">
      <c r="A8099" s="4">
        <v>2026</v>
      </c>
      <c r="B8099">
        <v>23</v>
      </c>
      <c r="C8099" t="s">
        <v>10</v>
      </c>
      <c r="D8099" t="s">
        <v>11</v>
      </c>
      <c r="E8099" t="s">
        <v>48</v>
      </c>
      <c r="F8099" t="s">
        <v>34</v>
      </c>
      <c r="G8099" t="str">
        <f t="shared" si="328"/>
        <v>031RUBICON</v>
      </c>
      <c r="H8099" s="5">
        <f>VLOOKUP(G8099,[1]Astroflores!$G$2:$H$109,2,FALSE)</f>
        <v>2490</v>
      </c>
      <c r="I8099" s="6">
        <v>924.39958333667107</v>
      </c>
      <c r="J8099" s="5">
        <v>6720</v>
      </c>
      <c r="K8099" s="6">
        <f t="shared" si="327"/>
        <v>2.6936403313945774</v>
      </c>
    </row>
    <row r="8100" spans="1:11" hidden="1">
      <c r="A8100" s="4">
        <v>2026</v>
      </c>
      <c r="B8100">
        <v>23</v>
      </c>
      <c r="C8100" t="s">
        <v>10</v>
      </c>
      <c r="D8100" t="s">
        <v>11</v>
      </c>
      <c r="E8100" t="s">
        <v>48</v>
      </c>
      <c r="F8100" t="s">
        <v>13</v>
      </c>
      <c r="G8100" t="str">
        <f t="shared" si="328"/>
        <v>031SOMERSET</v>
      </c>
      <c r="H8100" s="5">
        <f>VLOOKUP(G8100,[1]Astroflores!$G$2:$H$109,2,FALSE)</f>
        <v>5720</v>
      </c>
      <c r="I8100" s="6">
        <v>1122.485208333339</v>
      </c>
      <c r="J8100" s="5">
        <v>8160</v>
      </c>
      <c r="K8100" s="6">
        <f t="shared" si="327"/>
        <v>5.0958355241874687</v>
      </c>
    </row>
    <row r="8101" spans="1:11" hidden="1">
      <c r="A8101" s="4">
        <v>2026</v>
      </c>
      <c r="B8101">
        <v>23</v>
      </c>
      <c r="C8101" t="s">
        <v>10</v>
      </c>
      <c r="D8101" t="s">
        <v>11</v>
      </c>
      <c r="E8101" t="s">
        <v>51</v>
      </c>
      <c r="F8101" t="s">
        <v>17</v>
      </c>
      <c r="G8101" t="str">
        <f t="shared" si="328"/>
        <v>032ELBA</v>
      </c>
      <c r="H8101" s="5">
        <f>VLOOKUP(G8101,[1]Astroflores!$G$2:$H$109,2,FALSE)</f>
        <v>4140</v>
      </c>
      <c r="I8101" s="6">
        <v>1535.9749999999999</v>
      </c>
      <c r="J8101" s="5">
        <v>11200</v>
      </c>
      <c r="K8101" s="6">
        <f t="shared" si="327"/>
        <v>2.6953563697325804</v>
      </c>
    </row>
    <row r="8102" spans="1:11" hidden="1">
      <c r="A8102" s="4">
        <v>2026</v>
      </c>
      <c r="B8102">
        <v>23</v>
      </c>
      <c r="C8102" t="s">
        <v>10</v>
      </c>
      <c r="D8102" t="s">
        <v>11</v>
      </c>
      <c r="E8102" t="s">
        <v>51</v>
      </c>
      <c r="F8102" t="s">
        <v>44</v>
      </c>
      <c r="G8102" t="str">
        <f t="shared" si="328"/>
        <v>032MIRABEL</v>
      </c>
      <c r="H8102" s="5">
        <f>VLOOKUP(G8102,[1]Astroflores!$G$2:$H$109,2,FALSE)</f>
        <v>2160</v>
      </c>
      <c r="I8102" s="6">
        <v>1535.9749999999999</v>
      </c>
      <c r="J8102" s="5">
        <v>11200</v>
      </c>
      <c r="K8102" s="6">
        <f t="shared" si="327"/>
        <v>1.4062728885561289</v>
      </c>
    </row>
    <row r="8103" spans="1:11" hidden="1">
      <c r="A8103" s="4">
        <v>2026</v>
      </c>
      <c r="B8103">
        <v>23</v>
      </c>
      <c r="C8103" t="s">
        <v>10</v>
      </c>
      <c r="D8103" t="s">
        <v>11</v>
      </c>
      <c r="E8103" t="s">
        <v>52</v>
      </c>
      <c r="F8103" t="s">
        <v>53</v>
      </c>
      <c r="G8103" t="str">
        <f t="shared" si="328"/>
        <v>033CREAMY FOLIES</v>
      </c>
      <c r="H8103" s="5">
        <f>VLOOKUP(G8103,[1]Astroflores!$G$2:$H$109,2,FALSE)</f>
        <v>810</v>
      </c>
      <c r="I8103" s="6">
        <v>594.25687500000299</v>
      </c>
      <c r="J8103" s="5">
        <v>4320</v>
      </c>
      <c r="K8103" s="6">
        <f t="shared" si="327"/>
        <v>1.3630469146865081</v>
      </c>
    </row>
    <row r="8104" spans="1:11" hidden="1">
      <c r="A8104" s="4">
        <v>2026</v>
      </c>
      <c r="B8104">
        <v>23</v>
      </c>
      <c r="C8104" t="s">
        <v>10</v>
      </c>
      <c r="D8104" t="s">
        <v>11</v>
      </c>
      <c r="E8104" t="s">
        <v>52</v>
      </c>
      <c r="F8104" t="s">
        <v>18</v>
      </c>
      <c r="G8104" t="str">
        <f t="shared" si="328"/>
        <v>033HOT BUBBLES</v>
      </c>
      <c r="H8104" s="5">
        <f>VLOOKUP(G8104,[1]Astroflores!$G$2:$H$109,2,FALSE)</f>
        <v>2520</v>
      </c>
      <c r="I8104" s="6">
        <v>2575.1131250013459</v>
      </c>
      <c r="J8104" s="5">
        <v>18720</v>
      </c>
      <c r="K8104" s="6">
        <f t="shared" si="327"/>
        <v>0.9785977849026275</v>
      </c>
    </row>
    <row r="8105" spans="1:11" hidden="1">
      <c r="A8105" s="4">
        <v>2026</v>
      </c>
      <c r="B8105">
        <v>23</v>
      </c>
      <c r="C8105" t="s">
        <v>54</v>
      </c>
      <c r="D8105" t="s">
        <v>11</v>
      </c>
      <c r="E8105" t="s">
        <v>55</v>
      </c>
      <c r="F8105" t="s">
        <v>56</v>
      </c>
      <c r="G8105" t="str">
        <f t="shared" si="328"/>
        <v>001BELIEVE IN PINK</v>
      </c>
      <c r="H8105" s="5">
        <f>VLOOKUP(G8105,[1]Astroflores!$G$2:$H$109,2,FALSE)</f>
        <v>1560</v>
      </c>
      <c r="I8105" s="6">
        <v>528.37931032368999</v>
      </c>
      <c r="J8105" s="5">
        <v>4000</v>
      </c>
      <c r="K8105" s="6">
        <f t="shared" ref="K8105:K8110" si="329">IFERROR(H8105/I8105,"")</f>
        <v>2.9524244600802589</v>
      </c>
    </row>
    <row r="8106" spans="1:11" hidden="1">
      <c r="A8106" s="4">
        <v>2026</v>
      </c>
      <c r="B8106">
        <v>23</v>
      </c>
      <c r="C8106" t="s">
        <v>54</v>
      </c>
      <c r="D8106" t="s">
        <v>11</v>
      </c>
      <c r="E8106" t="s">
        <v>55</v>
      </c>
      <c r="F8106" t="s">
        <v>57</v>
      </c>
      <c r="G8106" t="str">
        <f t="shared" si="328"/>
        <v>001EXPLORER</v>
      </c>
      <c r="H8106" s="5">
        <f>VLOOKUP(G8106,[1]Astroflores!$G$2:$H$109,2,FALSE)</f>
        <v>5000</v>
      </c>
      <c r="I8106" s="6">
        <v>2272.0310343918732</v>
      </c>
      <c r="J8106" s="5">
        <v>17200</v>
      </c>
      <c r="K8106" s="6">
        <f t="shared" si="329"/>
        <v>2.2006741652357267</v>
      </c>
    </row>
    <row r="8107" spans="1:11" hidden="1">
      <c r="A8107" s="4">
        <v>2026</v>
      </c>
      <c r="B8107">
        <v>23</v>
      </c>
      <c r="C8107" t="s">
        <v>54</v>
      </c>
      <c r="D8107" t="s">
        <v>11</v>
      </c>
      <c r="E8107" t="s">
        <v>55</v>
      </c>
      <c r="F8107" t="s">
        <v>58</v>
      </c>
      <c r="G8107" t="str">
        <f t="shared" si="328"/>
        <v>001GRACE KELLY</v>
      </c>
      <c r="H8107" s="5">
        <f>VLOOKUP(G8107,[1]Astroflores!$G$2:$H$109,2,FALSE)</f>
        <v>2160</v>
      </c>
      <c r="I8107" s="6">
        <v>1162.4344827121224</v>
      </c>
      <c r="J8107" s="5">
        <v>8800</v>
      </c>
      <c r="K8107" s="6">
        <f t="shared" si="329"/>
        <v>1.8581692406099461</v>
      </c>
    </row>
    <row r="8108" spans="1:11" hidden="1">
      <c r="A8108" s="4">
        <v>2026</v>
      </c>
      <c r="B8108">
        <v>23</v>
      </c>
      <c r="C8108" t="s">
        <v>54</v>
      </c>
      <c r="D8108" t="s">
        <v>11</v>
      </c>
      <c r="E8108" t="s">
        <v>55</v>
      </c>
      <c r="F8108" t="s">
        <v>60</v>
      </c>
      <c r="G8108" t="str">
        <f t="shared" si="328"/>
        <v>001LIGHT HOUSE</v>
      </c>
      <c r="H8108" s="5">
        <f>VLOOKUP(G8108,[1]Astroflores!$G$2:$H$109,2,FALSE)</f>
        <v>2610</v>
      </c>
      <c r="I8108" s="6">
        <v>1056.7586206473827</v>
      </c>
      <c r="J8108" s="5">
        <v>8000</v>
      </c>
      <c r="K8108" s="6">
        <f t="shared" si="329"/>
        <v>2.4698166156440564</v>
      </c>
    </row>
    <row r="8109" spans="1:11" hidden="1">
      <c r="A8109" s="4">
        <v>2026</v>
      </c>
      <c r="B8109">
        <v>23</v>
      </c>
      <c r="C8109" t="s">
        <v>54</v>
      </c>
      <c r="D8109" t="s">
        <v>11</v>
      </c>
      <c r="E8109" t="s">
        <v>55</v>
      </c>
      <c r="F8109" t="s">
        <v>61</v>
      </c>
      <c r="G8109" t="str">
        <f t="shared" si="328"/>
        <v>001LUMIA</v>
      </c>
      <c r="H8109" s="5">
        <f>VLOOKUP(G8109,[1]Astroflores!$G$2:$H$109,2,FALSE)</f>
        <v>1530</v>
      </c>
      <c r="I8109" s="6">
        <v>1109.596551679753</v>
      </c>
      <c r="J8109" s="5">
        <v>8400</v>
      </c>
      <c r="K8109" s="6">
        <f t="shared" si="329"/>
        <v>1.3788795555319839</v>
      </c>
    </row>
    <row r="8110" spans="1:11" hidden="1">
      <c r="A8110" s="4">
        <v>2026</v>
      </c>
      <c r="B8110">
        <v>23</v>
      </c>
      <c r="C8110" t="s">
        <v>54</v>
      </c>
      <c r="D8110" t="s">
        <v>11</v>
      </c>
      <c r="E8110" t="s">
        <v>55</v>
      </c>
      <c r="F8110" t="s">
        <v>62</v>
      </c>
      <c r="G8110" t="str">
        <f t="shared" si="328"/>
        <v>001MOMENTUM</v>
      </c>
      <c r="H8110" s="5">
        <f>VLOOKUP(G8110,[1]Astroflores!$G$2:$H$109,2,FALSE)</f>
        <v>3200</v>
      </c>
      <c r="I8110" s="6">
        <v>1902.1655171652881</v>
      </c>
      <c r="J8110" s="5">
        <v>14400</v>
      </c>
      <c r="K8110" s="6">
        <f t="shared" si="329"/>
        <v>1.6822931396468677</v>
      </c>
    </row>
    <row r="8111" spans="1:11" hidden="1">
      <c r="A8111" s="4">
        <v>2026</v>
      </c>
      <c r="B8111">
        <v>23</v>
      </c>
      <c r="C8111" t="s">
        <v>54</v>
      </c>
      <c r="D8111" t="s">
        <v>11</v>
      </c>
      <c r="E8111" t="s">
        <v>12</v>
      </c>
      <c r="F8111" t="s">
        <v>64</v>
      </c>
      <c r="G8111" t="str">
        <f t="shared" si="328"/>
        <v>002SWEETNESS</v>
      </c>
      <c r="H8111" s="5">
        <f>VLOOKUP(G8111,[1]Astroflores!$G$2:$H$109,2,FALSE)</f>
        <v>7680</v>
      </c>
      <c r="I8111" s="6">
        <v>3804.4285712763772</v>
      </c>
      <c r="J8111" s="5">
        <v>28800</v>
      </c>
      <c r="K8111" s="6">
        <f t="shared" ref="K8111:K8170" si="330">+H8111/I8111</f>
        <v>2.0187000113458242</v>
      </c>
    </row>
    <row r="8112" spans="1:11" hidden="1">
      <c r="A8112" s="4">
        <v>2026</v>
      </c>
      <c r="B8112">
        <v>23</v>
      </c>
      <c r="C8112" t="s">
        <v>54</v>
      </c>
      <c r="D8112" t="s">
        <v>11</v>
      </c>
      <c r="E8112" t="s">
        <v>65</v>
      </c>
      <c r="F8112" t="s">
        <v>66</v>
      </c>
      <c r="G8112" t="str">
        <f t="shared" si="328"/>
        <v>003CABARET</v>
      </c>
      <c r="H8112" s="5">
        <f>VLOOKUP(G8112,[1]Astroflores!$G$2:$H$109,2,FALSE)</f>
        <v>4530</v>
      </c>
      <c r="I8112" s="6">
        <v>2641.8965516184649</v>
      </c>
      <c r="J8112" s="5">
        <v>20000</v>
      </c>
      <c r="K8112" s="6">
        <f t="shared" si="330"/>
        <v>1.7146772825850638</v>
      </c>
    </row>
    <row r="8113" spans="1:11" hidden="1">
      <c r="A8113" s="4">
        <v>2026</v>
      </c>
      <c r="B8113">
        <v>23</v>
      </c>
      <c r="C8113" t="s">
        <v>54</v>
      </c>
      <c r="D8113" t="s">
        <v>11</v>
      </c>
      <c r="E8113" t="s">
        <v>65</v>
      </c>
      <c r="F8113" t="s">
        <v>67</v>
      </c>
      <c r="G8113" t="str">
        <f t="shared" si="328"/>
        <v>003DEEP PURPLE</v>
      </c>
      <c r="H8113" s="5">
        <f>VLOOKUP(G8113,[1]Astroflores!$G$2:$H$109,2,FALSE)</f>
        <v>11220</v>
      </c>
      <c r="I8113" s="6">
        <v>3592.9793102010913</v>
      </c>
      <c r="J8113" s="5">
        <v>26044</v>
      </c>
      <c r="K8113" s="6">
        <f t="shared" si="330"/>
        <v>3.1227566404695053</v>
      </c>
    </row>
    <row r="8114" spans="1:11" hidden="1">
      <c r="A8114" s="4">
        <v>2026</v>
      </c>
      <c r="B8114">
        <v>23</v>
      </c>
      <c r="C8114" t="s">
        <v>54</v>
      </c>
      <c r="D8114" t="s">
        <v>11</v>
      </c>
      <c r="E8114" t="s">
        <v>65</v>
      </c>
      <c r="F8114" t="s">
        <v>57</v>
      </c>
      <c r="G8114" t="str">
        <f t="shared" si="328"/>
        <v>003EXPLORER</v>
      </c>
      <c r="H8114" s="5">
        <f>VLOOKUP(G8114,[1]Astroflores!$G$2:$H$109,2,FALSE)</f>
        <v>2850</v>
      </c>
      <c r="I8114" s="6">
        <v>1268.1103447768633</v>
      </c>
      <c r="J8114" s="5">
        <v>9600</v>
      </c>
      <c r="K8114" s="6">
        <f t="shared" si="330"/>
        <v>2.2474384912469789</v>
      </c>
    </row>
    <row r="8115" spans="1:11" hidden="1">
      <c r="A8115" s="4">
        <v>2026</v>
      </c>
      <c r="B8115">
        <v>23</v>
      </c>
      <c r="C8115" t="s">
        <v>54</v>
      </c>
      <c r="D8115" t="s">
        <v>11</v>
      </c>
      <c r="E8115" t="s">
        <v>65</v>
      </c>
      <c r="F8115" t="s">
        <v>68</v>
      </c>
      <c r="G8115" t="str">
        <f t="shared" si="328"/>
        <v>003JOCKER</v>
      </c>
      <c r="H8115" s="5">
        <f>VLOOKUP(G8115,[1]Astroflores!$G$2:$H$109,2,FALSE)</f>
        <v>1025</v>
      </c>
      <c r="I8115" s="6">
        <v>528.37931032368999</v>
      </c>
      <c r="J8115" s="5">
        <v>4000</v>
      </c>
      <c r="K8115" s="6">
        <f t="shared" si="330"/>
        <v>1.9398942766552982</v>
      </c>
    </row>
    <row r="8116" spans="1:11" hidden="1">
      <c r="A8116" s="4">
        <v>2026</v>
      </c>
      <c r="B8116">
        <v>23</v>
      </c>
      <c r="C8116" t="s">
        <v>54</v>
      </c>
      <c r="D8116" t="s">
        <v>11</v>
      </c>
      <c r="E8116" t="s">
        <v>65</v>
      </c>
      <c r="F8116" t="s">
        <v>69</v>
      </c>
      <c r="G8116" t="str">
        <f t="shared" si="328"/>
        <v>003QUICKSAND</v>
      </c>
      <c r="H8116" s="5">
        <f>VLOOKUP(G8116,[1]Astroflores!$G$2:$H$109,2,FALSE)</f>
        <v>1770</v>
      </c>
      <c r="I8116" s="6">
        <v>1162.4344827121247</v>
      </c>
      <c r="J8116" s="5">
        <v>8800</v>
      </c>
      <c r="K8116" s="6">
        <f t="shared" si="330"/>
        <v>1.5226664610553695</v>
      </c>
    </row>
    <row r="8117" spans="1:11" hidden="1">
      <c r="A8117" s="4">
        <v>2026</v>
      </c>
      <c r="B8117">
        <v>23</v>
      </c>
      <c r="C8117" t="s">
        <v>54</v>
      </c>
      <c r="D8117" t="s">
        <v>11</v>
      </c>
      <c r="E8117" t="s">
        <v>14</v>
      </c>
      <c r="F8117" t="s">
        <v>70</v>
      </c>
      <c r="G8117" t="str">
        <f t="shared" si="328"/>
        <v>004COTOPAXI</v>
      </c>
      <c r="H8117" s="5">
        <f>VLOOKUP(G8117,[1]Astroflores!$G$2:$H$109,2,FALSE)</f>
        <v>810</v>
      </c>
      <c r="I8117" s="6">
        <v>528.3915024419166</v>
      </c>
      <c r="J8117" s="5">
        <v>4000</v>
      </c>
      <c r="K8117" s="6">
        <f t="shared" si="330"/>
        <v>1.532954251263795</v>
      </c>
    </row>
    <row r="8118" spans="1:11" hidden="1">
      <c r="A8118" s="4">
        <v>2026</v>
      </c>
      <c r="B8118">
        <v>23</v>
      </c>
      <c r="C8118" t="s">
        <v>54</v>
      </c>
      <c r="D8118" t="s">
        <v>11</v>
      </c>
      <c r="E8118" t="s">
        <v>14</v>
      </c>
      <c r="F8118" t="s">
        <v>67</v>
      </c>
      <c r="G8118" t="str">
        <f t="shared" si="328"/>
        <v>004DEEP PURPLE</v>
      </c>
      <c r="H8118" s="5">
        <f>VLOOKUP(G8118,[1]Astroflores!$G$2:$H$109,2,FALSE)</f>
        <v>16140</v>
      </c>
      <c r="I8118" s="6">
        <v>3910.1071427007282</v>
      </c>
      <c r="J8118" s="5">
        <v>29260</v>
      </c>
      <c r="K8118" s="6">
        <f t="shared" si="330"/>
        <v>4.1277641279292494</v>
      </c>
    </row>
    <row r="8119" spans="1:11" hidden="1">
      <c r="A8119" s="4">
        <v>2026</v>
      </c>
      <c r="B8119">
        <v>23</v>
      </c>
      <c r="C8119" t="s">
        <v>54</v>
      </c>
      <c r="D8119" t="s">
        <v>11</v>
      </c>
      <c r="E8119" t="s">
        <v>14</v>
      </c>
      <c r="F8119" t="s">
        <v>71</v>
      </c>
      <c r="G8119" t="str">
        <f t="shared" si="328"/>
        <v>004HOT EXPLORER</v>
      </c>
      <c r="H8119" s="5">
        <f>VLOOKUP(G8119,[1]Astroflores!$G$2:$H$109,2,FALSE)</f>
        <v>4775</v>
      </c>
      <c r="I8119" s="6">
        <v>1902.2142856381945</v>
      </c>
      <c r="J8119" s="5">
        <v>14400</v>
      </c>
      <c r="K8119" s="6">
        <f t="shared" si="330"/>
        <v>2.5102324359834065</v>
      </c>
    </row>
    <row r="8120" spans="1:11" hidden="1">
      <c r="A8120" s="4">
        <v>2026</v>
      </c>
      <c r="B8120">
        <v>23</v>
      </c>
      <c r="C8120" t="s">
        <v>54</v>
      </c>
      <c r="D8120" t="s">
        <v>11</v>
      </c>
      <c r="E8120" t="s">
        <v>14</v>
      </c>
      <c r="F8120" t="s">
        <v>72</v>
      </c>
      <c r="G8120" t="str">
        <f t="shared" si="328"/>
        <v>004HOT MERENGUE</v>
      </c>
      <c r="H8120" s="5">
        <f>VLOOKUP(G8120,[1]Astroflores!$G$2:$H$109,2,FALSE)</f>
        <v>4410</v>
      </c>
      <c r="I8120" s="6">
        <v>1162.4642856677858</v>
      </c>
      <c r="J8120" s="5">
        <v>8800</v>
      </c>
      <c r="K8120" s="6">
        <f t="shared" si="330"/>
        <v>3.7936649360944834</v>
      </c>
    </row>
    <row r="8121" spans="1:11" hidden="1">
      <c r="A8121" s="4">
        <v>2026</v>
      </c>
      <c r="B8121">
        <v>23</v>
      </c>
      <c r="C8121" t="s">
        <v>54</v>
      </c>
      <c r="D8121" t="s">
        <v>11</v>
      </c>
      <c r="E8121" t="s">
        <v>14</v>
      </c>
      <c r="F8121" t="s">
        <v>64</v>
      </c>
      <c r="G8121" t="str">
        <f t="shared" si="328"/>
        <v>004SWEETNESS</v>
      </c>
      <c r="H8121" s="5">
        <f>VLOOKUP(G8121,[1]Astroflores!$G$2:$H$109,2,FALSE)</f>
        <v>720</v>
      </c>
      <c r="I8121" s="6">
        <v>317.03571427303262</v>
      </c>
      <c r="J8121" s="5">
        <v>2400</v>
      </c>
      <c r="K8121" s="6">
        <f t="shared" si="330"/>
        <v>2.2710375127640434</v>
      </c>
    </row>
    <row r="8122" spans="1:11" hidden="1">
      <c r="A8122" s="4">
        <v>2026</v>
      </c>
      <c r="B8122">
        <v>23</v>
      </c>
      <c r="C8122" t="s">
        <v>54</v>
      </c>
      <c r="D8122" t="s">
        <v>11</v>
      </c>
      <c r="E8122" t="s">
        <v>16</v>
      </c>
      <c r="F8122" t="s">
        <v>57</v>
      </c>
      <c r="G8122" t="str">
        <f t="shared" si="328"/>
        <v>005EXPLORER</v>
      </c>
      <c r="H8122" s="5">
        <f>VLOOKUP(G8122,[1]Astroflores!$G$2:$H$109,2,FALSE)</f>
        <v>1850</v>
      </c>
      <c r="I8122" s="6">
        <v>951.10714281875391</v>
      </c>
      <c r="J8122" s="5">
        <v>7200</v>
      </c>
      <c r="K8122" s="6">
        <f t="shared" si="330"/>
        <v>1.9451015734328703</v>
      </c>
    </row>
    <row r="8123" spans="1:11" hidden="1">
      <c r="A8123" s="4">
        <v>2026</v>
      </c>
      <c r="B8123">
        <v>23</v>
      </c>
      <c r="C8123" t="s">
        <v>54</v>
      </c>
      <c r="D8123" t="s">
        <v>11</v>
      </c>
      <c r="E8123" t="s">
        <v>16</v>
      </c>
      <c r="F8123" t="s">
        <v>73</v>
      </c>
      <c r="G8123" t="str">
        <f t="shared" si="328"/>
        <v>005GOLDFINCH</v>
      </c>
      <c r="H8123" s="5">
        <f>VLOOKUP(G8123,[1]Astroflores!$G$2:$H$109,2,FALSE)</f>
        <v>1225</v>
      </c>
      <c r="I8123" s="6">
        <v>898.26785710660101</v>
      </c>
      <c r="J8123" s="5">
        <v>6800</v>
      </c>
      <c r="K8123" s="6">
        <f t="shared" si="330"/>
        <v>1.3637357613416468</v>
      </c>
    </row>
    <row r="8124" spans="1:11" hidden="1">
      <c r="A8124" s="4">
        <v>2026</v>
      </c>
      <c r="B8124">
        <v>23</v>
      </c>
      <c r="C8124" t="s">
        <v>54</v>
      </c>
      <c r="D8124" t="s">
        <v>11</v>
      </c>
      <c r="E8124" t="s">
        <v>16</v>
      </c>
      <c r="F8124" t="s">
        <v>68</v>
      </c>
      <c r="G8124" t="str">
        <f t="shared" si="328"/>
        <v>005JOCKER</v>
      </c>
      <c r="H8124" s="5">
        <f>VLOOKUP(G8124,[1]Astroflores!$G$2:$H$109,2,FALSE)</f>
        <v>3000</v>
      </c>
      <c r="I8124" s="6">
        <v>1162.4642856673661</v>
      </c>
      <c r="J8124" s="5">
        <v>8800</v>
      </c>
      <c r="K8124" s="6">
        <f t="shared" si="330"/>
        <v>2.5807244463237096</v>
      </c>
    </row>
    <row r="8125" spans="1:11" hidden="1">
      <c r="A8125" s="4">
        <v>2026</v>
      </c>
      <c r="B8125">
        <v>23</v>
      </c>
      <c r="C8125" t="s">
        <v>54</v>
      </c>
      <c r="D8125" t="s">
        <v>11</v>
      </c>
      <c r="E8125" t="s">
        <v>16</v>
      </c>
      <c r="F8125" t="s">
        <v>74</v>
      </c>
      <c r="G8125" t="str">
        <f t="shared" si="328"/>
        <v>005VENDELA</v>
      </c>
      <c r="H8125" s="5">
        <f>VLOOKUP(G8125,[1]Astroflores!$G$2:$H$109,2,FALSE)</f>
        <v>2580</v>
      </c>
      <c r="I8125" s="6">
        <v>686.91071425798896</v>
      </c>
      <c r="J8125" s="5">
        <v>5200</v>
      </c>
      <c r="K8125" s="6">
        <f t="shared" si="330"/>
        <v>3.7559466557265071</v>
      </c>
    </row>
    <row r="8126" spans="1:11" hidden="1">
      <c r="A8126" s="4">
        <v>2026</v>
      </c>
      <c r="B8126">
        <v>23</v>
      </c>
      <c r="C8126" t="s">
        <v>54</v>
      </c>
      <c r="D8126" t="s">
        <v>11</v>
      </c>
      <c r="E8126" t="s">
        <v>75</v>
      </c>
      <c r="F8126" t="s">
        <v>76</v>
      </c>
      <c r="G8126" t="str">
        <f t="shared" si="328"/>
        <v>006ATOMIC</v>
      </c>
      <c r="H8126" s="5">
        <f>VLOOKUP(G8126,[1]Astroflores!$G$2:$H$109,2,FALSE)</f>
        <v>1300</v>
      </c>
      <c r="I8126" s="6">
        <v>845.428571394752</v>
      </c>
      <c r="J8126" s="5">
        <v>6400</v>
      </c>
      <c r="K8126" s="6">
        <f t="shared" si="330"/>
        <v>1.5376816492673242</v>
      </c>
    </row>
    <row r="8127" spans="1:11" hidden="1">
      <c r="A8127" s="4">
        <v>2026</v>
      </c>
      <c r="B8127">
        <v>23</v>
      </c>
      <c r="C8127" t="s">
        <v>54</v>
      </c>
      <c r="D8127" t="s">
        <v>11</v>
      </c>
      <c r="E8127" t="s">
        <v>75</v>
      </c>
      <c r="F8127" t="s">
        <v>57</v>
      </c>
      <c r="G8127" t="str">
        <f t="shared" si="328"/>
        <v>006EXPLORER</v>
      </c>
      <c r="H8127" s="5">
        <f>VLOOKUP(G8127,[1]Astroflores!$G$2:$H$109,2,FALSE)</f>
        <v>8275</v>
      </c>
      <c r="I8127" s="6">
        <v>3910.1071427007355</v>
      </c>
      <c r="J8127" s="5">
        <v>29600</v>
      </c>
      <c r="K8127" s="6">
        <f t="shared" si="330"/>
        <v>2.1163102948336103</v>
      </c>
    </row>
    <row r="8128" spans="1:11" hidden="1">
      <c r="A8128" s="4">
        <v>2026</v>
      </c>
      <c r="B8128">
        <v>23</v>
      </c>
      <c r="C8128" t="s">
        <v>54</v>
      </c>
      <c r="D8128" t="s">
        <v>11</v>
      </c>
      <c r="E8128" t="s">
        <v>75</v>
      </c>
      <c r="F8128" t="s">
        <v>77</v>
      </c>
      <c r="G8128" t="str">
        <f t="shared" si="328"/>
        <v>006MONDIAL</v>
      </c>
      <c r="H8128" s="5">
        <f>VLOOKUP(G8128,[1]Astroflores!$G$2:$H$109,2,FALSE)</f>
        <v>5975</v>
      </c>
      <c r="I8128" s="6">
        <v>4015.7857141250793</v>
      </c>
      <c r="J8128" s="5">
        <v>30400</v>
      </c>
      <c r="K8128" s="6">
        <f t="shared" si="330"/>
        <v>1.4878781950400397</v>
      </c>
    </row>
    <row r="8129" spans="1:11" hidden="1">
      <c r="A8129" s="4">
        <v>2026</v>
      </c>
      <c r="B8129">
        <v>23</v>
      </c>
      <c r="C8129" t="s">
        <v>54</v>
      </c>
      <c r="D8129" t="s">
        <v>11</v>
      </c>
      <c r="E8129" t="s">
        <v>20</v>
      </c>
      <c r="F8129" t="s">
        <v>70</v>
      </c>
      <c r="G8129" t="str">
        <f t="shared" si="328"/>
        <v>007COTOPAXI</v>
      </c>
      <c r="H8129" s="5">
        <f>VLOOKUP(G8129,[1]Astroflores!$G$2:$H$109,2,FALSE)</f>
        <v>5040</v>
      </c>
      <c r="I8129" s="6">
        <v>2747.5751230427709</v>
      </c>
      <c r="J8129" s="5">
        <v>20800</v>
      </c>
      <c r="K8129" s="6">
        <f t="shared" si="330"/>
        <v>1.8343447492050768</v>
      </c>
    </row>
    <row r="8130" spans="1:11" hidden="1">
      <c r="A8130" s="4">
        <v>2026</v>
      </c>
      <c r="B8130">
        <v>23</v>
      </c>
      <c r="C8130" t="s">
        <v>54</v>
      </c>
      <c r="D8130" t="s">
        <v>11</v>
      </c>
      <c r="E8130" t="s">
        <v>20</v>
      </c>
      <c r="F8130" t="s">
        <v>78</v>
      </c>
      <c r="G8130" t="str">
        <f t="shared" si="328"/>
        <v>007REDIANT</v>
      </c>
      <c r="H8130" s="5">
        <f>VLOOKUP(G8130,[1]Astroflores!$G$2:$H$109,2,FALSE)</f>
        <v>1710</v>
      </c>
      <c r="I8130" s="6">
        <v>1056.75862064738</v>
      </c>
      <c r="J8130" s="5">
        <v>9600</v>
      </c>
      <c r="K8130" s="6">
        <f t="shared" si="330"/>
        <v>1.6181557136978342</v>
      </c>
    </row>
    <row r="8131" spans="1:11" hidden="1">
      <c r="A8131" s="4">
        <v>2026</v>
      </c>
      <c r="B8131">
        <v>23</v>
      </c>
      <c r="C8131" t="s">
        <v>54</v>
      </c>
      <c r="D8131" t="s">
        <v>11</v>
      </c>
      <c r="E8131" t="s">
        <v>20</v>
      </c>
      <c r="F8131" t="s">
        <v>63</v>
      </c>
      <c r="G8131" t="str">
        <f t="shared" si="328"/>
        <v>007SUMMER ROMANCE</v>
      </c>
      <c r="H8131" s="5">
        <f>VLOOKUP(G8131,[1]Astroflores!$G$2:$H$109,2,FALSE)</f>
        <v>550</v>
      </c>
      <c r="I8131" s="6">
        <v>317.02758619421581</v>
      </c>
      <c r="J8131" s="5">
        <v>2640</v>
      </c>
      <c r="K8131" s="6">
        <f t="shared" si="330"/>
        <v>1.734864800260826</v>
      </c>
    </row>
    <row r="8132" spans="1:11" hidden="1">
      <c r="A8132" s="4">
        <v>2026</v>
      </c>
      <c r="B8132">
        <v>23</v>
      </c>
      <c r="C8132" t="s">
        <v>54</v>
      </c>
      <c r="D8132" t="s">
        <v>11</v>
      </c>
      <c r="E8132" t="s">
        <v>20</v>
      </c>
      <c r="F8132" t="s">
        <v>74</v>
      </c>
      <c r="G8132" t="str">
        <f t="shared" ref="G8132:G8194" si="331">+E8132&amp;F8132</f>
        <v>007VENDELA</v>
      </c>
      <c r="H8132" s="5">
        <f>VLOOKUP(G8132,[1]Astroflores!$G$2:$H$109,2,FALSE)</f>
        <v>12330</v>
      </c>
      <c r="I8132" s="6">
        <v>3592.9793102011122</v>
      </c>
      <c r="J8132" s="5">
        <v>27820</v>
      </c>
      <c r="K8132" s="6">
        <f t="shared" si="330"/>
        <v>3.4316924578421366</v>
      </c>
    </row>
    <row r="8133" spans="1:11" hidden="1">
      <c r="A8133" s="4">
        <v>2026</v>
      </c>
      <c r="B8133">
        <v>23</v>
      </c>
      <c r="C8133" t="s">
        <v>54</v>
      </c>
      <c r="D8133" t="s">
        <v>11</v>
      </c>
      <c r="E8133" t="s">
        <v>79</v>
      </c>
      <c r="F8133" t="s">
        <v>67</v>
      </c>
      <c r="G8133" t="str">
        <f t="shared" si="331"/>
        <v>008DEEP PURPLE</v>
      </c>
      <c r="H8133" s="5">
        <f>VLOOKUP(G8133,[1]Astroflores!$G$2:$H$109,2,FALSE)</f>
        <v>3750</v>
      </c>
      <c r="I8133" s="6">
        <v>1585.2222221588099</v>
      </c>
      <c r="J8133" s="5">
        <v>11490</v>
      </c>
      <c r="K8133" s="6">
        <f t="shared" si="330"/>
        <v>2.3655989346989608</v>
      </c>
    </row>
    <row r="8134" spans="1:11" hidden="1">
      <c r="A8134" s="4">
        <v>2026</v>
      </c>
      <c r="B8134">
        <v>23</v>
      </c>
      <c r="C8134" t="s">
        <v>54</v>
      </c>
      <c r="D8134" t="s">
        <v>11</v>
      </c>
      <c r="E8134" t="s">
        <v>79</v>
      </c>
      <c r="F8134" t="s">
        <v>81</v>
      </c>
      <c r="G8134" t="str">
        <f t="shared" si="331"/>
        <v>008FREEDOM</v>
      </c>
      <c r="H8134" s="5">
        <f>VLOOKUP(G8134,[1]Astroflores!$G$2:$H$109,2,FALSE)</f>
        <v>5010</v>
      </c>
      <c r="I8134" s="6">
        <v>2219.311111022334</v>
      </c>
      <c r="J8134" s="5">
        <v>16800</v>
      </c>
      <c r="K8134" s="6">
        <f t="shared" si="330"/>
        <v>2.2574572691127224</v>
      </c>
    </row>
    <row r="8135" spans="1:11" hidden="1">
      <c r="A8135" s="4">
        <v>2026</v>
      </c>
      <c r="B8135">
        <v>23</v>
      </c>
      <c r="C8135" t="s">
        <v>54</v>
      </c>
      <c r="D8135" t="s">
        <v>11</v>
      </c>
      <c r="E8135" t="s">
        <v>79</v>
      </c>
      <c r="F8135" t="s">
        <v>68</v>
      </c>
      <c r="G8135" t="str">
        <f t="shared" si="331"/>
        <v>008JOCKER</v>
      </c>
      <c r="H8135" s="5">
        <f>VLOOKUP(G8135,[1]Astroflores!$G$2:$H$109,2,FALSE)</f>
        <v>5350</v>
      </c>
      <c r="I8135" s="6">
        <v>2959.0814813631118</v>
      </c>
      <c r="J8135" s="5">
        <v>22400</v>
      </c>
      <c r="K8135" s="6">
        <f t="shared" si="330"/>
        <v>1.80799347151992</v>
      </c>
    </row>
    <row r="8136" spans="1:11" hidden="1">
      <c r="A8136" s="4">
        <v>2026</v>
      </c>
      <c r="B8136">
        <v>23</v>
      </c>
      <c r="C8136" t="s">
        <v>54</v>
      </c>
      <c r="D8136" t="s">
        <v>11</v>
      </c>
      <c r="E8136" t="s">
        <v>82</v>
      </c>
      <c r="F8136" t="s">
        <v>83</v>
      </c>
      <c r="G8136" t="str">
        <f t="shared" si="331"/>
        <v>010COOLDOWN</v>
      </c>
      <c r="H8136" s="5">
        <f>VLOOKUP(G8136,[1]Astroflores!$G$2:$H$109,2,FALSE)</f>
        <v>4325</v>
      </c>
      <c r="I8136" s="6">
        <v>1912.3542857142861</v>
      </c>
      <c r="J8136" s="5">
        <v>16320</v>
      </c>
      <c r="K8136" s="6">
        <f t="shared" si="330"/>
        <v>2.2616102216564768</v>
      </c>
    </row>
    <row r="8137" spans="1:11" hidden="1">
      <c r="A8137" s="4">
        <v>2026</v>
      </c>
      <c r="B8137">
        <v>23</v>
      </c>
      <c r="C8137" t="s">
        <v>54</v>
      </c>
      <c r="D8137" t="s">
        <v>11</v>
      </c>
      <c r="E8137" t="s">
        <v>82</v>
      </c>
      <c r="F8137" t="s">
        <v>84</v>
      </c>
      <c r="G8137" t="str">
        <f t="shared" si="331"/>
        <v>010VIOLET HILL</v>
      </c>
      <c r="H8137" s="5">
        <f>VLOOKUP(G8137,[1]Astroflores!$G$2:$H$109,2,FALSE)</f>
        <v>3720</v>
      </c>
      <c r="I8137" s="6">
        <v>2812.2857142428579</v>
      </c>
      <c r="J8137" s="5">
        <v>20000</v>
      </c>
      <c r="K8137" s="6">
        <f t="shared" si="330"/>
        <v>1.322767448968649</v>
      </c>
    </row>
    <row r="8138" spans="1:11" hidden="1">
      <c r="A8138" s="4">
        <v>2026</v>
      </c>
      <c r="B8138">
        <v>23</v>
      </c>
      <c r="C8138" t="s">
        <v>54</v>
      </c>
      <c r="D8138" t="s">
        <v>11</v>
      </c>
      <c r="E8138" t="s">
        <v>85</v>
      </c>
      <c r="F8138" t="s">
        <v>86</v>
      </c>
      <c r="G8138" t="str">
        <f t="shared" si="331"/>
        <v>011BRIGHTON</v>
      </c>
      <c r="H8138" s="5">
        <f>VLOOKUP(G8138,[1]Astroflores!$G$2:$H$109,2,FALSE)</f>
        <v>4350</v>
      </c>
      <c r="I8138" s="6">
        <v>1768.8376470588223</v>
      </c>
      <c r="J8138" s="5">
        <v>12800</v>
      </c>
      <c r="K8138" s="6">
        <f t="shared" si="330"/>
        <v>2.4592420945093902</v>
      </c>
    </row>
    <row r="8139" spans="1:11" hidden="1">
      <c r="A8139" s="4">
        <v>2026</v>
      </c>
      <c r="B8139">
        <v>23</v>
      </c>
      <c r="C8139" t="s">
        <v>54</v>
      </c>
      <c r="D8139" t="s">
        <v>11</v>
      </c>
      <c r="E8139" t="s">
        <v>85</v>
      </c>
      <c r="F8139" t="s">
        <v>87</v>
      </c>
      <c r="G8139" t="str">
        <f t="shared" si="331"/>
        <v>011CANDLELIGHT</v>
      </c>
      <c r="H8139" s="5">
        <f>VLOOKUP(G8139,[1]Astroflores!$G$2:$H$109,2,FALSE)</f>
        <v>5360</v>
      </c>
      <c r="I8139" s="6">
        <v>2263.7999998868127</v>
      </c>
      <c r="J8139" s="5">
        <v>17920</v>
      </c>
      <c r="K8139" s="6">
        <f t="shared" si="330"/>
        <v>2.3677003270023826</v>
      </c>
    </row>
    <row r="8140" spans="1:11" hidden="1">
      <c r="A8140" s="4">
        <v>2026</v>
      </c>
      <c r="B8140">
        <v>23</v>
      </c>
      <c r="C8140" t="s">
        <v>54</v>
      </c>
      <c r="D8140" t="s">
        <v>11</v>
      </c>
      <c r="E8140" t="s">
        <v>85</v>
      </c>
      <c r="F8140" t="s">
        <v>88</v>
      </c>
      <c r="G8140" t="str">
        <f t="shared" si="331"/>
        <v>011CAYENNE</v>
      </c>
      <c r="H8140" s="5">
        <f>VLOOKUP(G8140,[1]Astroflores!$G$2:$H$109,2,FALSE)</f>
        <v>3060</v>
      </c>
      <c r="I8140" s="6">
        <v>994.97117647058747</v>
      </c>
      <c r="J8140" s="5">
        <v>7200</v>
      </c>
      <c r="K8140" s="6">
        <f t="shared" si="330"/>
        <v>3.0754659756623184</v>
      </c>
    </row>
    <row r="8141" spans="1:11" hidden="1">
      <c r="A8141" s="4">
        <v>2026</v>
      </c>
      <c r="B8141">
        <v>23</v>
      </c>
      <c r="C8141" t="s">
        <v>54</v>
      </c>
      <c r="D8141" t="s">
        <v>11</v>
      </c>
      <c r="E8141" t="s">
        <v>85</v>
      </c>
      <c r="F8141" t="s">
        <v>61</v>
      </c>
      <c r="G8141" t="str">
        <f t="shared" si="331"/>
        <v>011LUMIA</v>
      </c>
      <c r="H8141" s="5">
        <f>VLOOKUP(G8141,[1]Astroflores!$G$2:$H$109,2,FALSE)</f>
        <v>1620</v>
      </c>
      <c r="I8141" s="6">
        <v>994.97117647058747</v>
      </c>
      <c r="J8141" s="5">
        <v>7920</v>
      </c>
      <c r="K8141" s="6">
        <f t="shared" si="330"/>
        <v>1.6281878694682861</v>
      </c>
    </row>
    <row r="8142" spans="1:11" hidden="1">
      <c r="A8142" s="4">
        <v>2026</v>
      </c>
      <c r="B8142">
        <v>23</v>
      </c>
      <c r="C8142" t="s">
        <v>54</v>
      </c>
      <c r="D8142" t="s">
        <v>11</v>
      </c>
      <c r="E8142" t="s">
        <v>85</v>
      </c>
      <c r="F8142" t="s">
        <v>89</v>
      </c>
      <c r="G8142" t="str">
        <f t="shared" si="331"/>
        <v>011STARDUST</v>
      </c>
      <c r="H8142" s="5">
        <f>VLOOKUP(G8142,[1]Astroflores!$G$2:$H$109,2,FALSE)</f>
        <v>3475</v>
      </c>
      <c r="I8142" s="6">
        <v>2263.7999998868127</v>
      </c>
      <c r="J8142" s="5">
        <v>17920</v>
      </c>
      <c r="K8142" s="6">
        <f t="shared" si="330"/>
        <v>1.5350295963308358</v>
      </c>
    </row>
    <row r="8143" spans="1:11" hidden="1">
      <c r="A8143" s="4">
        <v>2026</v>
      </c>
      <c r="B8143">
        <v>23</v>
      </c>
      <c r="C8143" t="s">
        <v>54</v>
      </c>
      <c r="D8143" t="s">
        <v>11</v>
      </c>
      <c r="E8143" t="s">
        <v>90</v>
      </c>
      <c r="F8143" t="s">
        <v>67</v>
      </c>
      <c r="G8143" t="str">
        <f t="shared" si="331"/>
        <v>012DEEP PURPLE</v>
      </c>
      <c r="H8143" s="5">
        <f>VLOOKUP(G8143,[1]Astroflores!$G$2:$H$109,2,FALSE)</f>
        <v>15600</v>
      </c>
      <c r="I8143" s="6">
        <v>6727.0499997982479</v>
      </c>
      <c r="J8143" s="5">
        <v>49210</v>
      </c>
      <c r="K8143" s="6">
        <f t="shared" si="330"/>
        <v>2.3189956965486895</v>
      </c>
    </row>
    <row r="8144" spans="1:11" hidden="1">
      <c r="A8144" s="4">
        <v>2026</v>
      </c>
      <c r="B8144">
        <v>23</v>
      </c>
      <c r="C8144" t="s">
        <v>54</v>
      </c>
      <c r="D8144" t="s">
        <v>11</v>
      </c>
      <c r="E8144" t="s">
        <v>90</v>
      </c>
      <c r="F8144" t="s">
        <v>60</v>
      </c>
      <c r="G8144" t="str">
        <f t="shared" si="331"/>
        <v>012LIGHT HOUSE</v>
      </c>
      <c r="H8144" s="5">
        <f>VLOOKUP(G8144,[1]Astroflores!$G$2:$H$109,2,FALSE)</f>
        <v>1620</v>
      </c>
      <c r="I8144" s="6">
        <v>994.95</v>
      </c>
      <c r="J8144" s="5">
        <v>7200</v>
      </c>
      <c r="K8144" s="6">
        <f t="shared" si="330"/>
        <v>1.6282225237449117</v>
      </c>
    </row>
    <row r="8145" spans="1:11" hidden="1">
      <c r="A8145" s="4">
        <v>2026</v>
      </c>
      <c r="B8145">
        <v>23</v>
      </c>
      <c r="C8145" t="s">
        <v>54</v>
      </c>
      <c r="D8145" t="s">
        <v>11</v>
      </c>
      <c r="E8145" t="s">
        <v>91</v>
      </c>
      <c r="F8145" t="s">
        <v>92</v>
      </c>
      <c r="G8145" t="str">
        <f t="shared" si="331"/>
        <v>013COUNTRY BLUES</v>
      </c>
      <c r="H8145" s="5">
        <f>VLOOKUP(G8145,[1]Astroflores!$G$2:$H$109,2,FALSE)</f>
        <v>1760</v>
      </c>
      <c r="I8145" s="6">
        <v>831.6</v>
      </c>
      <c r="J8145" s="5">
        <v>6300</v>
      </c>
      <c r="K8145" s="6">
        <f t="shared" si="330"/>
        <v>2.1164021164021163</v>
      </c>
    </row>
    <row r="8146" spans="1:11" hidden="1">
      <c r="A8146" s="4">
        <v>2026</v>
      </c>
      <c r="B8146">
        <v>23</v>
      </c>
      <c r="C8146" t="s">
        <v>54</v>
      </c>
      <c r="D8146" t="s">
        <v>11</v>
      </c>
      <c r="E8146" t="s">
        <v>91</v>
      </c>
      <c r="F8146" t="s">
        <v>93</v>
      </c>
      <c r="G8146" t="str">
        <f t="shared" si="331"/>
        <v>013LORRAINE</v>
      </c>
      <c r="H8146" s="5">
        <f>VLOOKUP(G8146,[1]Astroflores!$G$2:$H$109,2,FALSE)</f>
        <v>4275</v>
      </c>
      <c r="I8146" s="6">
        <v>1267.2</v>
      </c>
      <c r="J8146" s="5">
        <v>9600</v>
      </c>
      <c r="K8146" s="6">
        <f t="shared" si="330"/>
        <v>3.3735795454545454</v>
      </c>
    </row>
    <row r="8147" spans="1:11" hidden="1">
      <c r="A8147" s="4">
        <v>2026</v>
      </c>
      <c r="B8147">
        <v>23</v>
      </c>
      <c r="C8147" t="s">
        <v>54</v>
      </c>
      <c r="D8147" t="s">
        <v>11</v>
      </c>
      <c r="E8147" t="s">
        <v>91</v>
      </c>
      <c r="F8147" t="s">
        <v>61</v>
      </c>
      <c r="G8147" t="str">
        <f t="shared" si="331"/>
        <v>013LUMIA</v>
      </c>
      <c r="H8147" s="5">
        <f>VLOOKUP(G8147,[1]Astroflores!$G$2:$H$109,2,FALSE)</f>
        <v>480</v>
      </c>
      <c r="I8147" s="6">
        <v>316.8</v>
      </c>
      <c r="J8147" s="5">
        <v>2400</v>
      </c>
      <c r="K8147" s="6">
        <f t="shared" si="330"/>
        <v>1.5151515151515151</v>
      </c>
    </row>
    <row r="8148" spans="1:11" hidden="1">
      <c r="A8148" s="4">
        <v>2026</v>
      </c>
      <c r="B8148">
        <v>23</v>
      </c>
      <c r="C8148" t="s">
        <v>54</v>
      </c>
      <c r="D8148" t="s">
        <v>11</v>
      </c>
      <c r="E8148" t="s">
        <v>91</v>
      </c>
      <c r="F8148" t="s">
        <v>74</v>
      </c>
      <c r="G8148" t="str">
        <f t="shared" si="331"/>
        <v>013VENDELA</v>
      </c>
      <c r="H8148" s="5">
        <f>VLOOKUP(G8148,[1]Astroflores!$G$2:$H$109,2,FALSE)</f>
        <v>12810</v>
      </c>
      <c r="I8148" s="6">
        <v>3603.6</v>
      </c>
      <c r="J8148" s="5">
        <v>27296</v>
      </c>
      <c r="K8148" s="6">
        <f t="shared" si="330"/>
        <v>3.5547785547785549</v>
      </c>
    </row>
    <row r="8149" spans="1:11" hidden="1">
      <c r="A8149" s="4">
        <v>2026</v>
      </c>
      <c r="B8149">
        <v>23</v>
      </c>
      <c r="C8149" t="s">
        <v>54</v>
      </c>
      <c r="D8149" t="s">
        <v>11</v>
      </c>
      <c r="E8149" t="s">
        <v>23</v>
      </c>
      <c r="F8149" t="s">
        <v>89</v>
      </c>
      <c r="G8149" t="str">
        <f t="shared" si="331"/>
        <v>014STARDUST</v>
      </c>
      <c r="H8149" s="5">
        <f>VLOOKUP(G8149,[1]Astroflores!$G$2:$H$109,2,FALSE)</f>
        <v>4975</v>
      </c>
      <c r="I8149" s="6">
        <v>3682.8</v>
      </c>
      <c r="J8149" s="5">
        <v>27900</v>
      </c>
      <c r="K8149" s="6">
        <f t="shared" si="330"/>
        <v>1.3508743347453025</v>
      </c>
    </row>
    <row r="8150" spans="1:11" hidden="1">
      <c r="A8150" s="4">
        <v>2026</v>
      </c>
      <c r="B8150">
        <v>23</v>
      </c>
      <c r="C8150" t="s">
        <v>54</v>
      </c>
      <c r="D8150" t="s">
        <v>11</v>
      </c>
      <c r="E8150" t="s">
        <v>25</v>
      </c>
      <c r="F8150" t="s">
        <v>68</v>
      </c>
      <c r="G8150" t="str">
        <f t="shared" si="331"/>
        <v>015JOCKER</v>
      </c>
      <c r="H8150" s="5">
        <f>VLOOKUP(G8150,[1]Astroflores!$G$2:$H$109,2,FALSE)</f>
        <v>3700</v>
      </c>
      <c r="I8150" s="6">
        <v>2376</v>
      </c>
      <c r="J8150" s="5">
        <v>18000</v>
      </c>
      <c r="K8150" s="6">
        <f t="shared" si="330"/>
        <v>1.5572390572390573</v>
      </c>
    </row>
    <row r="8151" spans="1:11" hidden="1">
      <c r="A8151" s="4">
        <v>2026</v>
      </c>
      <c r="B8151">
        <v>23</v>
      </c>
      <c r="C8151" t="s">
        <v>54</v>
      </c>
      <c r="D8151" t="s">
        <v>11</v>
      </c>
      <c r="E8151" t="s">
        <v>27</v>
      </c>
      <c r="F8151" t="s">
        <v>94</v>
      </c>
      <c r="G8151" t="str">
        <f t="shared" si="331"/>
        <v>016DREAM IN PEACH</v>
      </c>
      <c r="H8151" s="5">
        <f>VLOOKUP(G8151,[1]Astroflores!$G$2:$H$109,2,FALSE)</f>
        <v>1740</v>
      </c>
      <c r="I8151" s="6">
        <v>950.4</v>
      </c>
      <c r="J8151" s="5">
        <v>7200</v>
      </c>
      <c r="K8151" s="6">
        <f t="shared" si="330"/>
        <v>1.8308080808080809</v>
      </c>
    </row>
    <row r="8152" spans="1:11" hidden="1">
      <c r="A8152" s="4">
        <v>2026</v>
      </c>
      <c r="B8152">
        <v>23</v>
      </c>
      <c r="C8152" t="s">
        <v>54</v>
      </c>
      <c r="D8152" t="s">
        <v>11</v>
      </c>
      <c r="E8152" t="s">
        <v>27</v>
      </c>
      <c r="F8152" t="s">
        <v>95</v>
      </c>
      <c r="G8152" t="str">
        <f t="shared" si="331"/>
        <v>016NINA</v>
      </c>
      <c r="H8152" s="5">
        <f>VLOOKUP(G8152,[1]Astroflores!$G$2:$H$109,2,FALSE)</f>
        <v>4925</v>
      </c>
      <c r="I8152" s="6">
        <v>1346.4</v>
      </c>
      <c r="J8152" s="5">
        <v>10200</v>
      </c>
      <c r="K8152" s="6">
        <f t="shared" si="330"/>
        <v>3.6579025549613782</v>
      </c>
    </row>
    <row r="8153" spans="1:11" hidden="1">
      <c r="A8153" s="4">
        <v>2026</v>
      </c>
      <c r="B8153">
        <v>23</v>
      </c>
      <c r="C8153" t="s">
        <v>54</v>
      </c>
      <c r="D8153" t="s">
        <v>11</v>
      </c>
      <c r="E8153" t="s">
        <v>30</v>
      </c>
      <c r="F8153" t="s">
        <v>81</v>
      </c>
      <c r="G8153" t="str">
        <f t="shared" si="331"/>
        <v>017FREEDOM</v>
      </c>
      <c r="H8153" s="5">
        <f>VLOOKUP(G8153,[1]Astroflores!$G$2:$H$109,2,FALSE)</f>
        <v>6030</v>
      </c>
      <c r="I8153" s="6">
        <v>2851.2</v>
      </c>
      <c r="J8153" s="5">
        <v>21600</v>
      </c>
      <c r="K8153" s="6">
        <f t="shared" si="330"/>
        <v>2.1148989898989901</v>
      </c>
    </row>
    <row r="8154" spans="1:11" hidden="1">
      <c r="A8154" s="4">
        <v>2026</v>
      </c>
      <c r="B8154">
        <v>23</v>
      </c>
      <c r="C8154" t="s">
        <v>54</v>
      </c>
      <c r="D8154" t="s">
        <v>11</v>
      </c>
      <c r="E8154" t="s">
        <v>30</v>
      </c>
      <c r="F8154" t="s">
        <v>73</v>
      </c>
      <c r="G8154" t="str">
        <f t="shared" si="331"/>
        <v>017GOLDFINCH</v>
      </c>
      <c r="H8154" s="5">
        <f>VLOOKUP(G8154,[1]Astroflores!$G$2:$H$109,2,FALSE)</f>
        <v>4075</v>
      </c>
      <c r="I8154" s="6">
        <v>2138.4</v>
      </c>
      <c r="J8154" s="5">
        <v>16200</v>
      </c>
      <c r="K8154" s="6">
        <f t="shared" si="330"/>
        <v>1.9056303778526</v>
      </c>
    </row>
    <row r="8155" spans="1:11" hidden="1">
      <c r="A8155" s="4">
        <v>2026</v>
      </c>
      <c r="B8155">
        <v>23</v>
      </c>
      <c r="C8155" t="s">
        <v>54</v>
      </c>
      <c r="D8155" t="s">
        <v>11</v>
      </c>
      <c r="E8155" t="s">
        <v>32</v>
      </c>
      <c r="F8155" t="s">
        <v>86</v>
      </c>
      <c r="G8155" t="str">
        <f t="shared" si="331"/>
        <v>018BRIGHTON</v>
      </c>
      <c r="H8155" s="5">
        <f>VLOOKUP(G8155,[1]Astroflores!$G$2:$H$109,2,FALSE)</f>
        <v>2100</v>
      </c>
      <c r="I8155" s="6">
        <v>963.6</v>
      </c>
      <c r="J8155" s="5">
        <v>7570</v>
      </c>
      <c r="K8155" s="6">
        <f t="shared" si="330"/>
        <v>2.179327521793275</v>
      </c>
    </row>
    <row r="8156" spans="1:11" hidden="1">
      <c r="A8156" s="4">
        <v>2026</v>
      </c>
      <c r="B8156">
        <v>23</v>
      </c>
      <c r="C8156" t="s">
        <v>54</v>
      </c>
      <c r="D8156" t="s">
        <v>11</v>
      </c>
      <c r="E8156" t="s">
        <v>35</v>
      </c>
      <c r="F8156" t="s">
        <v>86</v>
      </c>
      <c r="G8156" t="str">
        <f t="shared" si="331"/>
        <v>019BRIGHTON</v>
      </c>
      <c r="H8156" s="5">
        <f>VLOOKUP(G8156,[1]Astroflores!$G$2:$H$109,2,FALSE)</f>
        <v>8150</v>
      </c>
      <c r="I8156" s="6">
        <v>3168</v>
      </c>
      <c r="J8156" s="5">
        <v>24000</v>
      </c>
      <c r="K8156" s="6">
        <f t="shared" si="330"/>
        <v>2.5726010101010099</v>
      </c>
    </row>
    <row r="8157" spans="1:11" hidden="1">
      <c r="A8157" s="4">
        <v>2026</v>
      </c>
      <c r="B8157">
        <v>23</v>
      </c>
      <c r="C8157" t="s">
        <v>54</v>
      </c>
      <c r="D8157" t="s">
        <v>11</v>
      </c>
      <c r="E8157" t="s">
        <v>35</v>
      </c>
      <c r="F8157" t="s">
        <v>96</v>
      </c>
      <c r="G8157" t="str">
        <f t="shared" si="331"/>
        <v>019TABATHA</v>
      </c>
      <c r="H8157" s="5">
        <f>VLOOKUP(G8157,[1]Astroflores!$G$2:$H$109,2,FALSE)</f>
        <v>2790</v>
      </c>
      <c r="I8157" s="6">
        <v>1188</v>
      </c>
      <c r="J8157" s="5">
        <v>9000</v>
      </c>
      <c r="K8157" s="6">
        <f t="shared" si="330"/>
        <v>2.3484848484848486</v>
      </c>
    </row>
    <row r="8158" spans="1:11" hidden="1">
      <c r="A8158" s="4">
        <v>2026</v>
      </c>
      <c r="B8158">
        <v>23</v>
      </c>
      <c r="C8158" t="s">
        <v>54</v>
      </c>
      <c r="D8158" t="s">
        <v>11</v>
      </c>
      <c r="E8158" t="s">
        <v>36</v>
      </c>
      <c r="F8158" t="s">
        <v>86</v>
      </c>
      <c r="G8158" t="str">
        <f t="shared" si="331"/>
        <v>020BRIGHTON</v>
      </c>
      <c r="H8158" s="5">
        <f>VLOOKUP(G8158,[1]Astroflores!$G$2:$H$109,2,FALSE)</f>
        <v>5000</v>
      </c>
      <c r="I8158" s="6">
        <v>2732.4</v>
      </c>
      <c r="J8158" s="5">
        <v>20700</v>
      </c>
      <c r="K8158" s="6">
        <f t="shared" si="330"/>
        <v>1.8298931342409603</v>
      </c>
    </row>
    <row r="8159" spans="1:11" hidden="1">
      <c r="A8159" s="4">
        <v>2026</v>
      </c>
      <c r="B8159">
        <v>23</v>
      </c>
      <c r="C8159" t="s">
        <v>54</v>
      </c>
      <c r="D8159" t="s">
        <v>11</v>
      </c>
      <c r="E8159" t="s">
        <v>36</v>
      </c>
      <c r="F8159" t="s">
        <v>97</v>
      </c>
      <c r="G8159" t="str">
        <f t="shared" si="331"/>
        <v>020TYCOON</v>
      </c>
      <c r="H8159" s="5">
        <f>VLOOKUP(G8159,[1]Astroflores!$G$2:$H$109,2,FALSE)</f>
        <v>990</v>
      </c>
      <c r="I8159" s="6">
        <v>673.2</v>
      </c>
      <c r="J8159" s="5">
        <v>5100</v>
      </c>
      <c r="K8159" s="6">
        <f t="shared" si="330"/>
        <v>1.4705882352941175</v>
      </c>
    </row>
    <row r="8160" spans="1:11" hidden="1">
      <c r="A8160" s="4">
        <v>2026</v>
      </c>
      <c r="B8160">
        <v>23</v>
      </c>
      <c r="C8160" t="s">
        <v>54</v>
      </c>
      <c r="D8160" t="s">
        <v>11</v>
      </c>
      <c r="E8160" t="s">
        <v>38</v>
      </c>
      <c r="F8160" t="s">
        <v>98</v>
      </c>
      <c r="G8160" t="str">
        <f t="shared" si="331"/>
        <v>021SHOW GIRL</v>
      </c>
      <c r="H8160" s="5">
        <f>VLOOKUP(G8160,[1]Astroflores!$G$2:$H$109,2,FALSE)</f>
        <v>2525</v>
      </c>
      <c r="I8160" s="6">
        <v>1100.4749999999999</v>
      </c>
      <c r="J8160" s="5">
        <v>8000</v>
      </c>
      <c r="K8160" s="6">
        <f t="shared" si="330"/>
        <v>2.2944637542879214</v>
      </c>
    </row>
    <row r="8161" spans="1:11" hidden="1">
      <c r="A8161" s="4">
        <v>2026</v>
      </c>
      <c r="B8161">
        <v>23</v>
      </c>
      <c r="C8161" t="s">
        <v>54</v>
      </c>
      <c r="D8161" t="s">
        <v>11</v>
      </c>
      <c r="E8161" t="s">
        <v>43</v>
      </c>
      <c r="F8161" t="s">
        <v>99</v>
      </c>
      <c r="G8161" t="str">
        <f t="shared" si="331"/>
        <v>022CORAL REEF</v>
      </c>
      <c r="H8161" s="5">
        <f>VLOOKUP(G8161,[1]Astroflores!$G$2:$H$109,2,FALSE)</f>
        <v>4100</v>
      </c>
      <c r="I8161" s="6">
        <v>1287</v>
      </c>
      <c r="J8161" s="5">
        <v>9400</v>
      </c>
      <c r="K8161" s="6">
        <f t="shared" si="330"/>
        <v>3.1857031857031859</v>
      </c>
    </row>
    <row r="8162" spans="1:11" hidden="1">
      <c r="A8162" s="4">
        <v>2026</v>
      </c>
      <c r="B8162">
        <v>23</v>
      </c>
      <c r="C8162" t="s">
        <v>54</v>
      </c>
      <c r="D8162" t="s">
        <v>11</v>
      </c>
      <c r="E8162" t="s">
        <v>100</v>
      </c>
      <c r="F8162" t="s">
        <v>70</v>
      </c>
      <c r="G8162" t="str">
        <f t="shared" si="331"/>
        <v>023COTOPAXI</v>
      </c>
      <c r="H8162" s="5">
        <f>VLOOKUP(G8162,[1]Astroflores!$G$2:$H$109,2,FALSE)</f>
        <v>4380</v>
      </c>
      <c r="I8162" s="6">
        <v>2641.14</v>
      </c>
      <c r="J8162" s="5">
        <v>19200</v>
      </c>
      <c r="K8162" s="6">
        <f t="shared" si="330"/>
        <v>1.6583747927031509</v>
      </c>
    </row>
    <row r="8163" spans="1:11" hidden="1">
      <c r="A8163" s="4">
        <v>2026</v>
      </c>
      <c r="B8163">
        <v>23</v>
      </c>
      <c r="C8163" t="s">
        <v>54</v>
      </c>
      <c r="D8163" t="s">
        <v>11</v>
      </c>
      <c r="E8163" t="s">
        <v>100</v>
      </c>
      <c r="F8163" t="s">
        <v>101</v>
      </c>
      <c r="G8163" t="str">
        <f t="shared" si="331"/>
        <v>023FRUTTETO</v>
      </c>
      <c r="H8163" s="5">
        <f>VLOOKUP(G8163,[1]Astroflores!$G$2:$H$109,2,FALSE)</f>
        <v>6150</v>
      </c>
      <c r="I8163" s="6">
        <v>2641.14</v>
      </c>
      <c r="J8163" s="5">
        <v>19200</v>
      </c>
      <c r="K8163" s="6">
        <f t="shared" si="330"/>
        <v>2.3285399486585341</v>
      </c>
    </row>
    <row r="8164" spans="1:11" hidden="1">
      <c r="A8164" s="4">
        <v>2026</v>
      </c>
      <c r="B8164">
        <v>23</v>
      </c>
      <c r="C8164" t="s">
        <v>54</v>
      </c>
      <c r="D8164" t="s">
        <v>11</v>
      </c>
      <c r="E8164" t="s">
        <v>102</v>
      </c>
      <c r="F8164" t="s">
        <v>70</v>
      </c>
      <c r="G8164" t="str">
        <f t="shared" si="331"/>
        <v>024COTOPAXI</v>
      </c>
      <c r="H8164" s="5">
        <f>VLOOKUP(G8164,[1]Astroflores!$G$2:$H$109,2,FALSE)</f>
        <v>1980</v>
      </c>
      <c r="I8164" s="6">
        <v>1430.6174906250001</v>
      </c>
      <c r="J8164" s="5">
        <v>10400</v>
      </c>
      <c r="K8164" s="6">
        <f t="shared" si="330"/>
        <v>1.3840177496606649</v>
      </c>
    </row>
    <row r="8165" spans="1:11" hidden="1">
      <c r="A8165" s="4">
        <v>2026</v>
      </c>
      <c r="B8165">
        <v>23</v>
      </c>
      <c r="C8165" t="s">
        <v>54</v>
      </c>
      <c r="D8165" t="s">
        <v>11</v>
      </c>
      <c r="E8165" t="s">
        <v>102</v>
      </c>
      <c r="F8165" t="s">
        <v>64</v>
      </c>
      <c r="G8165" t="str">
        <f t="shared" si="331"/>
        <v>024SWEETNESS</v>
      </c>
      <c r="H8165" s="5">
        <f>VLOOKUP(G8165,[1]Astroflores!$G$2:$H$109,2,FALSE)</f>
        <v>1980</v>
      </c>
      <c r="I8165" s="6">
        <v>1430.6175000000001</v>
      </c>
      <c r="J8165" s="5">
        <v>10400</v>
      </c>
      <c r="K8165" s="6">
        <f t="shared" si="330"/>
        <v>1.3840177405910383</v>
      </c>
    </row>
    <row r="8166" spans="1:11" hidden="1">
      <c r="A8166" s="4">
        <v>2026</v>
      </c>
      <c r="B8166">
        <v>23</v>
      </c>
      <c r="C8166" t="s">
        <v>54</v>
      </c>
      <c r="D8166" t="s">
        <v>11</v>
      </c>
      <c r="E8166" t="s">
        <v>102</v>
      </c>
      <c r="F8166" t="s">
        <v>97</v>
      </c>
      <c r="G8166" t="str">
        <f t="shared" si="331"/>
        <v>024TYCOON</v>
      </c>
      <c r="H8166" s="5">
        <f>VLOOKUP(G8166,[1]Astroflores!$G$2:$H$109,2,FALSE)</f>
        <v>4470</v>
      </c>
      <c r="I8166" s="6">
        <v>2861.2350000000001</v>
      </c>
      <c r="J8166" s="5">
        <v>20800</v>
      </c>
      <c r="K8166" s="6">
        <f t="shared" si="330"/>
        <v>1.5622624496065509</v>
      </c>
    </row>
    <row r="8167" spans="1:11" hidden="1">
      <c r="A8167" s="4">
        <v>2026</v>
      </c>
      <c r="B8167">
        <v>23</v>
      </c>
      <c r="C8167" t="s">
        <v>54</v>
      </c>
      <c r="D8167" t="s">
        <v>11</v>
      </c>
      <c r="E8167" t="s">
        <v>103</v>
      </c>
      <c r="F8167" t="s">
        <v>104</v>
      </c>
      <c r="G8167" t="str">
        <f t="shared" si="331"/>
        <v>025PINK MONDIAL</v>
      </c>
      <c r="H8167" s="5">
        <f>VLOOKUP(G8167,[1]Astroflores!$G$2:$H$109,2,FALSE)</f>
        <v>4925</v>
      </c>
      <c r="I8167" s="6">
        <v>3071.9505625000002</v>
      </c>
      <c r="J8167" s="5">
        <v>22400</v>
      </c>
      <c r="K8167" s="6">
        <f t="shared" si="330"/>
        <v>1.6032159046179311</v>
      </c>
    </row>
    <row r="8168" spans="1:11" hidden="1">
      <c r="A8168" s="4">
        <v>2026</v>
      </c>
      <c r="B8168">
        <v>23</v>
      </c>
      <c r="C8168" t="s">
        <v>54</v>
      </c>
      <c r="D8168" t="s">
        <v>11</v>
      </c>
      <c r="E8168" t="s">
        <v>45</v>
      </c>
      <c r="F8168" t="s">
        <v>105</v>
      </c>
      <c r="G8168" t="str">
        <f t="shared" si="331"/>
        <v>026LOLA</v>
      </c>
      <c r="H8168" s="5">
        <f>VLOOKUP(G8168,[1]Astroflores!$G$2:$H$109,2,FALSE)</f>
        <v>5550</v>
      </c>
      <c r="I8168" s="6">
        <v>1097.125</v>
      </c>
      <c r="J8168" s="5">
        <v>8000</v>
      </c>
      <c r="K8168" s="6">
        <f t="shared" si="330"/>
        <v>5.058676085222741</v>
      </c>
    </row>
    <row r="8169" spans="1:11" hidden="1">
      <c r="A8169" s="4">
        <v>2026</v>
      </c>
      <c r="B8169">
        <v>23</v>
      </c>
      <c r="C8169" t="s">
        <v>54</v>
      </c>
      <c r="D8169" t="s">
        <v>11</v>
      </c>
      <c r="E8169" t="s">
        <v>45</v>
      </c>
      <c r="F8169" t="s">
        <v>106</v>
      </c>
      <c r="G8169" t="str">
        <f t="shared" si="331"/>
        <v>026PALOMA</v>
      </c>
      <c r="H8169" s="5">
        <f>VLOOKUP(G8169,[1]Astroflores!$G$2:$H$109,2,FALSE)</f>
        <v>5575</v>
      </c>
      <c r="I8169" s="6">
        <v>2852.5250000000001</v>
      </c>
      <c r="J8169" s="5">
        <v>20800</v>
      </c>
      <c r="K8169" s="6">
        <f t="shared" si="330"/>
        <v>1.9544088132444062</v>
      </c>
    </row>
    <row r="8170" spans="1:11" hidden="1">
      <c r="A8170" s="4">
        <v>2026</v>
      </c>
      <c r="B8170">
        <v>23</v>
      </c>
      <c r="C8170" t="s">
        <v>54</v>
      </c>
      <c r="D8170" t="s">
        <v>11</v>
      </c>
      <c r="E8170" t="s">
        <v>107</v>
      </c>
      <c r="F8170" t="s">
        <v>108</v>
      </c>
      <c r="G8170" t="str">
        <f t="shared" si="331"/>
        <v>027SATISFACTION</v>
      </c>
      <c r="H8170" s="5">
        <f>VLOOKUP(G8170,[1]Astroflores!$G$2:$H$109,2,FALSE)</f>
        <v>5940</v>
      </c>
      <c r="I8170" s="6">
        <v>2633.1</v>
      </c>
      <c r="J8170" s="5">
        <v>19200</v>
      </c>
      <c r="K8170" s="6">
        <f t="shared" si="330"/>
        <v>2.2558960920587903</v>
      </c>
    </row>
    <row r="8171" spans="1:11" hidden="1">
      <c r="A8171" s="4">
        <v>2026</v>
      </c>
      <c r="B8171">
        <v>23</v>
      </c>
      <c r="C8171" t="s">
        <v>54</v>
      </c>
      <c r="D8171" t="s">
        <v>11</v>
      </c>
      <c r="E8171" t="s">
        <v>107</v>
      </c>
      <c r="F8171" t="s">
        <v>109</v>
      </c>
      <c r="G8171" t="str">
        <f t="shared" si="331"/>
        <v>027TIFFANY</v>
      </c>
      <c r="H8171" s="5">
        <f>VLOOKUP(G8171,[1]Astroflores!$G$2:$H$109,2,FALSE)</f>
        <v>5910</v>
      </c>
      <c r="I8171" s="6">
        <v>2633.1</v>
      </c>
      <c r="J8171" s="5">
        <v>19200</v>
      </c>
      <c r="K8171" s="6">
        <f t="shared" ref="K8171:K8175" si="332">+H8171/I8171</f>
        <v>2.2445026774524326</v>
      </c>
    </row>
    <row r="8172" spans="1:11" hidden="1">
      <c r="A8172" s="4">
        <v>2026</v>
      </c>
      <c r="B8172">
        <v>23</v>
      </c>
      <c r="C8172" t="s">
        <v>54</v>
      </c>
      <c r="D8172" t="s">
        <v>11</v>
      </c>
      <c r="E8172" t="s">
        <v>110</v>
      </c>
      <c r="F8172" t="s">
        <v>70</v>
      </c>
      <c r="G8172" t="str">
        <f t="shared" si="331"/>
        <v>028COTOPAXI</v>
      </c>
      <c r="H8172" s="5">
        <f>VLOOKUP(G8172,[1]Astroflores!$G$2:$H$109,2,FALSE)</f>
        <v>4110</v>
      </c>
      <c r="I8172" s="6">
        <v>2852.5250000000001</v>
      </c>
      <c r="J8172" s="5">
        <v>20800</v>
      </c>
      <c r="K8172" s="6">
        <f t="shared" si="332"/>
        <v>1.4408287394501362</v>
      </c>
    </row>
    <row r="8173" spans="1:11" hidden="1">
      <c r="A8173" s="4">
        <v>2026</v>
      </c>
      <c r="B8173">
        <v>23</v>
      </c>
      <c r="C8173" t="s">
        <v>54</v>
      </c>
      <c r="D8173" t="s">
        <v>11</v>
      </c>
      <c r="E8173" t="s">
        <v>110</v>
      </c>
      <c r="F8173" t="s">
        <v>67</v>
      </c>
      <c r="G8173" t="str">
        <f t="shared" si="331"/>
        <v>028DEEP PURPLE</v>
      </c>
      <c r="H8173" s="5">
        <f>VLOOKUP(G8173,[1]Astroflores!$G$2:$H$109,2,FALSE)</f>
        <v>7200</v>
      </c>
      <c r="I8173" s="6">
        <v>2852.5250000000001</v>
      </c>
      <c r="J8173" s="5">
        <v>20800</v>
      </c>
      <c r="K8173" s="6">
        <f t="shared" si="332"/>
        <v>2.5240795435622823</v>
      </c>
    </row>
    <row r="8174" spans="1:11" hidden="1">
      <c r="A8174" s="4">
        <v>2026</v>
      </c>
      <c r="B8174">
        <v>23</v>
      </c>
      <c r="C8174" t="s">
        <v>54</v>
      </c>
      <c r="D8174" t="s">
        <v>11</v>
      </c>
      <c r="E8174" t="s">
        <v>111</v>
      </c>
      <c r="F8174" t="s">
        <v>112</v>
      </c>
      <c r="G8174" t="str">
        <f t="shared" si="331"/>
        <v>029PINK FLOYD</v>
      </c>
      <c r="H8174" s="5">
        <f>VLOOKUP(G8174,[1]Astroflores!$G$2:$H$109,2,FALSE)</f>
        <v>4350</v>
      </c>
      <c r="I8174" s="6">
        <v>3071.95</v>
      </c>
      <c r="J8174" s="5">
        <v>22400</v>
      </c>
      <c r="K8174" s="6">
        <f t="shared" si="332"/>
        <v>1.4160386725044354</v>
      </c>
    </row>
    <row r="8175" spans="1:11" hidden="1">
      <c r="A8175" s="4">
        <v>2026</v>
      </c>
      <c r="B8175">
        <v>23</v>
      </c>
      <c r="C8175" t="s">
        <v>54</v>
      </c>
      <c r="D8175" t="s">
        <v>11</v>
      </c>
      <c r="E8175" t="s">
        <v>47</v>
      </c>
      <c r="F8175" t="s">
        <v>57</v>
      </c>
      <c r="G8175" t="str">
        <f t="shared" si="331"/>
        <v>030EXPLORER</v>
      </c>
      <c r="H8175" s="5">
        <f>VLOOKUP(G8175,[1]Astroflores!$G$2:$H$109,2,FALSE)</f>
        <v>2950</v>
      </c>
      <c r="I8175" s="6">
        <v>1645.6875</v>
      </c>
      <c r="J8175" s="5">
        <v>12000</v>
      </c>
      <c r="K8175" s="6">
        <f t="shared" si="332"/>
        <v>1.7925638980669174</v>
      </c>
    </row>
    <row r="8176" spans="1:11" hidden="1">
      <c r="A8176" s="4">
        <v>2026</v>
      </c>
      <c r="B8176">
        <v>24</v>
      </c>
      <c r="C8176" t="s">
        <v>10</v>
      </c>
      <c r="D8176" t="s">
        <v>11</v>
      </c>
      <c r="E8176" t="s">
        <v>12</v>
      </c>
      <c r="F8176" t="s">
        <v>13</v>
      </c>
      <c r="G8176" t="str">
        <f t="shared" si="331"/>
        <v>002SOMERSET</v>
      </c>
      <c r="H8176" s="5">
        <f>VLOOKUP(G8176,[2]Astroflores!$G$2:$H$109,2,FALSE)</f>
        <v>9680</v>
      </c>
      <c r="I8176" s="6">
        <v>4121.4642855494085</v>
      </c>
      <c r="J8176" s="5">
        <v>31200</v>
      </c>
      <c r="K8176" s="6">
        <f t="shared" ref="K8176:K8209" si="333">+H8176/I8176</f>
        <v>2.3486798208927375</v>
      </c>
    </row>
    <row r="8177" spans="1:11" hidden="1">
      <c r="A8177" s="4">
        <v>2026</v>
      </c>
      <c r="B8177">
        <v>24</v>
      </c>
      <c r="C8177" t="s">
        <v>10</v>
      </c>
      <c r="D8177" t="s">
        <v>11</v>
      </c>
      <c r="E8177" t="s">
        <v>14</v>
      </c>
      <c r="F8177" t="s">
        <v>15</v>
      </c>
      <c r="G8177" t="str">
        <f t="shared" si="331"/>
        <v>004BELLINA</v>
      </c>
      <c r="H8177" s="5">
        <f>VLOOKUP(G8177,[2]Astroflores!$G$2:$H$109,2,FALSE)</f>
        <v>1395</v>
      </c>
      <c r="I8177" s="6">
        <v>1056.7857142434418</v>
      </c>
      <c r="J8177" s="5">
        <v>8000</v>
      </c>
      <c r="K8177" s="6">
        <f t="shared" si="333"/>
        <v>1.3200405542941007</v>
      </c>
    </row>
    <row r="8178" spans="1:11" hidden="1">
      <c r="A8178" s="4">
        <v>2026</v>
      </c>
      <c r="B8178">
        <v>24</v>
      </c>
      <c r="C8178" t="s">
        <v>10</v>
      </c>
      <c r="D8178" t="s">
        <v>11</v>
      </c>
      <c r="E8178" t="s">
        <v>16</v>
      </c>
      <c r="F8178" t="s">
        <v>17</v>
      </c>
      <c r="G8178" t="str">
        <f t="shared" si="331"/>
        <v>005ELBA</v>
      </c>
      <c r="H8178" s="5">
        <f>VLOOKUP(G8178,[2]Astroflores!$G$2:$H$109,2,FALSE)</f>
        <v>8280</v>
      </c>
      <c r="I8178" s="6">
        <v>2641.9642856076484</v>
      </c>
      <c r="J8178" s="5">
        <v>19996</v>
      </c>
      <c r="K8178" s="6">
        <f t="shared" si="333"/>
        <v>3.1340317676155149</v>
      </c>
    </row>
    <row r="8179" spans="1:11" hidden="1">
      <c r="A8179" s="4">
        <v>2026</v>
      </c>
      <c r="B8179">
        <v>24</v>
      </c>
      <c r="C8179" t="s">
        <v>10</v>
      </c>
      <c r="D8179" t="s">
        <v>11</v>
      </c>
      <c r="E8179" t="s">
        <v>16</v>
      </c>
      <c r="F8179" t="s">
        <v>18</v>
      </c>
      <c r="G8179" t="str">
        <f t="shared" si="331"/>
        <v>005HOT BUBBLES</v>
      </c>
      <c r="H8179" s="5">
        <f>VLOOKUP(G8179,[2]Astroflores!$G$2:$H$109,2,FALSE)</f>
        <v>1940</v>
      </c>
      <c r="I8179" s="6">
        <v>528.39285712153003</v>
      </c>
      <c r="J8179" s="5">
        <v>4000</v>
      </c>
      <c r="K8179" s="6">
        <f t="shared" si="333"/>
        <v>3.671510645636531</v>
      </c>
    </row>
    <row r="8180" spans="1:11" hidden="1">
      <c r="A8180" s="4">
        <v>2026</v>
      </c>
      <c r="B8180">
        <v>24</v>
      </c>
      <c r="C8180" t="s">
        <v>10</v>
      </c>
      <c r="D8180" t="s">
        <v>11</v>
      </c>
      <c r="E8180" t="s">
        <v>16</v>
      </c>
      <c r="F8180" t="s">
        <v>19</v>
      </c>
      <c r="G8180" t="str">
        <f t="shared" si="331"/>
        <v>005SUSPIRO</v>
      </c>
      <c r="H8180" s="5">
        <f>VLOOKUP(G8180,[2]Astroflores!$G$2:$H$109,2,FALSE)</f>
        <v>3990</v>
      </c>
      <c r="I8180" s="6">
        <v>1902.2142856375078</v>
      </c>
      <c r="J8180" s="5">
        <v>14400</v>
      </c>
      <c r="K8180" s="6">
        <f t="shared" si="333"/>
        <v>2.0975554805397709</v>
      </c>
    </row>
    <row r="8181" spans="1:11" hidden="1">
      <c r="A8181" s="4">
        <v>2026</v>
      </c>
      <c r="B8181">
        <v>24</v>
      </c>
      <c r="C8181" t="s">
        <v>10</v>
      </c>
      <c r="D8181" t="s">
        <v>11</v>
      </c>
      <c r="E8181" t="s">
        <v>20</v>
      </c>
      <c r="F8181" t="s">
        <v>21</v>
      </c>
      <c r="G8181" t="str">
        <f t="shared" si="331"/>
        <v>007SNOW BUBBLES</v>
      </c>
      <c r="H8181" s="5">
        <f>VLOOKUP(G8181,[2]Astroflores!$G$2:$H$109,2,FALSE)</f>
        <v>920</v>
      </c>
      <c r="I8181" s="6">
        <v>634.05652706821195</v>
      </c>
      <c r="J8181" s="5">
        <v>4800</v>
      </c>
      <c r="K8181" s="6">
        <f t="shared" si="333"/>
        <v>1.4509747328900633</v>
      </c>
    </row>
    <row r="8182" spans="1:11" hidden="1">
      <c r="A8182" s="4">
        <v>2026</v>
      </c>
      <c r="B8182">
        <v>24</v>
      </c>
      <c r="C8182" t="s">
        <v>10</v>
      </c>
      <c r="D8182" t="s">
        <v>11</v>
      </c>
      <c r="E8182" t="s">
        <v>22</v>
      </c>
      <c r="F8182" t="s">
        <v>18</v>
      </c>
      <c r="G8182" t="str">
        <f t="shared" si="331"/>
        <v>009HOT BUBBLES</v>
      </c>
      <c r="H8182" s="5">
        <f>VLOOKUP(G8182,[2]Astroflores!$G$2:$H$109,2,FALSE)</f>
        <v>14200</v>
      </c>
      <c r="I8182" s="6">
        <v>4487.9999999102474</v>
      </c>
      <c r="J8182" s="5">
        <v>31740</v>
      </c>
      <c r="K8182" s="6">
        <f t="shared" si="333"/>
        <v>3.1639928699384976</v>
      </c>
    </row>
    <row r="8183" spans="1:11" hidden="1">
      <c r="A8183" s="4">
        <v>2026</v>
      </c>
      <c r="B8183">
        <v>24</v>
      </c>
      <c r="C8183" t="s">
        <v>10</v>
      </c>
      <c r="D8183" t="s">
        <v>11</v>
      </c>
      <c r="E8183" t="s">
        <v>23</v>
      </c>
      <c r="F8183" t="s">
        <v>24</v>
      </c>
      <c r="G8183" t="str">
        <f t="shared" si="331"/>
        <v>014FRUITY BUBBLES</v>
      </c>
      <c r="H8183" s="5">
        <f>VLOOKUP(G8183,[2]Astroflores!$G$2:$H$109,2,FALSE)</f>
        <v>3950</v>
      </c>
      <c r="I8183" s="6">
        <v>1702.8</v>
      </c>
      <c r="J8183" s="5">
        <v>12900</v>
      </c>
      <c r="K8183" s="6">
        <f t="shared" si="333"/>
        <v>2.3197087150575522</v>
      </c>
    </row>
    <row r="8184" spans="1:11" hidden="1">
      <c r="A8184" s="4">
        <v>2026</v>
      </c>
      <c r="B8184">
        <v>24</v>
      </c>
      <c r="C8184" t="s">
        <v>10</v>
      </c>
      <c r="D8184" t="s">
        <v>11</v>
      </c>
      <c r="E8184" t="s">
        <v>25</v>
      </c>
      <c r="F8184" t="s">
        <v>26</v>
      </c>
      <c r="G8184" t="str">
        <f t="shared" si="331"/>
        <v>015FELLINI</v>
      </c>
      <c r="H8184" s="5">
        <f>VLOOKUP(G8184,[2]Astroflores!$G$2:$H$109,2,FALSE)</f>
        <v>5180</v>
      </c>
      <c r="I8184" s="6">
        <v>3009.6</v>
      </c>
      <c r="J8184" s="5">
        <v>22800</v>
      </c>
      <c r="K8184" s="6">
        <f t="shared" si="333"/>
        <v>1.7211589580010633</v>
      </c>
    </row>
    <row r="8185" spans="1:11" hidden="1">
      <c r="A8185" s="4">
        <v>2026</v>
      </c>
      <c r="B8185">
        <v>24</v>
      </c>
      <c r="C8185" t="s">
        <v>10</v>
      </c>
      <c r="D8185" t="s">
        <v>11</v>
      </c>
      <c r="E8185" t="s">
        <v>27</v>
      </c>
      <c r="F8185" t="s">
        <v>28</v>
      </c>
      <c r="G8185" t="str">
        <f t="shared" si="331"/>
        <v>016GOOD PEACH</v>
      </c>
      <c r="H8185" s="5">
        <f>VLOOKUP(G8185,[2]Astroflores!$G$2:$H$109,2,FALSE)</f>
        <v>3270</v>
      </c>
      <c r="I8185" s="6">
        <v>1386</v>
      </c>
      <c r="J8185" s="5">
        <v>10500</v>
      </c>
      <c r="K8185" s="6">
        <f t="shared" si="333"/>
        <v>2.3593073593073592</v>
      </c>
    </row>
    <row r="8186" spans="1:11" hidden="1">
      <c r="A8186" s="4">
        <v>2026</v>
      </c>
      <c r="B8186">
        <v>24</v>
      </c>
      <c r="C8186" t="s">
        <v>10</v>
      </c>
      <c r="D8186" t="s">
        <v>11</v>
      </c>
      <c r="E8186" t="s">
        <v>27</v>
      </c>
      <c r="F8186" t="s">
        <v>29</v>
      </c>
      <c r="G8186" t="str">
        <f t="shared" si="331"/>
        <v>016GOOD YELLOW</v>
      </c>
      <c r="H8186" s="5">
        <f>VLOOKUP(G8186,[2]Astroflores!$G$2:$H$109,2,FALSE)</f>
        <v>3090</v>
      </c>
      <c r="I8186" s="6">
        <v>1386</v>
      </c>
      <c r="J8186" s="5">
        <v>10500</v>
      </c>
      <c r="K8186" s="6">
        <f t="shared" si="333"/>
        <v>2.2294372294372296</v>
      </c>
    </row>
    <row r="8187" spans="1:11" hidden="1">
      <c r="A8187" s="4">
        <v>2026</v>
      </c>
      <c r="B8187">
        <v>24</v>
      </c>
      <c r="C8187" t="s">
        <v>10</v>
      </c>
      <c r="D8187" t="s">
        <v>11</v>
      </c>
      <c r="E8187" t="s">
        <v>30</v>
      </c>
      <c r="F8187" t="s">
        <v>31</v>
      </c>
      <c r="G8187" t="str">
        <f t="shared" si="331"/>
        <v>017ORANGE STAR</v>
      </c>
      <c r="H8187" s="5">
        <f>VLOOKUP(G8187,[2]Astroflores!$G$2:$H$109,2,FALSE)</f>
        <v>1650</v>
      </c>
      <c r="I8187" s="6">
        <v>1029.5999999999999</v>
      </c>
      <c r="J8187" s="5">
        <v>7800</v>
      </c>
      <c r="K8187" s="6">
        <f t="shared" si="333"/>
        <v>1.6025641025641026</v>
      </c>
    </row>
    <row r="8188" spans="1:11" hidden="1">
      <c r="A8188" s="4">
        <v>2026</v>
      </c>
      <c r="B8188">
        <v>24</v>
      </c>
      <c r="C8188" t="s">
        <v>10</v>
      </c>
      <c r="D8188" t="s">
        <v>11</v>
      </c>
      <c r="E8188" t="s">
        <v>32</v>
      </c>
      <c r="F8188" t="s">
        <v>33</v>
      </c>
      <c r="G8188" t="str">
        <f t="shared" si="331"/>
        <v>018COSMO</v>
      </c>
      <c r="H8188" s="5">
        <f>VLOOKUP(G8188,[2]Astroflores!$G$2:$H$109,2,FALSE)</f>
        <v>4400</v>
      </c>
      <c r="I8188" s="6">
        <v>2653.2</v>
      </c>
      <c r="J8188" s="5">
        <v>20100</v>
      </c>
      <c r="K8188" s="6">
        <f t="shared" si="333"/>
        <v>1.6583747927031511</v>
      </c>
    </row>
    <row r="8189" spans="1:11" hidden="1">
      <c r="A8189" s="4">
        <v>2026</v>
      </c>
      <c r="B8189">
        <v>24</v>
      </c>
      <c r="C8189" t="s">
        <v>10</v>
      </c>
      <c r="D8189" t="s">
        <v>11</v>
      </c>
      <c r="E8189" t="s">
        <v>32</v>
      </c>
      <c r="F8189" t="s">
        <v>34</v>
      </c>
      <c r="G8189" t="str">
        <f t="shared" si="331"/>
        <v>018RUBICON</v>
      </c>
      <c r="H8189" s="5">
        <f>VLOOKUP(G8189,[2]Astroflores!$G$2:$H$109,2,FALSE)</f>
        <v>6480</v>
      </c>
      <c r="I8189" s="6">
        <v>1768.8</v>
      </c>
      <c r="J8189" s="5">
        <v>13400</v>
      </c>
      <c r="K8189" s="6">
        <f t="shared" si="333"/>
        <v>3.6635006784260518</v>
      </c>
    </row>
    <row r="8190" spans="1:11" hidden="1">
      <c r="A8190" s="4">
        <v>2026</v>
      </c>
      <c r="B8190">
        <v>24</v>
      </c>
      <c r="C8190" t="s">
        <v>10</v>
      </c>
      <c r="D8190" t="s">
        <v>11</v>
      </c>
      <c r="E8190" t="s">
        <v>35</v>
      </c>
      <c r="F8190" t="s">
        <v>15</v>
      </c>
      <c r="G8190" t="str">
        <f t="shared" si="331"/>
        <v>019BELLINA</v>
      </c>
      <c r="H8190" s="5">
        <f>VLOOKUP(G8190,[2]Astroflores!$G$2:$H$109,2,FALSE)</f>
        <v>1515</v>
      </c>
      <c r="I8190" s="6">
        <v>1029.5999999999999</v>
      </c>
      <c r="J8190" s="5">
        <v>7800</v>
      </c>
      <c r="K8190" s="6">
        <f t="shared" si="333"/>
        <v>1.4714452214452216</v>
      </c>
    </row>
    <row r="8191" spans="1:11" hidden="1">
      <c r="A8191" s="4">
        <v>2026</v>
      </c>
      <c r="B8191">
        <v>24</v>
      </c>
      <c r="C8191" t="s">
        <v>10</v>
      </c>
      <c r="D8191" t="s">
        <v>11</v>
      </c>
      <c r="E8191" t="s">
        <v>36</v>
      </c>
      <c r="F8191" t="s">
        <v>37</v>
      </c>
      <c r="G8191" t="str">
        <f t="shared" si="331"/>
        <v>020SUMMER DANCE</v>
      </c>
      <c r="H8191" s="5">
        <f>VLOOKUP(G8191,[2]Astroflores!$G$2:$H$109,2,FALSE)</f>
        <v>3800</v>
      </c>
      <c r="I8191" s="6">
        <v>1346.4</v>
      </c>
      <c r="J8191" s="5">
        <v>10200</v>
      </c>
      <c r="K8191" s="6">
        <f t="shared" si="333"/>
        <v>2.8223410576351751</v>
      </c>
    </row>
    <row r="8192" spans="1:11" hidden="1">
      <c r="A8192" s="4">
        <v>2026</v>
      </c>
      <c r="B8192">
        <v>24</v>
      </c>
      <c r="C8192" t="s">
        <v>10</v>
      </c>
      <c r="D8192" t="s">
        <v>11</v>
      </c>
      <c r="E8192" t="s">
        <v>38</v>
      </c>
      <c r="F8192" t="s">
        <v>39</v>
      </c>
      <c r="G8192" t="str">
        <f t="shared" si="331"/>
        <v>021ELEGANT ROSEVER</v>
      </c>
      <c r="H8192" s="5">
        <f>VLOOKUP(G8192,[2]Astroflores!$G$2:$H$109,2,FALSE)</f>
        <v>870</v>
      </c>
      <c r="I8192" s="6">
        <v>440.18999062500001</v>
      </c>
      <c r="J8192" s="5">
        <v>3200</v>
      </c>
      <c r="K8192" s="6">
        <f t="shared" si="333"/>
        <v>1.9764193155885665</v>
      </c>
    </row>
    <row r="8193" spans="1:11" hidden="1">
      <c r="A8193" s="4">
        <v>2026</v>
      </c>
      <c r="B8193">
        <v>24</v>
      </c>
      <c r="C8193" t="s">
        <v>10</v>
      </c>
      <c r="D8193" t="s">
        <v>11</v>
      </c>
      <c r="E8193" t="s">
        <v>38</v>
      </c>
      <c r="F8193" t="s">
        <v>40</v>
      </c>
      <c r="G8193" t="str">
        <f t="shared" si="331"/>
        <v>021FLAME CLUB</v>
      </c>
      <c r="H8193" s="5">
        <f>VLOOKUP(G8193,[2]Astroflores!$G$2:$H$109,2,FALSE)</f>
        <v>1575</v>
      </c>
      <c r="I8193" s="6">
        <v>880.38</v>
      </c>
      <c r="J8193" s="5">
        <v>6400</v>
      </c>
      <c r="K8193" s="6">
        <f t="shared" si="333"/>
        <v>1.7890002044571662</v>
      </c>
    </row>
    <row r="8194" spans="1:11" hidden="1">
      <c r="A8194" s="4">
        <v>2026</v>
      </c>
      <c r="B8194">
        <v>24</v>
      </c>
      <c r="C8194" t="s">
        <v>10</v>
      </c>
      <c r="D8194" t="s">
        <v>11</v>
      </c>
      <c r="E8194" t="s">
        <v>38</v>
      </c>
      <c r="F8194" t="s">
        <v>41</v>
      </c>
      <c r="G8194" t="str">
        <f t="shared" si="331"/>
        <v>021KELLY</v>
      </c>
      <c r="H8194" s="5">
        <f>VLOOKUP(G8194,[2]Astroflores!$G$2:$H$109,2,FALSE)</f>
        <v>575</v>
      </c>
      <c r="I8194" s="6">
        <v>330.14249999999998</v>
      </c>
      <c r="J8194" s="5">
        <v>2400</v>
      </c>
      <c r="K8194" s="6">
        <f t="shared" si="333"/>
        <v>1.7416721567202043</v>
      </c>
    </row>
    <row r="8195" spans="1:11" hidden="1">
      <c r="A8195" s="4">
        <v>2026</v>
      </c>
      <c r="B8195">
        <v>24</v>
      </c>
      <c r="C8195" t="s">
        <v>10</v>
      </c>
      <c r="D8195" t="s">
        <v>11</v>
      </c>
      <c r="E8195" t="s">
        <v>38</v>
      </c>
      <c r="F8195" t="s">
        <v>42</v>
      </c>
      <c r="G8195" t="str">
        <f t="shared" ref="G8195:G8252" si="334">+E8195&amp;F8195</f>
        <v>021LEILA</v>
      </c>
      <c r="H8195" s="5">
        <f>VLOOKUP(G8195,[2]Astroflores!$G$2:$H$109,2,FALSE)</f>
        <v>2000</v>
      </c>
      <c r="I8195" s="6">
        <v>1650.7125000000001</v>
      </c>
      <c r="J8195" s="5">
        <v>12000</v>
      </c>
      <c r="K8195" s="6">
        <f t="shared" si="333"/>
        <v>1.211598022066229</v>
      </c>
    </row>
    <row r="8196" spans="1:11" hidden="1">
      <c r="A8196" s="4">
        <v>2026</v>
      </c>
      <c r="B8196">
        <v>24</v>
      </c>
      <c r="C8196" t="s">
        <v>10</v>
      </c>
      <c r="D8196" t="s">
        <v>11</v>
      </c>
      <c r="E8196" t="s">
        <v>38</v>
      </c>
      <c r="F8196" t="s">
        <v>21</v>
      </c>
      <c r="G8196" t="str">
        <f t="shared" si="334"/>
        <v>021SNOW BUBBLES</v>
      </c>
      <c r="H8196" s="5">
        <f>VLOOKUP(G8196,[2]Astroflores!$G$2:$H$109,2,FALSE)</f>
        <v>1860</v>
      </c>
      <c r="I8196" s="6">
        <v>1287.0000000000018</v>
      </c>
      <c r="J8196" s="5">
        <v>9400</v>
      </c>
      <c r="K8196" s="6">
        <f t="shared" si="333"/>
        <v>1.4452214452214431</v>
      </c>
    </row>
    <row r="8197" spans="1:11" hidden="1">
      <c r="A8197" s="4">
        <v>2026</v>
      </c>
      <c r="B8197">
        <v>24</v>
      </c>
      <c r="C8197" t="s">
        <v>10</v>
      </c>
      <c r="D8197" t="s">
        <v>11</v>
      </c>
      <c r="E8197" t="s">
        <v>43</v>
      </c>
      <c r="F8197" t="s">
        <v>24</v>
      </c>
      <c r="G8197" t="str">
        <f t="shared" si="334"/>
        <v>022FRUITY BUBBLES</v>
      </c>
      <c r="H8197" s="5">
        <f>VLOOKUP(G8197,[2]Astroflores!$G$2:$H$109,2,FALSE)</f>
        <v>5700</v>
      </c>
      <c r="I8197" s="6">
        <v>2641.14</v>
      </c>
      <c r="J8197" s="5">
        <v>19200</v>
      </c>
      <c r="K8197" s="6">
        <f t="shared" si="333"/>
        <v>2.1581589768054705</v>
      </c>
    </row>
    <row r="8198" spans="1:11" hidden="1">
      <c r="A8198" s="4">
        <v>2026</v>
      </c>
      <c r="B8198">
        <v>24</v>
      </c>
      <c r="C8198" t="s">
        <v>10</v>
      </c>
      <c r="D8198" t="s">
        <v>11</v>
      </c>
      <c r="E8198" t="s">
        <v>43</v>
      </c>
      <c r="F8198" t="s">
        <v>28</v>
      </c>
      <c r="G8198" t="str">
        <f t="shared" si="334"/>
        <v>022GOOD PEACH</v>
      </c>
      <c r="H8198" s="5">
        <f>VLOOKUP(G8198,[2]Astroflores!$G$2:$H$109,2,FALSE)</f>
        <v>1920</v>
      </c>
      <c r="I8198" s="6">
        <v>880.38</v>
      </c>
      <c r="J8198" s="5">
        <v>6400</v>
      </c>
      <c r="K8198" s="6">
        <f t="shared" si="333"/>
        <v>2.1808764397192122</v>
      </c>
    </row>
    <row r="8199" spans="1:11" hidden="1">
      <c r="A8199" s="4">
        <v>2026</v>
      </c>
      <c r="B8199">
        <v>24</v>
      </c>
      <c r="C8199" t="s">
        <v>10</v>
      </c>
      <c r="D8199" t="s">
        <v>11</v>
      </c>
      <c r="E8199" t="s">
        <v>43</v>
      </c>
      <c r="F8199" t="s">
        <v>44</v>
      </c>
      <c r="G8199" t="str">
        <f t="shared" si="334"/>
        <v>022MIRABEL</v>
      </c>
      <c r="H8199" s="5">
        <f>VLOOKUP(G8199,[2]Astroflores!$G$2:$H$109,2,FALSE)</f>
        <v>1280</v>
      </c>
      <c r="I8199" s="6">
        <v>880.38</v>
      </c>
      <c r="J8199" s="5">
        <v>6400</v>
      </c>
      <c r="K8199" s="6">
        <f t="shared" si="333"/>
        <v>1.4539176264794749</v>
      </c>
    </row>
    <row r="8200" spans="1:11" hidden="1">
      <c r="A8200" s="4">
        <v>2026</v>
      </c>
      <c r="B8200">
        <v>24</v>
      </c>
      <c r="C8200" t="s">
        <v>10</v>
      </c>
      <c r="D8200" t="s">
        <v>11</v>
      </c>
      <c r="E8200" t="s">
        <v>47</v>
      </c>
      <c r="F8200" t="s">
        <v>44</v>
      </c>
      <c r="G8200" t="str">
        <f t="shared" si="334"/>
        <v>030MIRABEL</v>
      </c>
      <c r="H8200" s="5">
        <f>VLOOKUP(G8200,[2]Astroflores!$G$2:$H$109,2,FALSE)</f>
        <v>5480</v>
      </c>
      <c r="I8200" s="6">
        <v>2413.6749943750001</v>
      </c>
      <c r="J8200" s="5">
        <v>17600</v>
      </c>
      <c r="K8200" s="6">
        <f t="shared" si="333"/>
        <v>2.2703968068488849</v>
      </c>
    </row>
    <row r="8201" spans="1:11" hidden="1">
      <c r="A8201" s="4">
        <v>2026</v>
      </c>
      <c r="B8201">
        <v>24</v>
      </c>
      <c r="C8201" t="s">
        <v>10</v>
      </c>
      <c r="D8201" t="s">
        <v>11</v>
      </c>
      <c r="E8201" t="s">
        <v>47</v>
      </c>
      <c r="F8201" t="s">
        <v>13</v>
      </c>
      <c r="G8201" t="str">
        <f t="shared" si="334"/>
        <v>030SOMERSET</v>
      </c>
      <c r="H8201" s="5">
        <f>VLOOKUP(G8201,[2]Astroflores!$G$2:$H$109,2,FALSE)</f>
        <v>2780</v>
      </c>
      <c r="I8201" s="6">
        <v>1645.6875</v>
      </c>
      <c r="J8201" s="5">
        <v>12000</v>
      </c>
      <c r="K8201" s="6">
        <f t="shared" si="333"/>
        <v>1.6892636056359425</v>
      </c>
    </row>
    <row r="8202" spans="1:11" hidden="1">
      <c r="A8202" s="4">
        <v>2026</v>
      </c>
      <c r="B8202">
        <v>24</v>
      </c>
      <c r="C8202" t="s">
        <v>10</v>
      </c>
      <c r="D8202" t="s">
        <v>11</v>
      </c>
      <c r="E8202" t="s">
        <v>48</v>
      </c>
      <c r="F8202" t="s">
        <v>49</v>
      </c>
      <c r="G8202" t="str">
        <f t="shared" si="334"/>
        <v>03182989</v>
      </c>
      <c r="H8202" s="5">
        <f>VLOOKUP(G8202,[2]Astroflores!$G$2:$H$109,2,FALSE)</f>
        <v>2280</v>
      </c>
      <c r="I8202" s="6">
        <v>726.32013058333712</v>
      </c>
      <c r="J8202" s="5">
        <v>5712</v>
      </c>
      <c r="K8202" s="6">
        <f t="shared" si="333"/>
        <v>3.139111672657124</v>
      </c>
    </row>
    <row r="8203" spans="1:11" hidden="1">
      <c r="A8203" s="4">
        <v>2026</v>
      </c>
      <c r="B8203">
        <v>24</v>
      </c>
      <c r="C8203" t="s">
        <v>10</v>
      </c>
      <c r="D8203" t="s">
        <v>11</v>
      </c>
      <c r="E8203" t="s">
        <v>48</v>
      </c>
      <c r="F8203" t="s">
        <v>34</v>
      </c>
      <c r="G8203" t="str">
        <f t="shared" si="334"/>
        <v>031RUBICON</v>
      </c>
      <c r="H8203" s="5">
        <f>VLOOKUP(G8203,[2]Astroflores!$G$2:$H$109,2,FALSE)</f>
        <v>2160</v>
      </c>
      <c r="I8203" s="6">
        <v>924.39958333667107</v>
      </c>
      <c r="J8203" s="5">
        <v>6720</v>
      </c>
      <c r="K8203" s="6">
        <f t="shared" si="333"/>
        <v>2.3366518537398746</v>
      </c>
    </row>
    <row r="8204" spans="1:11" hidden="1">
      <c r="A8204" s="4">
        <v>2026</v>
      </c>
      <c r="B8204">
        <v>24</v>
      </c>
      <c r="C8204" t="s">
        <v>10</v>
      </c>
      <c r="D8204" t="s">
        <v>11</v>
      </c>
      <c r="E8204" t="s">
        <v>48</v>
      </c>
      <c r="F8204" t="s">
        <v>13</v>
      </c>
      <c r="G8204" t="str">
        <f t="shared" si="334"/>
        <v>031SOMERSET</v>
      </c>
      <c r="H8204" s="5">
        <f>VLOOKUP(G8204,[2]Astroflores!$G$2:$H$109,2,FALSE)</f>
        <v>3820</v>
      </c>
      <c r="I8204" s="6">
        <v>1122.485208333339</v>
      </c>
      <c r="J8204" s="5">
        <v>8160</v>
      </c>
      <c r="K8204" s="6">
        <f t="shared" si="333"/>
        <v>3.4031628850342885</v>
      </c>
    </row>
    <row r="8205" spans="1:11" hidden="1">
      <c r="A8205" s="4">
        <v>2026</v>
      </c>
      <c r="B8205">
        <v>24</v>
      </c>
      <c r="C8205" t="s">
        <v>10</v>
      </c>
      <c r="D8205" t="s">
        <v>11</v>
      </c>
      <c r="E8205" t="s">
        <v>48</v>
      </c>
      <c r="F8205" t="s">
        <v>50</v>
      </c>
      <c r="G8205" t="str">
        <f t="shared" si="334"/>
        <v>031VELVET BLOSSOMS</v>
      </c>
      <c r="H8205" s="5">
        <f>VLOOKUP(G8205,[2]Astroflores!$G$2:$H$109,2,FALSE)</f>
        <v>560</v>
      </c>
      <c r="I8205" s="6">
        <v>396.17125000000198</v>
      </c>
      <c r="J8205" s="5">
        <v>2880</v>
      </c>
      <c r="K8205" s="6">
        <f t="shared" si="333"/>
        <v>1.4135301337489714</v>
      </c>
    </row>
    <row r="8206" spans="1:11" hidden="1">
      <c r="A8206" s="4">
        <v>2026</v>
      </c>
      <c r="B8206">
        <v>24</v>
      </c>
      <c r="C8206" t="s">
        <v>10</v>
      </c>
      <c r="D8206" t="s">
        <v>11</v>
      </c>
      <c r="E8206" t="s">
        <v>51</v>
      </c>
      <c r="F8206" t="s">
        <v>17</v>
      </c>
      <c r="G8206" t="str">
        <f t="shared" si="334"/>
        <v>032ELBA</v>
      </c>
      <c r="H8206" s="5">
        <f>VLOOKUP(G8206,[2]Astroflores!$G$2:$H$109,2,FALSE)</f>
        <v>3510</v>
      </c>
      <c r="I8206" s="6">
        <v>1535.9749999999999</v>
      </c>
      <c r="J8206" s="5">
        <v>11200</v>
      </c>
      <c r="K8206" s="6">
        <f t="shared" si="333"/>
        <v>2.2851934439037094</v>
      </c>
    </row>
    <row r="8207" spans="1:11" hidden="1">
      <c r="A8207" s="4">
        <v>2026</v>
      </c>
      <c r="B8207">
        <v>24</v>
      </c>
      <c r="C8207" t="s">
        <v>10</v>
      </c>
      <c r="D8207" t="s">
        <v>11</v>
      </c>
      <c r="E8207" t="s">
        <v>51</v>
      </c>
      <c r="F8207" t="s">
        <v>44</v>
      </c>
      <c r="G8207" t="str">
        <f t="shared" si="334"/>
        <v>032MIRABEL</v>
      </c>
      <c r="H8207" s="5">
        <f>VLOOKUP(G8207,[2]Astroflores!$G$2:$H$109,2,FALSE)</f>
        <v>2540</v>
      </c>
      <c r="I8207" s="6">
        <v>1535.9749999999999</v>
      </c>
      <c r="J8207" s="5">
        <v>11200</v>
      </c>
      <c r="K8207" s="6">
        <f t="shared" si="333"/>
        <v>1.6536727485798923</v>
      </c>
    </row>
    <row r="8208" spans="1:11" hidden="1">
      <c r="A8208" s="4">
        <v>2026</v>
      </c>
      <c r="B8208">
        <v>24</v>
      </c>
      <c r="C8208" t="s">
        <v>10</v>
      </c>
      <c r="D8208" t="s">
        <v>11</v>
      </c>
      <c r="E8208" t="s">
        <v>52</v>
      </c>
      <c r="F8208" t="s">
        <v>53</v>
      </c>
      <c r="G8208" t="str">
        <f t="shared" si="334"/>
        <v>033CREAMY FOLIES</v>
      </c>
      <c r="H8208" s="5">
        <f>VLOOKUP(G8208,[2]Astroflores!$G$2:$H$109,2,FALSE)</f>
        <v>990</v>
      </c>
      <c r="I8208" s="6">
        <v>594.25687500000299</v>
      </c>
      <c r="J8208" s="5">
        <v>4320</v>
      </c>
      <c r="K8208" s="6">
        <f t="shared" si="333"/>
        <v>1.6659462290612876</v>
      </c>
    </row>
    <row r="8209" spans="1:11" hidden="1">
      <c r="A8209" s="4">
        <v>2026</v>
      </c>
      <c r="B8209">
        <v>24</v>
      </c>
      <c r="C8209" t="s">
        <v>10</v>
      </c>
      <c r="D8209" t="s">
        <v>11</v>
      </c>
      <c r="E8209" t="s">
        <v>52</v>
      </c>
      <c r="F8209" t="s">
        <v>18</v>
      </c>
      <c r="G8209" t="str">
        <f t="shared" si="334"/>
        <v>033HOT BUBBLES</v>
      </c>
      <c r="H8209" s="5">
        <f>VLOOKUP(G8209,[2]Astroflores!$G$2:$H$109,2,FALSE)</f>
        <v>3160</v>
      </c>
      <c r="I8209" s="6">
        <v>2575.1131250013459</v>
      </c>
      <c r="J8209" s="5">
        <v>18720</v>
      </c>
      <c r="K8209" s="6">
        <f t="shared" si="333"/>
        <v>1.2271305556715488</v>
      </c>
    </row>
    <row r="8210" spans="1:11" hidden="1">
      <c r="A8210" s="4">
        <v>2026</v>
      </c>
      <c r="B8210">
        <v>24</v>
      </c>
      <c r="C8210" t="s">
        <v>54</v>
      </c>
      <c r="D8210" t="s">
        <v>11</v>
      </c>
      <c r="E8210" t="s">
        <v>55</v>
      </c>
      <c r="F8210" t="s">
        <v>56</v>
      </c>
      <c r="G8210" t="str">
        <f t="shared" si="334"/>
        <v>001BELIEVE IN PINK</v>
      </c>
      <c r="H8210" s="5">
        <f>VLOOKUP(G8210,[2]Astroflores!$G$2:$H$109,2,FALSE)</f>
        <v>1500</v>
      </c>
      <c r="I8210" s="6">
        <v>528.37931032368999</v>
      </c>
      <c r="J8210" s="5">
        <v>4000</v>
      </c>
      <c r="K8210" s="6">
        <f t="shared" ref="K8210:K8215" si="335">IFERROR(H8210/I8210,"")</f>
        <v>2.838869673154095</v>
      </c>
    </row>
    <row r="8211" spans="1:11" hidden="1">
      <c r="A8211" s="4">
        <v>2026</v>
      </c>
      <c r="B8211">
        <v>24</v>
      </c>
      <c r="C8211" t="s">
        <v>54</v>
      </c>
      <c r="D8211" t="s">
        <v>11</v>
      </c>
      <c r="E8211" t="s">
        <v>55</v>
      </c>
      <c r="F8211" t="s">
        <v>57</v>
      </c>
      <c r="G8211" t="str">
        <f t="shared" si="334"/>
        <v>001EXPLORER</v>
      </c>
      <c r="H8211" s="5">
        <f>VLOOKUP(G8211,[2]Astroflores!$G$2:$H$109,2,FALSE)</f>
        <v>5175</v>
      </c>
      <c r="I8211" s="6">
        <v>2272.0310343918732</v>
      </c>
      <c r="J8211" s="5">
        <v>17200</v>
      </c>
      <c r="K8211" s="6">
        <f t="shared" si="335"/>
        <v>2.277697761018977</v>
      </c>
    </row>
    <row r="8212" spans="1:11" hidden="1">
      <c r="A8212" s="4">
        <v>2026</v>
      </c>
      <c r="B8212">
        <v>24</v>
      </c>
      <c r="C8212" t="s">
        <v>54</v>
      </c>
      <c r="D8212" t="s">
        <v>11</v>
      </c>
      <c r="E8212" t="s">
        <v>55</v>
      </c>
      <c r="F8212" t="s">
        <v>58</v>
      </c>
      <c r="G8212" t="str">
        <f t="shared" si="334"/>
        <v>001GRACE KELLY</v>
      </c>
      <c r="H8212" s="5">
        <f>VLOOKUP(G8212,[2]Astroflores!$G$2:$H$109,2,FALSE)</f>
        <v>2010</v>
      </c>
      <c r="I8212" s="6">
        <v>1162.4344827121224</v>
      </c>
      <c r="J8212" s="5">
        <v>8800</v>
      </c>
      <c r="K8212" s="6">
        <f t="shared" si="335"/>
        <v>1.7291297100120331</v>
      </c>
    </row>
    <row r="8213" spans="1:11" hidden="1">
      <c r="A8213" s="4">
        <v>2026</v>
      </c>
      <c r="B8213">
        <v>24</v>
      </c>
      <c r="C8213" t="s">
        <v>54</v>
      </c>
      <c r="D8213" t="s">
        <v>11</v>
      </c>
      <c r="E8213" t="s">
        <v>55</v>
      </c>
      <c r="F8213" t="s">
        <v>60</v>
      </c>
      <c r="G8213" t="str">
        <f t="shared" si="334"/>
        <v>001LIGHT HOUSE</v>
      </c>
      <c r="H8213" s="5">
        <f>VLOOKUP(G8213,[2]Astroflores!$G$2:$H$109,2,FALSE)</f>
        <v>2040</v>
      </c>
      <c r="I8213" s="6">
        <v>1056.7586206473827</v>
      </c>
      <c r="J8213" s="5">
        <v>8000</v>
      </c>
      <c r="K8213" s="6">
        <f t="shared" si="335"/>
        <v>1.9304313777447797</v>
      </c>
    </row>
    <row r="8214" spans="1:11" hidden="1">
      <c r="A8214" s="4">
        <v>2026</v>
      </c>
      <c r="B8214">
        <v>24</v>
      </c>
      <c r="C8214" t="s">
        <v>54</v>
      </c>
      <c r="D8214" t="s">
        <v>11</v>
      </c>
      <c r="E8214" t="s">
        <v>55</v>
      </c>
      <c r="F8214" t="s">
        <v>61</v>
      </c>
      <c r="G8214" t="str">
        <f t="shared" si="334"/>
        <v>001LUMIA</v>
      </c>
      <c r="H8214" s="5">
        <f>VLOOKUP(G8214,[2]Astroflores!$G$2:$H$109,2,FALSE)</f>
        <v>1620</v>
      </c>
      <c r="I8214" s="6">
        <v>1109.596551679753</v>
      </c>
      <c r="J8214" s="5">
        <v>8400</v>
      </c>
      <c r="K8214" s="6">
        <f t="shared" si="335"/>
        <v>1.4599901176221008</v>
      </c>
    </row>
    <row r="8215" spans="1:11" hidden="1">
      <c r="A8215" s="4">
        <v>2026</v>
      </c>
      <c r="B8215">
        <v>24</v>
      </c>
      <c r="C8215" t="s">
        <v>54</v>
      </c>
      <c r="D8215" t="s">
        <v>11</v>
      </c>
      <c r="E8215" t="s">
        <v>55</v>
      </c>
      <c r="F8215" t="s">
        <v>62</v>
      </c>
      <c r="G8215" t="str">
        <f t="shared" si="334"/>
        <v>001MOMENTUM</v>
      </c>
      <c r="H8215" s="5">
        <f>VLOOKUP(G8215,[2]Astroflores!$G$2:$H$109,2,FALSE)</f>
        <v>3900</v>
      </c>
      <c r="I8215" s="6">
        <v>1902.1655171652881</v>
      </c>
      <c r="J8215" s="5">
        <v>14400</v>
      </c>
      <c r="K8215" s="6">
        <f t="shared" si="335"/>
        <v>2.0502947639446196</v>
      </c>
    </row>
    <row r="8216" spans="1:11" hidden="1">
      <c r="A8216" s="4">
        <v>2026</v>
      </c>
      <c r="B8216">
        <v>24</v>
      </c>
      <c r="C8216" t="s">
        <v>54</v>
      </c>
      <c r="D8216" t="s">
        <v>11</v>
      </c>
      <c r="E8216" t="s">
        <v>12</v>
      </c>
      <c r="F8216" t="s">
        <v>63</v>
      </c>
      <c r="G8216" t="str">
        <f t="shared" si="334"/>
        <v>002SUMMER ROMANCE</v>
      </c>
      <c r="H8216" s="5">
        <f>VLOOKUP(G8216,[2]Astroflores!$G$2:$H$109,2,FALSE)</f>
        <v>1225</v>
      </c>
      <c r="I8216" s="6">
        <v>951.10714281909407</v>
      </c>
      <c r="J8216" s="5">
        <v>7200</v>
      </c>
      <c r="K8216" s="6">
        <f t="shared" ref="K8216:K8275" si="336">+H8216/I8216</f>
        <v>1.2879726634888724</v>
      </c>
    </row>
    <row r="8217" spans="1:11" hidden="1">
      <c r="A8217" s="4">
        <v>2026</v>
      </c>
      <c r="B8217">
        <v>24</v>
      </c>
      <c r="C8217" t="s">
        <v>54</v>
      </c>
      <c r="D8217" t="s">
        <v>11</v>
      </c>
      <c r="E8217" t="s">
        <v>12</v>
      </c>
      <c r="F8217" t="s">
        <v>64</v>
      </c>
      <c r="G8217" t="str">
        <f t="shared" si="334"/>
        <v>002SWEETNESS</v>
      </c>
      <c r="H8217" s="5">
        <f>VLOOKUP(G8217,[2]Astroflores!$G$2:$H$109,2,FALSE)</f>
        <v>7170</v>
      </c>
      <c r="I8217" s="6">
        <v>3804.4285712763772</v>
      </c>
      <c r="J8217" s="5">
        <v>28800</v>
      </c>
      <c r="K8217" s="6">
        <f t="shared" si="336"/>
        <v>1.8846457137173904</v>
      </c>
    </row>
    <row r="8218" spans="1:11" hidden="1">
      <c r="A8218" s="4">
        <v>2026</v>
      </c>
      <c r="B8218">
        <v>24</v>
      </c>
      <c r="C8218" t="s">
        <v>54</v>
      </c>
      <c r="D8218" t="s">
        <v>11</v>
      </c>
      <c r="E8218" t="s">
        <v>65</v>
      </c>
      <c r="F8218" t="s">
        <v>66</v>
      </c>
      <c r="G8218" t="str">
        <f t="shared" si="334"/>
        <v>003CABARET</v>
      </c>
      <c r="H8218" s="5">
        <f>VLOOKUP(G8218,[2]Astroflores!$G$2:$H$109,2,FALSE)</f>
        <v>3510</v>
      </c>
      <c r="I8218" s="6">
        <v>2641.8965516184649</v>
      </c>
      <c r="J8218" s="5">
        <v>20000</v>
      </c>
      <c r="K8218" s="6">
        <f t="shared" si="336"/>
        <v>1.3285910070361091</v>
      </c>
    </row>
    <row r="8219" spans="1:11" hidden="1">
      <c r="A8219" s="4">
        <v>2026</v>
      </c>
      <c r="B8219">
        <v>24</v>
      </c>
      <c r="C8219" t="s">
        <v>54</v>
      </c>
      <c r="D8219" t="s">
        <v>11</v>
      </c>
      <c r="E8219" t="s">
        <v>65</v>
      </c>
      <c r="F8219" t="s">
        <v>67</v>
      </c>
      <c r="G8219" t="str">
        <f t="shared" si="334"/>
        <v>003DEEP PURPLE</v>
      </c>
      <c r="H8219" s="5">
        <f>VLOOKUP(G8219,[2]Astroflores!$G$2:$H$109,2,FALSE)</f>
        <v>9810</v>
      </c>
      <c r="I8219" s="6">
        <v>3592.9793102010913</v>
      </c>
      <c r="J8219" s="5">
        <v>26044</v>
      </c>
      <c r="K8219" s="6">
        <f t="shared" si="336"/>
        <v>2.7303246562393801</v>
      </c>
    </row>
    <row r="8220" spans="1:11" hidden="1">
      <c r="A8220" s="4">
        <v>2026</v>
      </c>
      <c r="B8220">
        <v>24</v>
      </c>
      <c r="C8220" t="s">
        <v>54</v>
      </c>
      <c r="D8220" t="s">
        <v>11</v>
      </c>
      <c r="E8220" t="s">
        <v>65</v>
      </c>
      <c r="F8220" t="s">
        <v>57</v>
      </c>
      <c r="G8220" t="str">
        <f t="shared" si="334"/>
        <v>003EXPLORER</v>
      </c>
      <c r="H8220" s="5">
        <f>VLOOKUP(G8220,[2]Astroflores!$G$2:$H$109,2,FALSE)</f>
        <v>2475</v>
      </c>
      <c r="I8220" s="6">
        <v>1268.1103447768633</v>
      </c>
      <c r="J8220" s="5">
        <v>9600</v>
      </c>
      <c r="K8220" s="6">
        <f t="shared" si="336"/>
        <v>1.9517229002934291</v>
      </c>
    </row>
    <row r="8221" spans="1:11" hidden="1">
      <c r="A8221" s="4">
        <v>2026</v>
      </c>
      <c r="B8221">
        <v>24</v>
      </c>
      <c r="C8221" t="s">
        <v>54</v>
      </c>
      <c r="D8221" t="s">
        <v>11</v>
      </c>
      <c r="E8221" t="s">
        <v>65</v>
      </c>
      <c r="F8221" t="s">
        <v>68</v>
      </c>
      <c r="G8221" t="str">
        <f t="shared" si="334"/>
        <v>003JOCKER</v>
      </c>
      <c r="H8221" s="5">
        <f>VLOOKUP(G8221,[2]Astroflores!$G$2:$H$109,2,FALSE)</f>
        <v>725</v>
      </c>
      <c r="I8221" s="6">
        <v>528.37931032368999</v>
      </c>
      <c r="J8221" s="5">
        <v>4000</v>
      </c>
      <c r="K8221" s="6">
        <f t="shared" si="336"/>
        <v>1.3721203420244794</v>
      </c>
    </row>
    <row r="8222" spans="1:11" hidden="1">
      <c r="A8222" s="4">
        <v>2026</v>
      </c>
      <c r="B8222">
        <v>24</v>
      </c>
      <c r="C8222" t="s">
        <v>54</v>
      </c>
      <c r="D8222" t="s">
        <v>11</v>
      </c>
      <c r="E8222" t="s">
        <v>65</v>
      </c>
      <c r="F8222" t="s">
        <v>69</v>
      </c>
      <c r="G8222" t="str">
        <f t="shared" si="334"/>
        <v>003QUICKSAND</v>
      </c>
      <c r="H8222" s="5">
        <f>VLOOKUP(G8222,[2]Astroflores!$G$2:$H$109,2,FALSE)</f>
        <v>1770</v>
      </c>
      <c r="I8222" s="6">
        <v>1162.4344827121247</v>
      </c>
      <c r="J8222" s="5">
        <v>8800</v>
      </c>
      <c r="K8222" s="6">
        <f t="shared" si="336"/>
        <v>1.5226664610553695</v>
      </c>
    </row>
    <row r="8223" spans="1:11" hidden="1">
      <c r="A8223" s="4">
        <v>2026</v>
      </c>
      <c r="B8223">
        <v>24</v>
      </c>
      <c r="C8223" t="s">
        <v>54</v>
      </c>
      <c r="D8223" t="s">
        <v>11</v>
      </c>
      <c r="E8223" t="s">
        <v>14</v>
      </c>
      <c r="F8223" t="s">
        <v>70</v>
      </c>
      <c r="G8223" t="str">
        <f t="shared" si="334"/>
        <v>004COTOPAXI</v>
      </c>
      <c r="H8223" s="5">
        <f>VLOOKUP(G8223,[2]Astroflores!$G$2:$H$109,2,FALSE)</f>
        <v>990</v>
      </c>
      <c r="I8223" s="6">
        <v>528.3915024419166</v>
      </c>
      <c r="J8223" s="5">
        <v>4000</v>
      </c>
      <c r="K8223" s="6">
        <f t="shared" si="336"/>
        <v>1.8736107515446383</v>
      </c>
    </row>
    <row r="8224" spans="1:11" hidden="1">
      <c r="A8224" s="4">
        <v>2026</v>
      </c>
      <c r="B8224">
        <v>24</v>
      </c>
      <c r="C8224" t="s">
        <v>54</v>
      </c>
      <c r="D8224" t="s">
        <v>11</v>
      </c>
      <c r="E8224" t="s">
        <v>14</v>
      </c>
      <c r="F8224" t="s">
        <v>67</v>
      </c>
      <c r="G8224" t="str">
        <f t="shared" si="334"/>
        <v>004DEEP PURPLE</v>
      </c>
      <c r="H8224" s="5">
        <f>VLOOKUP(G8224,[2]Astroflores!$G$2:$H$109,2,FALSE)</f>
        <v>10110</v>
      </c>
      <c r="I8224" s="6">
        <v>3910.1071427007282</v>
      </c>
      <c r="J8224" s="5">
        <v>29260</v>
      </c>
      <c r="K8224" s="6">
        <f t="shared" si="336"/>
        <v>2.5856068979779869</v>
      </c>
    </row>
    <row r="8225" spans="1:11" hidden="1">
      <c r="A8225" s="4">
        <v>2026</v>
      </c>
      <c r="B8225">
        <v>24</v>
      </c>
      <c r="C8225" t="s">
        <v>54</v>
      </c>
      <c r="D8225" t="s">
        <v>11</v>
      </c>
      <c r="E8225" t="s">
        <v>14</v>
      </c>
      <c r="F8225" t="s">
        <v>71</v>
      </c>
      <c r="G8225" t="str">
        <f t="shared" si="334"/>
        <v>004HOT EXPLORER</v>
      </c>
      <c r="H8225" s="5">
        <f>VLOOKUP(G8225,[2]Astroflores!$G$2:$H$109,2,FALSE)</f>
        <v>3325</v>
      </c>
      <c r="I8225" s="6">
        <v>1902.2142856381945</v>
      </c>
      <c r="J8225" s="5">
        <v>14400</v>
      </c>
      <c r="K8225" s="6">
        <f t="shared" si="336"/>
        <v>1.7479629004491781</v>
      </c>
    </row>
    <row r="8226" spans="1:11" hidden="1">
      <c r="A8226" s="4">
        <v>2026</v>
      </c>
      <c r="B8226">
        <v>24</v>
      </c>
      <c r="C8226" t="s">
        <v>54</v>
      </c>
      <c r="D8226" t="s">
        <v>11</v>
      </c>
      <c r="E8226" t="s">
        <v>14</v>
      </c>
      <c r="F8226" t="s">
        <v>72</v>
      </c>
      <c r="G8226" t="str">
        <f t="shared" si="334"/>
        <v>004HOT MERENGUE</v>
      </c>
      <c r="H8226" s="5">
        <f>VLOOKUP(G8226,[2]Astroflores!$G$2:$H$109,2,FALSE)</f>
        <v>2730</v>
      </c>
      <c r="I8226" s="6">
        <v>1162.4642856677858</v>
      </c>
      <c r="J8226" s="5">
        <v>8800</v>
      </c>
      <c r="K8226" s="6">
        <f t="shared" si="336"/>
        <v>2.3484592461537277</v>
      </c>
    </row>
    <row r="8227" spans="1:11" hidden="1">
      <c r="A8227" s="4">
        <v>2026</v>
      </c>
      <c r="B8227">
        <v>24</v>
      </c>
      <c r="C8227" t="s">
        <v>54</v>
      </c>
      <c r="D8227" t="s">
        <v>11</v>
      </c>
      <c r="E8227" t="s">
        <v>14</v>
      </c>
      <c r="F8227" t="s">
        <v>64</v>
      </c>
      <c r="G8227" t="str">
        <f t="shared" si="334"/>
        <v>004SWEETNESS</v>
      </c>
      <c r="H8227" s="5">
        <f>VLOOKUP(G8227,[2]Astroflores!$G$2:$H$109,2,FALSE)</f>
        <v>630</v>
      </c>
      <c r="I8227" s="6">
        <v>317.03571427303262</v>
      </c>
      <c r="J8227" s="5">
        <v>2400</v>
      </c>
      <c r="K8227" s="6">
        <f t="shared" si="336"/>
        <v>1.9871578236685381</v>
      </c>
    </row>
    <row r="8228" spans="1:11" hidden="1">
      <c r="A8228" s="4">
        <v>2026</v>
      </c>
      <c r="B8228">
        <v>24</v>
      </c>
      <c r="C8228" t="s">
        <v>54</v>
      </c>
      <c r="D8228" t="s">
        <v>11</v>
      </c>
      <c r="E8228" t="s">
        <v>16</v>
      </c>
      <c r="F8228" t="s">
        <v>57</v>
      </c>
      <c r="G8228" t="str">
        <f t="shared" si="334"/>
        <v>005EXPLORER</v>
      </c>
      <c r="H8228" s="5">
        <f>VLOOKUP(G8228,[2]Astroflores!$G$2:$H$109,2,FALSE)</f>
        <v>1400</v>
      </c>
      <c r="I8228" s="6">
        <v>951.10714281875391</v>
      </c>
      <c r="J8228" s="5">
        <v>7200</v>
      </c>
      <c r="K8228" s="6">
        <f t="shared" si="336"/>
        <v>1.4719687582735235</v>
      </c>
    </row>
    <row r="8229" spans="1:11" hidden="1">
      <c r="A8229" s="4">
        <v>2026</v>
      </c>
      <c r="B8229">
        <v>24</v>
      </c>
      <c r="C8229" t="s">
        <v>54</v>
      </c>
      <c r="D8229" t="s">
        <v>11</v>
      </c>
      <c r="E8229" t="s">
        <v>16</v>
      </c>
      <c r="F8229" t="s">
        <v>73</v>
      </c>
      <c r="G8229" t="str">
        <f t="shared" si="334"/>
        <v>005GOLDFINCH</v>
      </c>
      <c r="H8229" s="5">
        <f>VLOOKUP(G8229,[2]Astroflores!$G$2:$H$109,2,FALSE)</f>
        <v>925</v>
      </c>
      <c r="I8229" s="6">
        <v>898.26785710660101</v>
      </c>
      <c r="J8229" s="5">
        <v>6800</v>
      </c>
      <c r="K8229" s="6">
        <f t="shared" si="336"/>
        <v>1.0297596565232843</v>
      </c>
    </row>
    <row r="8230" spans="1:11" hidden="1">
      <c r="A8230" s="4">
        <v>2026</v>
      </c>
      <c r="B8230">
        <v>24</v>
      </c>
      <c r="C8230" t="s">
        <v>54</v>
      </c>
      <c r="D8230" t="s">
        <v>11</v>
      </c>
      <c r="E8230" t="s">
        <v>16</v>
      </c>
      <c r="F8230" t="s">
        <v>68</v>
      </c>
      <c r="G8230" t="str">
        <f t="shared" si="334"/>
        <v>005JOCKER</v>
      </c>
      <c r="H8230" s="5">
        <f>VLOOKUP(G8230,[2]Astroflores!$G$2:$H$109,2,FALSE)</f>
        <v>1750</v>
      </c>
      <c r="I8230" s="6">
        <v>1162.4642856673661</v>
      </c>
      <c r="J8230" s="5">
        <v>8800</v>
      </c>
      <c r="K8230" s="6">
        <f t="shared" si="336"/>
        <v>1.5054225936888306</v>
      </c>
    </row>
    <row r="8231" spans="1:11" hidden="1">
      <c r="A8231" s="4">
        <v>2026</v>
      </c>
      <c r="B8231">
        <v>24</v>
      </c>
      <c r="C8231" t="s">
        <v>54</v>
      </c>
      <c r="D8231" t="s">
        <v>11</v>
      </c>
      <c r="E8231" t="s">
        <v>16</v>
      </c>
      <c r="F8231" t="s">
        <v>74</v>
      </c>
      <c r="G8231" t="str">
        <f t="shared" si="334"/>
        <v>005VENDELA</v>
      </c>
      <c r="H8231" s="5">
        <f>VLOOKUP(G8231,[2]Astroflores!$G$2:$H$109,2,FALSE)</f>
        <v>1770</v>
      </c>
      <c r="I8231" s="6">
        <v>686.91071425798896</v>
      </c>
      <c r="J8231" s="5">
        <v>5200</v>
      </c>
      <c r="K8231" s="6">
        <f t="shared" si="336"/>
        <v>2.5767541010216735</v>
      </c>
    </row>
    <row r="8232" spans="1:11" hidden="1">
      <c r="A8232" s="4">
        <v>2026</v>
      </c>
      <c r="B8232">
        <v>24</v>
      </c>
      <c r="C8232" t="s">
        <v>54</v>
      </c>
      <c r="D8232" t="s">
        <v>11</v>
      </c>
      <c r="E8232" t="s">
        <v>75</v>
      </c>
      <c r="F8232" t="s">
        <v>76</v>
      </c>
      <c r="G8232" t="str">
        <f t="shared" si="334"/>
        <v>006ATOMIC</v>
      </c>
      <c r="H8232" s="5">
        <f>VLOOKUP(G8232,[2]Astroflores!$G$2:$H$109,2,FALSE)</f>
        <v>975</v>
      </c>
      <c r="I8232" s="6">
        <v>845.428571394752</v>
      </c>
      <c r="J8232" s="5">
        <v>6400</v>
      </c>
      <c r="K8232" s="6">
        <f t="shared" si="336"/>
        <v>1.1532612369504931</v>
      </c>
    </row>
    <row r="8233" spans="1:11" hidden="1">
      <c r="A8233" s="4">
        <v>2026</v>
      </c>
      <c r="B8233">
        <v>24</v>
      </c>
      <c r="C8233" t="s">
        <v>54</v>
      </c>
      <c r="D8233" t="s">
        <v>11</v>
      </c>
      <c r="E8233" t="s">
        <v>75</v>
      </c>
      <c r="F8233" t="s">
        <v>57</v>
      </c>
      <c r="G8233" t="str">
        <f t="shared" si="334"/>
        <v>006EXPLORER</v>
      </c>
      <c r="H8233" s="5">
        <f>VLOOKUP(G8233,[2]Astroflores!$G$2:$H$109,2,FALSE)</f>
        <v>5750</v>
      </c>
      <c r="I8233" s="6">
        <v>3910.1071427007355</v>
      </c>
      <c r="J8233" s="5">
        <v>29600</v>
      </c>
      <c r="K8233" s="6">
        <f t="shared" si="336"/>
        <v>1.470547939008249</v>
      </c>
    </row>
    <row r="8234" spans="1:11" hidden="1">
      <c r="A8234" s="4">
        <v>2026</v>
      </c>
      <c r="B8234">
        <v>24</v>
      </c>
      <c r="C8234" t="s">
        <v>54</v>
      </c>
      <c r="D8234" t="s">
        <v>11</v>
      </c>
      <c r="E8234" t="s">
        <v>75</v>
      </c>
      <c r="F8234" t="s">
        <v>77</v>
      </c>
      <c r="G8234" t="str">
        <f t="shared" si="334"/>
        <v>006MONDIAL</v>
      </c>
      <c r="H8234" s="5">
        <f>VLOOKUP(G8234,[2]Astroflores!$G$2:$H$109,2,FALSE)</f>
        <v>5700</v>
      </c>
      <c r="I8234" s="6">
        <v>4015.7857141250793</v>
      </c>
      <c r="J8234" s="5">
        <v>30400</v>
      </c>
      <c r="K8234" s="6">
        <f t="shared" si="336"/>
        <v>1.4193984454775275</v>
      </c>
    </row>
    <row r="8235" spans="1:11" hidden="1">
      <c r="A8235" s="4">
        <v>2026</v>
      </c>
      <c r="B8235">
        <v>24</v>
      </c>
      <c r="C8235" t="s">
        <v>54</v>
      </c>
      <c r="D8235" t="s">
        <v>11</v>
      </c>
      <c r="E8235" t="s">
        <v>20</v>
      </c>
      <c r="F8235" t="s">
        <v>70</v>
      </c>
      <c r="G8235" t="str">
        <f t="shared" si="334"/>
        <v>007COTOPAXI</v>
      </c>
      <c r="H8235" s="5">
        <f>VLOOKUP(G8235,[2]Astroflores!$G$2:$H$109,2,FALSE)</f>
        <v>5880</v>
      </c>
      <c r="I8235" s="6">
        <v>2747.5751230427709</v>
      </c>
      <c r="J8235" s="5">
        <v>20800</v>
      </c>
      <c r="K8235" s="6">
        <f t="shared" si="336"/>
        <v>2.1400688740725897</v>
      </c>
    </row>
    <row r="8236" spans="1:11" hidden="1">
      <c r="A8236" s="4">
        <v>2026</v>
      </c>
      <c r="B8236">
        <v>24</v>
      </c>
      <c r="C8236" t="s">
        <v>54</v>
      </c>
      <c r="D8236" t="s">
        <v>11</v>
      </c>
      <c r="E8236" t="s">
        <v>20</v>
      </c>
      <c r="F8236" t="s">
        <v>78</v>
      </c>
      <c r="G8236" t="str">
        <f t="shared" si="334"/>
        <v>007REDIANT</v>
      </c>
      <c r="H8236" s="5">
        <f>VLOOKUP(G8236,[2]Astroflores!$G$2:$H$109,2,FALSE)</f>
        <v>1500</v>
      </c>
      <c r="I8236" s="6">
        <v>1056.75862064738</v>
      </c>
      <c r="J8236" s="5">
        <v>9600</v>
      </c>
      <c r="K8236" s="6">
        <f t="shared" si="336"/>
        <v>1.4194348365770475</v>
      </c>
    </row>
    <row r="8237" spans="1:11" hidden="1">
      <c r="A8237" s="4">
        <v>2026</v>
      </c>
      <c r="B8237">
        <v>24</v>
      </c>
      <c r="C8237" t="s">
        <v>54</v>
      </c>
      <c r="D8237" t="s">
        <v>11</v>
      </c>
      <c r="E8237" t="s">
        <v>20</v>
      </c>
      <c r="F8237" t="s">
        <v>74</v>
      </c>
      <c r="G8237" t="str">
        <f t="shared" si="334"/>
        <v>007VENDELA</v>
      </c>
      <c r="H8237" s="5">
        <f>VLOOKUP(G8237,[2]Astroflores!$G$2:$H$109,2,FALSE)</f>
        <v>9990</v>
      </c>
      <c r="I8237" s="6">
        <v>3592.9793102011122</v>
      </c>
      <c r="J8237" s="5">
        <v>27820</v>
      </c>
      <c r="K8237" s="6">
        <f t="shared" si="336"/>
        <v>2.7804223563538479</v>
      </c>
    </row>
    <row r="8238" spans="1:11" hidden="1">
      <c r="A8238" s="4">
        <v>2026</v>
      </c>
      <c r="B8238">
        <v>24</v>
      </c>
      <c r="C8238" t="s">
        <v>54</v>
      </c>
      <c r="D8238" t="s">
        <v>11</v>
      </c>
      <c r="E8238" t="s">
        <v>79</v>
      </c>
      <c r="F8238" t="s">
        <v>67</v>
      </c>
      <c r="G8238" t="str">
        <f t="shared" si="334"/>
        <v>008DEEP PURPLE</v>
      </c>
      <c r="H8238" s="5">
        <f>VLOOKUP(G8238,[2]Astroflores!$G$2:$H$109,2,FALSE)</f>
        <v>3540</v>
      </c>
      <c r="I8238" s="6">
        <v>1585.2222221588099</v>
      </c>
      <c r="J8238" s="5">
        <v>11490</v>
      </c>
      <c r="K8238" s="6">
        <f t="shared" si="336"/>
        <v>2.2331253943558189</v>
      </c>
    </row>
    <row r="8239" spans="1:11" hidden="1">
      <c r="A8239" s="4">
        <v>2026</v>
      </c>
      <c r="B8239">
        <v>24</v>
      </c>
      <c r="C8239" t="s">
        <v>54</v>
      </c>
      <c r="D8239" t="s">
        <v>11</v>
      </c>
      <c r="E8239" t="s">
        <v>79</v>
      </c>
      <c r="F8239" t="s">
        <v>81</v>
      </c>
      <c r="G8239" t="str">
        <f t="shared" si="334"/>
        <v>008FREEDOM</v>
      </c>
      <c r="H8239" s="5">
        <f>VLOOKUP(G8239,[2]Astroflores!$G$2:$H$109,2,FALSE)</f>
        <v>3720</v>
      </c>
      <c r="I8239" s="6">
        <v>2219.311111022334</v>
      </c>
      <c r="J8239" s="5">
        <v>16800</v>
      </c>
      <c r="K8239" s="6">
        <f t="shared" si="336"/>
        <v>1.6761958165866921</v>
      </c>
    </row>
    <row r="8240" spans="1:11" hidden="1">
      <c r="A8240" s="4">
        <v>2026</v>
      </c>
      <c r="B8240">
        <v>24</v>
      </c>
      <c r="C8240" t="s">
        <v>54</v>
      </c>
      <c r="D8240" t="s">
        <v>11</v>
      </c>
      <c r="E8240" t="s">
        <v>79</v>
      </c>
      <c r="F8240" t="s">
        <v>68</v>
      </c>
      <c r="G8240" t="str">
        <f t="shared" si="334"/>
        <v>008JOCKER</v>
      </c>
      <c r="H8240" s="5">
        <f>VLOOKUP(G8240,[2]Astroflores!$G$2:$H$109,2,FALSE)</f>
        <v>3325</v>
      </c>
      <c r="I8240" s="6">
        <v>2959.0814813631118</v>
      </c>
      <c r="J8240" s="5">
        <v>22400</v>
      </c>
      <c r="K8240" s="6">
        <f t="shared" si="336"/>
        <v>1.1236594939820064</v>
      </c>
    </row>
    <row r="8241" spans="1:11" hidden="1">
      <c r="A8241" s="4">
        <v>2026</v>
      </c>
      <c r="B8241">
        <v>24</v>
      </c>
      <c r="C8241" t="s">
        <v>54</v>
      </c>
      <c r="D8241" t="s">
        <v>11</v>
      </c>
      <c r="E8241" t="s">
        <v>82</v>
      </c>
      <c r="F8241" t="s">
        <v>83</v>
      </c>
      <c r="G8241" t="str">
        <f t="shared" si="334"/>
        <v>010COOLDOWN</v>
      </c>
      <c r="H8241" s="5">
        <f>VLOOKUP(G8241,[2]Astroflores!$G$2:$H$109,2,FALSE)</f>
        <v>2825</v>
      </c>
      <c r="I8241" s="6">
        <v>1912.3542857142861</v>
      </c>
      <c r="J8241" s="5">
        <v>16320</v>
      </c>
      <c r="K8241" s="6">
        <f t="shared" si="336"/>
        <v>1.4772367343767738</v>
      </c>
    </row>
    <row r="8242" spans="1:11" hidden="1">
      <c r="A8242" s="4">
        <v>2026</v>
      </c>
      <c r="B8242">
        <v>24</v>
      </c>
      <c r="C8242" t="s">
        <v>54</v>
      </c>
      <c r="D8242" t="s">
        <v>11</v>
      </c>
      <c r="E8242" t="s">
        <v>82</v>
      </c>
      <c r="F8242" t="s">
        <v>84</v>
      </c>
      <c r="G8242" t="str">
        <f t="shared" si="334"/>
        <v>010VIOLET HILL</v>
      </c>
      <c r="H8242" s="5">
        <f>VLOOKUP(G8242,[2]Astroflores!$G$2:$H$109,2,FALSE)</f>
        <v>3300</v>
      </c>
      <c r="I8242" s="6">
        <v>2812.2857142428579</v>
      </c>
      <c r="J8242" s="5">
        <v>20000</v>
      </c>
      <c r="K8242" s="6">
        <f t="shared" si="336"/>
        <v>1.1734227369883177</v>
      </c>
    </row>
    <row r="8243" spans="1:11" hidden="1">
      <c r="A8243" s="4">
        <v>2026</v>
      </c>
      <c r="B8243">
        <v>24</v>
      </c>
      <c r="C8243" t="s">
        <v>54</v>
      </c>
      <c r="D8243" t="s">
        <v>11</v>
      </c>
      <c r="E8243" t="s">
        <v>85</v>
      </c>
      <c r="F8243" t="s">
        <v>86</v>
      </c>
      <c r="G8243" t="str">
        <f t="shared" si="334"/>
        <v>011BRIGHTON</v>
      </c>
      <c r="H8243" s="5">
        <f>VLOOKUP(G8243,[2]Astroflores!$G$2:$H$109,2,FALSE)</f>
        <v>3750</v>
      </c>
      <c r="I8243" s="6">
        <v>1768.8376470588223</v>
      </c>
      <c r="J8243" s="5">
        <v>12800</v>
      </c>
      <c r="K8243" s="6">
        <f t="shared" si="336"/>
        <v>2.120036288370164</v>
      </c>
    </row>
    <row r="8244" spans="1:11" hidden="1">
      <c r="A8244" s="4">
        <v>2026</v>
      </c>
      <c r="B8244">
        <v>24</v>
      </c>
      <c r="C8244" t="s">
        <v>54</v>
      </c>
      <c r="D8244" t="s">
        <v>11</v>
      </c>
      <c r="E8244" t="s">
        <v>85</v>
      </c>
      <c r="F8244" t="s">
        <v>87</v>
      </c>
      <c r="G8244" t="str">
        <f t="shared" si="334"/>
        <v>011CANDLELIGHT</v>
      </c>
      <c r="H8244" s="5">
        <f>VLOOKUP(G8244,[2]Astroflores!$G$2:$H$109,2,FALSE)</f>
        <v>3640</v>
      </c>
      <c r="I8244" s="6">
        <v>2263.7999998868127</v>
      </c>
      <c r="J8244" s="5">
        <v>17920</v>
      </c>
      <c r="K8244" s="6">
        <f t="shared" si="336"/>
        <v>1.6079158937105733</v>
      </c>
    </row>
    <row r="8245" spans="1:11" hidden="1">
      <c r="A8245" s="4">
        <v>2026</v>
      </c>
      <c r="B8245">
        <v>24</v>
      </c>
      <c r="C8245" t="s">
        <v>54</v>
      </c>
      <c r="D8245" t="s">
        <v>11</v>
      </c>
      <c r="E8245" t="s">
        <v>85</v>
      </c>
      <c r="F8245" t="s">
        <v>88</v>
      </c>
      <c r="G8245" t="str">
        <f t="shared" si="334"/>
        <v>011CAYENNE</v>
      </c>
      <c r="H8245" s="5">
        <f>VLOOKUP(G8245,[2]Astroflores!$G$2:$H$109,2,FALSE)</f>
        <v>1890</v>
      </c>
      <c r="I8245" s="6">
        <v>994.97117647058747</v>
      </c>
      <c r="J8245" s="5">
        <v>7200</v>
      </c>
      <c r="K8245" s="6">
        <f t="shared" si="336"/>
        <v>1.8995525143796672</v>
      </c>
    </row>
    <row r="8246" spans="1:11" hidden="1">
      <c r="A8246" s="4">
        <v>2026</v>
      </c>
      <c r="B8246">
        <v>24</v>
      </c>
      <c r="C8246" t="s">
        <v>54</v>
      </c>
      <c r="D8246" t="s">
        <v>11</v>
      </c>
      <c r="E8246" t="s">
        <v>85</v>
      </c>
      <c r="F8246" t="s">
        <v>61</v>
      </c>
      <c r="G8246" t="str">
        <f t="shared" si="334"/>
        <v>011LUMIA</v>
      </c>
      <c r="H8246" s="5">
        <f>VLOOKUP(G8246,[2]Astroflores!$G$2:$H$109,2,FALSE)</f>
        <v>1440</v>
      </c>
      <c r="I8246" s="6">
        <v>994.97117647058747</v>
      </c>
      <c r="J8246" s="5">
        <v>7920</v>
      </c>
      <c r="K8246" s="6">
        <f t="shared" si="336"/>
        <v>1.4472781061940321</v>
      </c>
    </row>
    <row r="8247" spans="1:11" hidden="1">
      <c r="A8247" s="4">
        <v>2026</v>
      </c>
      <c r="B8247">
        <v>24</v>
      </c>
      <c r="C8247" t="s">
        <v>54</v>
      </c>
      <c r="D8247" t="s">
        <v>11</v>
      </c>
      <c r="E8247" t="s">
        <v>85</v>
      </c>
      <c r="F8247" t="s">
        <v>89</v>
      </c>
      <c r="G8247" t="str">
        <f t="shared" si="334"/>
        <v>011STARDUST</v>
      </c>
      <c r="H8247" s="5">
        <f>VLOOKUP(G8247,[2]Astroflores!$G$2:$H$109,2,FALSE)</f>
        <v>3075</v>
      </c>
      <c r="I8247" s="6">
        <v>2263.7999998868127</v>
      </c>
      <c r="J8247" s="5">
        <v>17920</v>
      </c>
      <c r="K8247" s="6">
        <f t="shared" si="336"/>
        <v>1.3583355420769265</v>
      </c>
    </row>
    <row r="8248" spans="1:11" hidden="1">
      <c r="A8248" s="4">
        <v>2026</v>
      </c>
      <c r="B8248">
        <v>24</v>
      </c>
      <c r="C8248" t="s">
        <v>54</v>
      </c>
      <c r="D8248" t="s">
        <v>11</v>
      </c>
      <c r="E8248" t="s">
        <v>90</v>
      </c>
      <c r="F8248" t="s">
        <v>67</v>
      </c>
      <c r="G8248" t="str">
        <f t="shared" si="334"/>
        <v>012DEEP PURPLE</v>
      </c>
      <c r="H8248" s="5">
        <f>VLOOKUP(G8248,[2]Astroflores!$G$2:$H$109,2,FALSE)</f>
        <v>11370</v>
      </c>
      <c r="I8248" s="6">
        <v>6727.0499997982479</v>
      </c>
      <c r="J8248" s="5">
        <v>49210</v>
      </c>
      <c r="K8248" s="6">
        <f t="shared" si="336"/>
        <v>1.6901910942152949</v>
      </c>
    </row>
    <row r="8249" spans="1:11" hidden="1">
      <c r="A8249" s="4">
        <v>2026</v>
      </c>
      <c r="B8249">
        <v>24</v>
      </c>
      <c r="C8249" t="s">
        <v>54</v>
      </c>
      <c r="D8249" t="s">
        <v>11</v>
      </c>
      <c r="E8249" t="s">
        <v>90</v>
      </c>
      <c r="F8249" t="s">
        <v>60</v>
      </c>
      <c r="G8249" t="str">
        <f t="shared" si="334"/>
        <v>012LIGHT HOUSE</v>
      </c>
      <c r="H8249" s="5">
        <f>VLOOKUP(G8249,[2]Astroflores!$G$2:$H$109,2,FALSE)</f>
        <v>1110</v>
      </c>
      <c r="I8249" s="6">
        <v>994.95</v>
      </c>
      <c r="J8249" s="5">
        <v>7200</v>
      </c>
      <c r="K8249" s="6">
        <f t="shared" si="336"/>
        <v>1.115633951454847</v>
      </c>
    </row>
    <row r="8250" spans="1:11" hidden="1">
      <c r="A8250" s="4">
        <v>2026</v>
      </c>
      <c r="B8250">
        <v>24</v>
      </c>
      <c r="C8250" t="s">
        <v>54</v>
      </c>
      <c r="D8250" t="s">
        <v>11</v>
      </c>
      <c r="E8250" t="s">
        <v>91</v>
      </c>
      <c r="F8250" t="s">
        <v>92</v>
      </c>
      <c r="G8250" t="str">
        <f t="shared" si="334"/>
        <v>013COUNTRY BLUES</v>
      </c>
      <c r="H8250" s="5">
        <f>VLOOKUP(G8250,[2]Astroflores!$G$2:$H$109,2,FALSE)</f>
        <v>1560</v>
      </c>
      <c r="I8250" s="6">
        <v>831.6</v>
      </c>
      <c r="J8250" s="5">
        <v>6300</v>
      </c>
      <c r="K8250" s="6">
        <f t="shared" si="336"/>
        <v>1.875901875901876</v>
      </c>
    </row>
    <row r="8251" spans="1:11" hidden="1">
      <c r="A8251" s="4">
        <v>2026</v>
      </c>
      <c r="B8251">
        <v>24</v>
      </c>
      <c r="C8251" t="s">
        <v>54</v>
      </c>
      <c r="D8251" t="s">
        <v>11</v>
      </c>
      <c r="E8251" t="s">
        <v>91</v>
      </c>
      <c r="F8251" t="s">
        <v>93</v>
      </c>
      <c r="G8251" t="str">
        <f t="shared" si="334"/>
        <v>013LORRAINE</v>
      </c>
      <c r="H8251" s="5">
        <f>VLOOKUP(G8251,[2]Astroflores!$G$2:$H$109,2,FALSE)</f>
        <v>4100</v>
      </c>
      <c r="I8251" s="6">
        <v>1267.2</v>
      </c>
      <c r="J8251" s="5">
        <v>9600</v>
      </c>
      <c r="K8251" s="6">
        <f t="shared" si="336"/>
        <v>3.235479797979798</v>
      </c>
    </row>
    <row r="8252" spans="1:11" hidden="1">
      <c r="A8252" s="4">
        <v>2026</v>
      </c>
      <c r="B8252">
        <v>24</v>
      </c>
      <c r="C8252" t="s">
        <v>54</v>
      </c>
      <c r="D8252" t="s">
        <v>11</v>
      </c>
      <c r="E8252" t="s">
        <v>91</v>
      </c>
      <c r="F8252" t="s">
        <v>61</v>
      </c>
      <c r="G8252" t="str">
        <f t="shared" si="334"/>
        <v>013LUMIA</v>
      </c>
      <c r="H8252" s="5">
        <f>VLOOKUP(G8252,[2]Astroflores!$G$2:$H$109,2,FALSE)</f>
        <v>450</v>
      </c>
      <c r="I8252" s="6">
        <v>316.8</v>
      </c>
      <c r="J8252" s="5">
        <v>2400</v>
      </c>
      <c r="K8252" s="6">
        <f t="shared" si="336"/>
        <v>1.4204545454545454</v>
      </c>
    </row>
    <row r="8253" spans="1:11" hidden="1">
      <c r="A8253" s="4">
        <v>2026</v>
      </c>
      <c r="B8253">
        <v>24</v>
      </c>
      <c r="C8253" t="s">
        <v>54</v>
      </c>
      <c r="D8253" t="s">
        <v>11</v>
      </c>
      <c r="E8253" t="s">
        <v>91</v>
      </c>
      <c r="F8253" t="s">
        <v>74</v>
      </c>
      <c r="G8253" t="str">
        <f t="shared" ref="G8253:G8315" si="337">+E8253&amp;F8253</f>
        <v>013VENDELA</v>
      </c>
      <c r="H8253" s="5">
        <f>VLOOKUP(G8253,[2]Astroflores!$G$2:$H$109,2,FALSE)</f>
        <v>11179</v>
      </c>
      <c r="I8253" s="6">
        <v>3603.6</v>
      </c>
      <c r="J8253" s="5">
        <v>27296</v>
      </c>
      <c r="K8253" s="6">
        <f t="shared" si="336"/>
        <v>3.1021756021756022</v>
      </c>
    </row>
    <row r="8254" spans="1:11" hidden="1">
      <c r="A8254" s="4">
        <v>2026</v>
      </c>
      <c r="B8254">
        <v>24</v>
      </c>
      <c r="C8254" t="s">
        <v>54</v>
      </c>
      <c r="D8254" t="s">
        <v>11</v>
      </c>
      <c r="E8254" t="s">
        <v>23</v>
      </c>
      <c r="F8254" t="s">
        <v>89</v>
      </c>
      <c r="G8254" t="str">
        <f t="shared" si="337"/>
        <v>014STARDUST</v>
      </c>
      <c r="H8254" s="5">
        <f>VLOOKUP(G8254,[2]Astroflores!$G$2:$H$109,2,FALSE)</f>
        <v>4950</v>
      </c>
      <c r="I8254" s="6">
        <v>3682.8</v>
      </c>
      <c r="J8254" s="5">
        <v>27900</v>
      </c>
      <c r="K8254" s="6">
        <f t="shared" si="336"/>
        <v>1.3440860215053763</v>
      </c>
    </row>
    <row r="8255" spans="1:11" hidden="1">
      <c r="A8255" s="4">
        <v>2026</v>
      </c>
      <c r="B8255">
        <v>24</v>
      </c>
      <c r="C8255" t="s">
        <v>54</v>
      </c>
      <c r="D8255" t="s">
        <v>11</v>
      </c>
      <c r="E8255" t="s">
        <v>25</v>
      </c>
      <c r="F8255" t="s">
        <v>68</v>
      </c>
      <c r="G8255" t="str">
        <f t="shared" si="337"/>
        <v>015JOCKER</v>
      </c>
      <c r="H8255" s="5">
        <f>VLOOKUP(G8255,[2]Astroflores!$G$2:$H$109,2,FALSE)</f>
        <v>2550</v>
      </c>
      <c r="I8255" s="6">
        <v>2376</v>
      </c>
      <c r="J8255" s="5">
        <v>18000</v>
      </c>
      <c r="K8255" s="6">
        <f t="shared" si="336"/>
        <v>1.0732323232323233</v>
      </c>
    </row>
    <row r="8256" spans="1:11" hidden="1">
      <c r="A8256" s="4">
        <v>2026</v>
      </c>
      <c r="B8256">
        <v>24</v>
      </c>
      <c r="C8256" t="s">
        <v>54</v>
      </c>
      <c r="D8256" t="s">
        <v>11</v>
      </c>
      <c r="E8256" t="s">
        <v>27</v>
      </c>
      <c r="F8256" t="s">
        <v>94</v>
      </c>
      <c r="G8256" t="str">
        <f t="shared" si="337"/>
        <v>016DREAM IN PEACH</v>
      </c>
      <c r="H8256" s="5">
        <f>VLOOKUP(G8256,[2]Astroflores!$G$2:$H$109,2,FALSE)</f>
        <v>1410</v>
      </c>
      <c r="I8256" s="6">
        <v>950.4</v>
      </c>
      <c r="J8256" s="5">
        <v>7200</v>
      </c>
      <c r="K8256" s="6">
        <f t="shared" si="336"/>
        <v>1.4835858585858586</v>
      </c>
    </row>
    <row r="8257" spans="1:11" hidden="1">
      <c r="A8257" s="4">
        <v>2026</v>
      </c>
      <c r="B8257">
        <v>24</v>
      </c>
      <c r="C8257" t="s">
        <v>54</v>
      </c>
      <c r="D8257" t="s">
        <v>11</v>
      </c>
      <c r="E8257" t="s">
        <v>27</v>
      </c>
      <c r="F8257" t="s">
        <v>95</v>
      </c>
      <c r="G8257" t="str">
        <f t="shared" si="337"/>
        <v>016NINA</v>
      </c>
      <c r="H8257" s="5">
        <f>VLOOKUP(G8257,[2]Astroflores!$G$2:$H$109,2,FALSE)</f>
        <v>2850</v>
      </c>
      <c r="I8257" s="6">
        <v>1346.4</v>
      </c>
      <c r="J8257" s="5">
        <v>10200</v>
      </c>
      <c r="K8257" s="6">
        <f t="shared" si="336"/>
        <v>2.1167557932263814</v>
      </c>
    </row>
    <row r="8258" spans="1:11" hidden="1">
      <c r="A8258" s="4">
        <v>2026</v>
      </c>
      <c r="B8258">
        <v>24</v>
      </c>
      <c r="C8258" t="s">
        <v>54</v>
      </c>
      <c r="D8258" t="s">
        <v>11</v>
      </c>
      <c r="E8258" t="s">
        <v>30</v>
      </c>
      <c r="F8258" t="s">
        <v>81</v>
      </c>
      <c r="G8258" t="str">
        <f t="shared" si="337"/>
        <v>017FREEDOM</v>
      </c>
      <c r="H8258" s="5">
        <f>VLOOKUP(G8258,[2]Astroflores!$G$2:$H$109,2,FALSE)</f>
        <v>5190</v>
      </c>
      <c r="I8258" s="6">
        <v>2851.2</v>
      </c>
      <c r="J8258" s="5">
        <v>21600</v>
      </c>
      <c r="K8258" s="6">
        <f t="shared" si="336"/>
        <v>1.8202861952861955</v>
      </c>
    </row>
    <row r="8259" spans="1:11" hidden="1">
      <c r="A8259" s="4">
        <v>2026</v>
      </c>
      <c r="B8259">
        <v>24</v>
      </c>
      <c r="C8259" t="s">
        <v>54</v>
      </c>
      <c r="D8259" t="s">
        <v>11</v>
      </c>
      <c r="E8259" t="s">
        <v>30</v>
      </c>
      <c r="F8259" t="s">
        <v>73</v>
      </c>
      <c r="G8259" t="str">
        <f t="shared" si="337"/>
        <v>017GOLDFINCH</v>
      </c>
      <c r="H8259" s="5">
        <f>VLOOKUP(G8259,[2]Astroflores!$G$2:$H$109,2,FALSE)</f>
        <v>3475</v>
      </c>
      <c r="I8259" s="6">
        <v>2138.4</v>
      </c>
      <c r="J8259" s="5">
        <v>16200</v>
      </c>
      <c r="K8259" s="6">
        <f t="shared" si="336"/>
        <v>1.6250467639356527</v>
      </c>
    </row>
    <row r="8260" spans="1:11" hidden="1">
      <c r="A8260" s="4">
        <v>2026</v>
      </c>
      <c r="B8260">
        <v>24</v>
      </c>
      <c r="C8260" t="s">
        <v>54</v>
      </c>
      <c r="D8260" t="s">
        <v>11</v>
      </c>
      <c r="E8260" t="s">
        <v>32</v>
      </c>
      <c r="F8260" t="s">
        <v>86</v>
      </c>
      <c r="G8260" t="str">
        <f t="shared" si="337"/>
        <v>018BRIGHTON</v>
      </c>
      <c r="H8260" s="5">
        <f>VLOOKUP(G8260,[2]Astroflores!$G$2:$H$109,2,FALSE)</f>
        <v>1625</v>
      </c>
      <c r="I8260" s="6">
        <v>963.6</v>
      </c>
      <c r="J8260" s="5">
        <v>7570</v>
      </c>
      <c r="K8260" s="6">
        <f t="shared" si="336"/>
        <v>1.6863843918638439</v>
      </c>
    </row>
    <row r="8261" spans="1:11" hidden="1">
      <c r="A8261" s="4">
        <v>2026</v>
      </c>
      <c r="B8261">
        <v>24</v>
      </c>
      <c r="C8261" t="s">
        <v>54</v>
      </c>
      <c r="D8261" t="s">
        <v>11</v>
      </c>
      <c r="E8261" t="s">
        <v>35</v>
      </c>
      <c r="F8261" t="s">
        <v>86</v>
      </c>
      <c r="G8261" t="str">
        <f t="shared" si="337"/>
        <v>019BRIGHTON</v>
      </c>
      <c r="H8261" s="5">
        <f>VLOOKUP(G8261,[2]Astroflores!$G$2:$H$109,2,FALSE)</f>
        <v>8700</v>
      </c>
      <c r="I8261" s="6">
        <v>3168</v>
      </c>
      <c r="J8261" s="5">
        <v>24000</v>
      </c>
      <c r="K8261" s="6">
        <f t="shared" si="336"/>
        <v>2.7462121212121211</v>
      </c>
    </row>
    <row r="8262" spans="1:11" hidden="1">
      <c r="A8262" s="4">
        <v>2026</v>
      </c>
      <c r="B8262">
        <v>24</v>
      </c>
      <c r="C8262" t="s">
        <v>54</v>
      </c>
      <c r="D8262" t="s">
        <v>11</v>
      </c>
      <c r="E8262" t="s">
        <v>35</v>
      </c>
      <c r="F8262" t="s">
        <v>96</v>
      </c>
      <c r="G8262" t="str">
        <f t="shared" si="337"/>
        <v>019TABATHA</v>
      </c>
      <c r="H8262" s="5">
        <f>VLOOKUP(G8262,[2]Astroflores!$G$2:$H$109,2,FALSE)</f>
        <v>2040</v>
      </c>
      <c r="I8262" s="6">
        <v>1188</v>
      </c>
      <c r="J8262" s="5">
        <v>9000</v>
      </c>
      <c r="K8262" s="6">
        <f t="shared" si="336"/>
        <v>1.7171717171717171</v>
      </c>
    </row>
    <row r="8263" spans="1:11" hidden="1">
      <c r="A8263" s="4">
        <v>2026</v>
      </c>
      <c r="B8263">
        <v>24</v>
      </c>
      <c r="C8263" t="s">
        <v>54</v>
      </c>
      <c r="D8263" t="s">
        <v>11</v>
      </c>
      <c r="E8263" t="s">
        <v>36</v>
      </c>
      <c r="F8263" t="s">
        <v>86</v>
      </c>
      <c r="G8263" t="str">
        <f t="shared" si="337"/>
        <v>020BRIGHTON</v>
      </c>
      <c r="H8263" s="5">
        <f>VLOOKUP(G8263,[2]Astroflores!$G$2:$H$109,2,FALSE)</f>
        <v>5050</v>
      </c>
      <c r="I8263" s="6">
        <v>2732.4</v>
      </c>
      <c r="J8263" s="5">
        <v>20700</v>
      </c>
      <c r="K8263" s="6">
        <f t="shared" si="336"/>
        <v>1.8481920655833699</v>
      </c>
    </row>
    <row r="8264" spans="1:11" hidden="1">
      <c r="A8264" s="4">
        <v>2026</v>
      </c>
      <c r="B8264">
        <v>24</v>
      </c>
      <c r="C8264" t="s">
        <v>54</v>
      </c>
      <c r="D8264" t="s">
        <v>11</v>
      </c>
      <c r="E8264" t="s">
        <v>36</v>
      </c>
      <c r="F8264" t="s">
        <v>97</v>
      </c>
      <c r="G8264" t="str">
        <f t="shared" si="337"/>
        <v>020TYCOON</v>
      </c>
      <c r="H8264" s="5">
        <f>VLOOKUP(G8264,[2]Astroflores!$G$2:$H$109,2,FALSE)</f>
        <v>1110</v>
      </c>
      <c r="I8264" s="6">
        <v>673.2</v>
      </c>
      <c r="J8264" s="5">
        <v>5100</v>
      </c>
      <c r="K8264" s="6">
        <f t="shared" si="336"/>
        <v>1.6488413547237075</v>
      </c>
    </row>
    <row r="8265" spans="1:11" hidden="1">
      <c r="A8265" s="4">
        <v>2026</v>
      </c>
      <c r="B8265">
        <v>24</v>
      </c>
      <c r="C8265" t="s">
        <v>54</v>
      </c>
      <c r="D8265" t="s">
        <v>11</v>
      </c>
      <c r="E8265" t="s">
        <v>38</v>
      </c>
      <c r="F8265" t="s">
        <v>98</v>
      </c>
      <c r="G8265" t="str">
        <f t="shared" si="337"/>
        <v>021SHOW GIRL</v>
      </c>
      <c r="H8265" s="5">
        <f>VLOOKUP(G8265,[2]Astroflores!$G$2:$H$109,2,FALSE)</f>
        <v>2825</v>
      </c>
      <c r="I8265" s="6">
        <v>1100.4749999999999</v>
      </c>
      <c r="J8265" s="5">
        <v>8000</v>
      </c>
      <c r="K8265" s="6">
        <f t="shared" si="336"/>
        <v>2.5670733092528231</v>
      </c>
    </row>
    <row r="8266" spans="1:11" hidden="1">
      <c r="A8266" s="4">
        <v>2026</v>
      </c>
      <c r="B8266">
        <v>24</v>
      </c>
      <c r="C8266" t="s">
        <v>54</v>
      </c>
      <c r="D8266" t="s">
        <v>11</v>
      </c>
      <c r="E8266" t="s">
        <v>43</v>
      </c>
      <c r="F8266" t="s">
        <v>99</v>
      </c>
      <c r="G8266" t="str">
        <f t="shared" si="337"/>
        <v>022CORAL REEF</v>
      </c>
      <c r="H8266" s="5">
        <f>VLOOKUP(G8266,[2]Astroflores!$G$2:$H$109,2,FALSE)</f>
        <v>2525</v>
      </c>
      <c r="I8266" s="6">
        <v>1287</v>
      </c>
      <c r="J8266" s="5">
        <v>9400</v>
      </c>
      <c r="K8266" s="6">
        <f t="shared" si="336"/>
        <v>1.9619269619269619</v>
      </c>
    </row>
    <row r="8267" spans="1:11" hidden="1">
      <c r="A8267" s="4">
        <v>2026</v>
      </c>
      <c r="B8267">
        <v>24</v>
      </c>
      <c r="C8267" t="s">
        <v>54</v>
      </c>
      <c r="D8267" t="s">
        <v>11</v>
      </c>
      <c r="E8267" t="s">
        <v>100</v>
      </c>
      <c r="F8267" t="s">
        <v>70</v>
      </c>
      <c r="G8267" t="str">
        <f t="shared" si="337"/>
        <v>023COTOPAXI</v>
      </c>
      <c r="H8267" s="5">
        <f>VLOOKUP(G8267,[2]Astroflores!$G$2:$H$109,2,FALSE)</f>
        <v>5970</v>
      </c>
      <c r="I8267" s="6">
        <v>2641.14</v>
      </c>
      <c r="J8267" s="5">
        <v>19200</v>
      </c>
      <c r="K8267" s="6">
        <f t="shared" si="336"/>
        <v>2.2603875599173087</v>
      </c>
    </row>
    <row r="8268" spans="1:11" hidden="1">
      <c r="A8268" s="4">
        <v>2026</v>
      </c>
      <c r="B8268">
        <v>24</v>
      </c>
      <c r="C8268" t="s">
        <v>54</v>
      </c>
      <c r="D8268" t="s">
        <v>11</v>
      </c>
      <c r="E8268" t="s">
        <v>100</v>
      </c>
      <c r="F8268" t="s">
        <v>101</v>
      </c>
      <c r="G8268" t="str">
        <f t="shared" si="337"/>
        <v>023FRUTTETO</v>
      </c>
      <c r="H8268" s="5">
        <f>VLOOKUP(G8268,[2]Astroflores!$G$2:$H$109,2,FALSE)</f>
        <v>5430</v>
      </c>
      <c r="I8268" s="6">
        <v>2641.14</v>
      </c>
      <c r="J8268" s="5">
        <v>19200</v>
      </c>
      <c r="K8268" s="6">
        <f t="shared" si="336"/>
        <v>2.0559303936936324</v>
      </c>
    </row>
    <row r="8269" spans="1:11" hidden="1">
      <c r="A8269" s="4">
        <v>2026</v>
      </c>
      <c r="B8269">
        <v>24</v>
      </c>
      <c r="C8269" t="s">
        <v>54</v>
      </c>
      <c r="D8269" t="s">
        <v>11</v>
      </c>
      <c r="E8269" t="s">
        <v>102</v>
      </c>
      <c r="F8269" t="s">
        <v>70</v>
      </c>
      <c r="G8269" t="str">
        <f t="shared" si="337"/>
        <v>024COTOPAXI</v>
      </c>
      <c r="H8269" s="5">
        <f>VLOOKUP(G8269,[2]Astroflores!$G$2:$H$109,2,FALSE)</f>
        <v>2520</v>
      </c>
      <c r="I8269" s="6">
        <v>1430.6174906250001</v>
      </c>
      <c r="J8269" s="5">
        <v>10400</v>
      </c>
      <c r="K8269" s="6">
        <f t="shared" si="336"/>
        <v>1.7614771359317554</v>
      </c>
    </row>
    <row r="8270" spans="1:11" hidden="1">
      <c r="A8270" s="4">
        <v>2026</v>
      </c>
      <c r="B8270">
        <v>24</v>
      </c>
      <c r="C8270" t="s">
        <v>54</v>
      </c>
      <c r="D8270" t="s">
        <v>11</v>
      </c>
      <c r="E8270" t="s">
        <v>102</v>
      </c>
      <c r="F8270" t="s">
        <v>64</v>
      </c>
      <c r="G8270" t="str">
        <f t="shared" si="337"/>
        <v>024SWEETNESS</v>
      </c>
      <c r="H8270" s="5">
        <f>VLOOKUP(G8270,[2]Astroflores!$G$2:$H$109,2,FALSE)</f>
        <v>2100</v>
      </c>
      <c r="I8270" s="6">
        <v>1430.6175000000001</v>
      </c>
      <c r="J8270" s="5">
        <v>10400</v>
      </c>
      <c r="K8270" s="6">
        <f t="shared" si="336"/>
        <v>1.467897603657162</v>
      </c>
    </row>
    <row r="8271" spans="1:11" hidden="1">
      <c r="A8271" s="4">
        <v>2026</v>
      </c>
      <c r="B8271">
        <v>24</v>
      </c>
      <c r="C8271" t="s">
        <v>54</v>
      </c>
      <c r="D8271" t="s">
        <v>11</v>
      </c>
      <c r="E8271" t="s">
        <v>102</v>
      </c>
      <c r="F8271" t="s">
        <v>97</v>
      </c>
      <c r="G8271" t="str">
        <f t="shared" si="337"/>
        <v>024TYCOON</v>
      </c>
      <c r="H8271" s="5">
        <f>VLOOKUP(G8271,[2]Astroflores!$G$2:$H$109,2,FALSE)</f>
        <v>4170</v>
      </c>
      <c r="I8271" s="6">
        <v>2861.2350000000001</v>
      </c>
      <c r="J8271" s="5">
        <v>20800</v>
      </c>
      <c r="K8271" s="6">
        <f t="shared" si="336"/>
        <v>1.4574126207738964</v>
      </c>
    </row>
    <row r="8272" spans="1:11" hidden="1">
      <c r="A8272" s="4">
        <v>2026</v>
      </c>
      <c r="B8272">
        <v>24</v>
      </c>
      <c r="C8272" t="s">
        <v>54</v>
      </c>
      <c r="D8272" t="s">
        <v>11</v>
      </c>
      <c r="E8272" t="s">
        <v>103</v>
      </c>
      <c r="F8272" t="s">
        <v>104</v>
      </c>
      <c r="G8272" t="str">
        <f t="shared" si="337"/>
        <v>025PINK MONDIAL</v>
      </c>
      <c r="H8272" s="5">
        <f>VLOOKUP(G8272,[2]Astroflores!$G$2:$H$109,2,FALSE)</f>
        <v>3850</v>
      </c>
      <c r="I8272" s="6">
        <v>3071.9505625000002</v>
      </c>
      <c r="J8272" s="5">
        <v>22400</v>
      </c>
      <c r="K8272" s="6">
        <f t="shared" si="336"/>
        <v>1.2532753772140173</v>
      </c>
    </row>
    <row r="8273" spans="1:11" hidden="1">
      <c r="A8273" s="4">
        <v>2026</v>
      </c>
      <c r="B8273">
        <v>24</v>
      </c>
      <c r="C8273" t="s">
        <v>54</v>
      </c>
      <c r="D8273" t="s">
        <v>11</v>
      </c>
      <c r="E8273" t="s">
        <v>45</v>
      </c>
      <c r="F8273" t="s">
        <v>105</v>
      </c>
      <c r="G8273" t="str">
        <f t="shared" si="337"/>
        <v>026LOLA</v>
      </c>
      <c r="H8273" s="5">
        <f>VLOOKUP(G8273,[2]Astroflores!$G$2:$H$109,2,FALSE)</f>
        <v>5350</v>
      </c>
      <c r="I8273" s="6">
        <v>1097.125</v>
      </c>
      <c r="J8273" s="5">
        <v>8000</v>
      </c>
      <c r="K8273" s="6">
        <f t="shared" si="336"/>
        <v>4.8763814515210209</v>
      </c>
    </row>
    <row r="8274" spans="1:11" hidden="1">
      <c r="A8274" s="4">
        <v>2026</v>
      </c>
      <c r="B8274">
        <v>24</v>
      </c>
      <c r="C8274" t="s">
        <v>54</v>
      </c>
      <c r="D8274" t="s">
        <v>11</v>
      </c>
      <c r="E8274" t="s">
        <v>45</v>
      </c>
      <c r="F8274" t="s">
        <v>106</v>
      </c>
      <c r="G8274" t="str">
        <f t="shared" si="337"/>
        <v>026PALOMA</v>
      </c>
      <c r="H8274" s="5">
        <f>VLOOKUP(G8274,[2]Astroflores!$G$2:$H$109,2,FALSE)</f>
        <v>4825</v>
      </c>
      <c r="I8274" s="6">
        <v>2852.5250000000001</v>
      </c>
      <c r="J8274" s="5">
        <v>20800</v>
      </c>
      <c r="K8274" s="6">
        <f t="shared" si="336"/>
        <v>1.6914838607900018</v>
      </c>
    </row>
    <row r="8275" spans="1:11" hidden="1">
      <c r="A8275" s="4">
        <v>2026</v>
      </c>
      <c r="B8275">
        <v>24</v>
      </c>
      <c r="C8275" t="s">
        <v>54</v>
      </c>
      <c r="D8275" t="s">
        <v>11</v>
      </c>
      <c r="E8275" t="s">
        <v>107</v>
      </c>
      <c r="F8275" t="s">
        <v>108</v>
      </c>
      <c r="G8275" t="str">
        <f t="shared" si="337"/>
        <v>027SATISFACTION</v>
      </c>
      <c r="H8275" s="5">
        <f>VLOOKUP(G8275,[2]Astroflores!$G$2:$H$109,2,FALSE)</f>
        <v>5010</v>
      </c>
      <c r="I8275" s="6">
        <v>2633.1</v>
      </c>
      <c r="J8275" s="5">
        <v>19200</v>
      </c>
      <c r="K8275" s="6">
        <f t="shared" si="336"/>
        <v>1.9027002392617067</v>
      </c>
    </row>
    <row r="8276" spans="1:11" hidden="1">
      <c r="A8276" s="4">
        <v>2026</v>
      </c>
      <c r="B8276">
        <v>24</v>
      </c>
      <c r="C8276" t="s">
        <v>54</v>
      </c>
      <c r="D8276" t="s">
        <v>11</v>
      </c>
      <c r="E8276" t="s">
        <v>107</v>
      </c>
      <c r="F8276" t="s">
        <v>109</v>
      </c>
      <c r="G8276" t="str">
        <f t="shared" si="337"/>
        <v>027TIFFANY</v>
      </c>
      <c r="H8276" s="5">
        <f>VLOOKUP(G8276,[2]Astroflores!$G$2:$H$109,2,FALSE)</f>
        <v>4560</v>
      </c>
      <c r="I8276" s="6">
        <v>2633.1</v>
      </c>
      <c r="J8276" s="5">
        <v>19200</v>
      </c>
      <c r="K8276" s="6">
        <f t="shared" ref="K8276:K8314" si="338">+H8276/I8276</f>
        <v>1.731799020166344</v>
      </c>
    </row>
    <row r="8277" spans="1:11" hidden="1">
      <c r="A8277" s="4">
        <v>2026</v>
      </c>
      <c r="B8277">
        <v>24</v>
      </c>
      <c r="C8277" t="s">
        <v>54</v>
      </c>
      <c r="D8277" t="s">
        <v>11</v>
      </c>
      <c r="E8277" t="s">
        <v>110</v>
      </c>
      <c r="F8277" t="s">
        <v>70</v>
      </c>
      <c r="G8277" t="str">
        <f t="shared" si="337"/>
        <v>028COTOPAXI</v>
      </c>
      <c r="H8277" s="5">
        <f>VLOOKUP(G8277,[2]Astroflores!$G$2:$H$109,2,FALSE)</f>
        <v>4740</v>
      </c>
      <c r="I8277" s="6">
        <v>2852.5250000000001</v>
      </c>
      <c r="J8277" s="5">
        <v>20800</v>
      </c>
      <c r="K8277" s="6">
        <f t="shared" si="338"/>
        <v>1.6616856995118359</v>
      </c>
    </row>
    <row r="8278" spans="1:11" hidden="1">
      <c r="A8278" s="4">
        <v>2026</v>
      </c>
      <c r="B8278">
        <v>24</v>
      </c>
      <c r="C8278" t="s">
        <v>54</v>
      </c>
      <c r="D8278" t="s">
        <v>11</v>
      </c>
      <c r="E8278" t="s">
        <v>110</v>
      </c>
      <c r="F8278" t="s">
        <v>67</v>
      </c>
      <c r="G8278" t="str">
        <f t="shared" si="337"/>
        <v>028DEEP PURPLE</v>
      </c>
      <c r="H8278" s="5">
        <f>VLOOKUP(G8278,[2]Astroflores!$G$2:$H$109,2,FALSE)</f>
        <v>3870</v>
      </c>
      <c r="I8278" s="6">
        <v>2852.5250000000001</v>
      </c>
      <c r="J8278" s="5">
        <v>20800</v>
      </c>
      <c r="K8278" s="6">
        <f t="shared" si="338"/>
        <v>1.3566927546647267</v>
      </c>
    </row>
    <row r="8279" spans="1:11" hidden="1">
      <c r="A8279" s="4">
        <v>2026</v>
      </c>
      <c r="B8279">
        <v>24</v>
      </c>
      <c r="C8279" t="s">
        <v>54</v>
      </c>
      <c r="D8279" t="s">
        <v>11</v>
      </c>
      <c r="E8279" t="s">
        <v>111</v>
      </c>
      <c r="F8279" t="s">
        <v>112</v>
      </c>
      <c r="G8279" t="str">
        <f t="shared" si="337"/>
        <v>029PINK FLOYD</v>
      </c>
      <c r="H8279" s="5">
        <f>VLOOKUP(G8279,[2]Astroflores!$G$2:$H$109,2,FALSE)</f>
        <v>4175</v>
      </c>
      <c r="I8279" s="6">
        <v>3071.95</v>
      </c>
      <c r="J8279" s="5">
        <v>22400</v>
      </c>
      <c r="K8279" s="6">
        <f t="shared" si="338"/>
        <v>1.3590715994726477</v>
      </c>
    </row>
    <row r="8280" spans="1:11" hidden="1">
      <c r="A8280" s="4">
        <v>2026</v>
      </c>
      <c r="B8280">
        <v>24</v>
      </c>
      <c r="C8280" t="s">
        <v>54</v>
      </c>
      <c r="D8280" t="s">
        <v>11</v>
      </c>
      <c r="E8280" t="s">
        <v>47</v>
      </c>
      <c r="F8280" t="s">
        <v>57</v>
      </c>
      <c r="G8280" t="str">
        <f t="shared" si="337"/>
        <v>030EXPLORER</v>
      </c>
      <c r="H8280" s="5">
        <f>VLOOKUP(G8280,[2]Astroflores!$G$2:$H$109,2,FALSE)</f>
        <v>2300</v>
      </c>
      <c r="I8280" s="6">
        <v>1645.6875</v>
      </c>
      <c r="J8280" s="5">
        <v>12000</v>
      </c>
      <c r="K8280" s="6">
        <f t="shared" si="338"/>
        <v>1.3975921917131897</v>
      </c>
    </row>
    <row r="8281" spans="1:11" hidden="1">
      <c r="A8281" s="4">
        <v>2026</v>
      </c>
      <c r="B8281">
        <v>25</v>
      </c>
      <c r="C8281" t="s">
        <v>10</v>
      </c>
      <c r="D8281" t="s">
        <v>11</v>
      </c>
      <c r="E8281" t="s">
        <v>12</v>
      </c>
      <c r="F8281" t="s">
        <v>13</v>
      </c>
      <c r="G8281" t="str">
        <f t="shared" si="337"/>
        <v>002SOMERSET</v>
      </c>
      <c r="H8281" s="5">
        <f>VLOOKUP(G8281,[3]Astroflores!$G$2:$H$109,2,FALSE)</f>
        <v>6400</v>
      </c>
      <c r="I8281" s="6">
        <v>4121.4642855494085</v>
      </c>
      <c r="J8281" s="5">
        <v>31200</v>
      </c>
      <c r="K8281" s="6">
        <f t="shared" si="338"/>
        <v>1.5528461625737109</v>
      </c>
    </row>
    <row r="8282" spans="1:11" hidden="1">
      <c r="A8282" s="4">
        <v>2026</v>
      </c>
      <c r="B8282">
        <v>25</v>
      </c>
      <c r="C8282" t="s">
        <v>10</v>
      </c>
      <c r="D8282" t="s">
        <v>11</v>
      </c>
      <c r="E8282" t="s">
        <v>14</v>
      </c>
      <c r="F8282" t="s">
        <v>15</v>
      </c>
      <c r="G8282" t="str">
        <f t="shared" si="337"/>
        <v>004BELLINA</v>
      </c>
      <c r="H8282" s="5">
        <f>VLOOKUP(G8282,[3]Astroflores!$G$2:$H$109,2,FALSE)</f>
        <v>1785</v>
      </c>
      <c r="I8282" s="6">
        <v>1056.7857142434418</v>
      </c>
      <c r="J8282" s="5">
        <v>8000</v>
      </c>
      <c r="K8282" s="6">
        <f t="shared" si="338"/>
        <v>1.6890841501182579</v>
      </c>
    </row>
    <row r="8283" spans="1:11" hidden="1">
      <c r="A8283" s="4">
        <v>2026</v>
      </c>
      <c r="B8283">
        <v>25</v>
      </c>
      <c r="C8283" t="s">
        <v>10</v>
      </c>
      <c r="D8283" t="s">
        <v>11</v>
      </c>
      <c r="E8283" t="s">
        <v>16</v>
      </c>
      <c r="F8283" t="s">
        <v>17</v>
      </c>
      <c r="G8283" t="str">
        <f t="shared" si="337"/>
        <v>005ELBA</v>
      </c>
      <c r="H8283" s="5">
        <f>VLOOKUP(G8283,[3]Astroflores!$G$2:$H$109,2,FALSE)</f>
        <v>9600</v>
      </c>
      <c r="I8283" s="6">
        <v>2641.9642856076484</v>
      </c>
      <c r="J8283" s="5">
        <v>19996</v>
      </c>
      <c r="K8283" s="6">
        <f t="shared" si="338"/>
        <v>3.6336600204237857</v>
      </c>
    </row>
    <row r="8284" spans="1:11" hidden="1">
      <c r="A8284" s="4">
        <v>2026</v>
      </c>
      <c r="B8284">
        <v>25</v>
      </c>
      <c r="C8284" t="s">
        <v>10</v>
      </c>
      <c r="D8284" t="s">
        <v>11</v>
      </c>
      <c r="E8284" t="s">
        <v>16</v>
      </c>
      <c r="F8284" t="s">
        <v>18</v>
      </c>
      <c r="G8284" t="str">
        <f t="shared" si="337"/>
        <v>005HOT BUBBLES</v>
      </c>
      <c r="H8284" s="5">
        <f>VLOOKUP(G8284,[3]Astroflores!$G$2:$H$109,2,FALSE)</f>
        <v>1380</v>
      </c>
      <c r="I8284" s="6">
        <v>528.39285712153003</v>
      </c>
      <c r="J8284" s="5">
        <v>4000</v>
      </c>
      <c r="K8284" s="6">
        <f t="shared" si="338"/>
        <v>2.6116931396795944</v>
      </c>
    </row>
    <row r="8285" spans="1:11" hidden="1">
      <c r="A8285" s="4">
        <v>2026</v>
      </c>
      <c r="B8285">
        <v>25</v>
      </c>
      <c r="C8285" t="s">
        <v>10</v>
      </c>
      <c r="D8285" t="s">
        <v>11</v>
      </c>
      <c r="E8285" t="s">
        <v>16</v>
      </c>
      <c r="F8285" t="s">
        <v>19</v>
      </c>
      <c r="G8285" t="str">
        <f t="shared" si="337"/>
        <v>005SUSPIRO</v>
      </c>
      <c r="H8285" s="5">
        <f>VLOOKUP(G8285,[3]Astroflores!$G$2:$H$109,2,FALSE)</f>
        <v>3420</v>
      </c>
      <c r="I8285" s="6">
        <v>1902.2142856375078</v>
      </c>
      <c r="J8285" s="5">
        <v>14400</v>
      </c>
      <c r="K8285" s="6">
        <f t="shared" si="338"/>
        <v>1.797904697605518</v>
      </c>
    </row>
    <row r="8286" spans="1:11" hidden="1">
      <c r="A8286" s="4">
        <v>2026</v>
      </c>
      <c r="B8286">
        <v>25</v>
      </c>
      <c r="C8286" t="s">
        <v>10</v>
      </c>
      <c r="D8286" t="s">
        <v>11</v>
      </c>
      <c r="E8286" t="s">
        <v>20</v>
      </c>
      <c r="F8286" t="s">
        <v>21</v>
      </c>
      <c r="G8286" t="str">
        <f t="shared" si="337"/>
        <v>007SNOW BUBBLES</v>
      </c>
      <c r="H8286" s="5">
        <f>VLOOKUP(G8286,[3]Astroflores!$G$2:$H$109,2,FALSE)</f>
        <v>900</v>
      </c>
      <c r="I8286" s="6">
        <v>634.05652706821195</v>
      </c>
      <c r="J8286" s="5">
        <v>4800</v>
      </c>
      <c r="K8286" s="6">
        <f t="shared" si="338"/>
        <v>1.4194318039141922</v>
      </c>
    </row>
    <row r="8287" spans="1:11" hidden="1">
      <c r="A8287" s="4">
        <v>2026</v>
      </c>
      <c r="B8287">
        <v>25</v>
      </c>
      <c r="C8287" t="s">
        <v>10</v>
      </c>
      <c r="D8287" t="s">
        <v>11</v>
      </c>
      <c r="E8287" t="s">
        <v>22</v>
      </c>
      <c r="F8287" t="s">
        <v>18</v>
      </c>
      <c r="G8287" t="str">
        <f t="shared" si="337"/>
        <v>009HOT BUBBLES</v>
      </c>
      <c r="H8287" s="5">
        <f>VLOOKUP(G8287,[3]Astroflores!$G$2:$H$109,2,FALSE)</f>
        <v>11860</v>
      </c>
      <c r="I8287" s="6">
        <v>4487.9999999102474</v>
      </c>
      <c r="J8287" s="5">
        <v>31740</v>
      </c>
      <c r="K8287" s="6">
        <f t="shared" si="338"/>
        <v>2.6426024955965195</v>
      </c>
    </row>
    <row r="8288" spans="1:11" hidden="1">
      <c r="A8288" s="4">
        <v>2026</v>
      </c>
      <c r="B8288">
        <v>25</v>
      </c>
      <c r="C8288" t="s">
        <v>10</v>
      </c>
      <c r="D8288" t="s">
        <v>11</v>
      </c>
      <c r="E8288" t="s">
        <v>23</v>
      </c>
      <c r="F8288" t="s">
        <v>24</v>
      </c>
      <c r="G8288" t="str">
        <f t="shared" si="337"/>
        <v>014FRUITY BUBBLES</v>
      </c>
      <c r="H8288" s="5">
        <f>VLOOKUP(G8288,[3]Astroflores!$G$2:$H$109,2,FALSE)</f>
        <v>4350</v>
      </c>
      <c r="I8288" s="6">
        <v>1702.8</v>
      </c>
      <c r="J8288" s="5">
        <v>12900</v>
      </c>
      <c r="K8288" s="6">
        <f t="shared" si="338"/>
        <v>2.5546159267089501</v>
      </c>
    </row>
    <row r="8289" spans="1:11" hidden="1">
      <c r="A8289" s="4">
        <v>2026</v>
      </c>
      <c r="B8289">
        <v>25</v>
      </c>
      <c r="C8289" t="s">
        <v>10</v>
      </c>
      <c r="D8289" t="s">
        <v>11</v>
      </c>
      <c r="E8289" t="s">
        <v>25</v>
      </c>
      <c r="F8289" t="s">
        <v>26</v>
      </c>
      <c r="G8289" t="str">
        <f t="shared" si="337"/>
        <v>015FELLINI</v>
      </c>
      <c r="H8289" s="5">
        <f>VLOOKUP(G8289,[3]Astroflores!$G$2:$H$109,2,FALSE)</f>
        <v>4680</v>
      </c>
      <c r="I8289" s="6">
        <v>3009.6</v>
      </c>
      <c r="J8289" s="5">
        <v>22800</v>
      </c>
      <c r="K8289" s="6">
        <f t="shared" si="338"/>
        <v>1.5550239234449761</v>
      </c>
    </row>
    <row r="8290" spans="1:11" hidden="1">
      <c r="A8290" s="4">
        <v>2026</v>
      </c>
      <c r="B8290">
        <v>25</v>
      </c>
      <c r="C8290" t="s">
        <v>10</v>
      </c>
      <c r="D8290" t="s">
        <v>11</v>
      </c>
      <c r="E8290" t="s">
        <v>27</v>
      </c>
      <c r="F8290" t="s">
        <v>28</v>
      </c>
      <c r="G8290" t="str">
        <f t="shared" si="337"/>
        <v>016GOOD PEACH</v>
      </c>
      <c r="H8290" s="5">
        <f>VLOOKUP(G8290,[3]Astroflores!$G$2:$H$109,2,FALSE)</f>
        <v>3660</v>
      </c>
      <c r="I8290" s="6">
        <v>1386</v>
      </c>
      <c r="J8290" s="5">
        <v>10500</v>
      </c>
      <c r="K8290" s="6">
        <f t="shared" si="338"/>
        <v>2.6406926406926408</v>
      </c>
    </row>
    <row r="8291" spans="1:11" hidden="1">
      <c r="A8291" s="4">
        <v>2026</v>
      </c>
      <c r="B8291">
        <v>25</v>
      </c>
      <c r="C8291" t="s">
        <v>10</v>
      </c>
      <c r="D8291" t="s">
        <v>11</v>
      </c>
      <c r="E8291" t="s">
        <v>27</v>
      </c>
      <c r="F8291" t="s">
        <v>29</v>
      </c>
      <c r="G8291" t="str">
        <f t="shared" si="337"/>
        <v>016GOOD YELLOW</v>
      </c>
      <c r="H8291" s="5">
        <f>VLOOKUP(G8291,[3]Astroflores!$G$2:$H$109,2,FALSE)</f>
        <v>3330</v>
      </c>
      <c r="I8291" s="6">
        <v>1386</v>
      </c>
      <c r="J8291" s="5">
        <v>10500</v>
      </c>
      <c r="K8291" s="6">
        <f t="shared" si="338"/>
        <v>2.4025974025974026</v>
      </c>
    </row>
    <row r="8292" spans="1:11" hidden="1">
      <c r="A8292" s="4">
        <v>2026</v>
      </c>
      <c r="B8292">
        <v>25</v>
      </c>
      <c r="C8292" t="s">
        <v>10</v>
      </c>
      <c r="D8292" t="s">
        <v>11</v>
      </c>
      <c r="E8292" t="s">
        <v>30</v>
      </c>
      <c r="F8292" t="s">
        <v>31</v>
      </c>
      <c r="G8292" t="str">
        <f t="shared" si="337"/>
        <v>017ORANGE STAR</v>
      </c>
      <c r="H8292" s="5">
        <f>VLOOKUP(G8292,[3]Astroflores!$G$2:$H$109,2,FALSE)</f>
        <v>1625</v>
      </c>
      <c r="I8292" s="6">
        <v>1029.5999999999999</v>
      </c>
      <c r="J8292" s="5">
        <v>7800</v>
      </c>
      <c r="K8292" s="6">
        <f t="shared" si="338"/>
        <v>1.5782828282828285</v>
      </c>
    </row>
    <row r="8293" spans="1:11" hidden="1">
      <c r="A8293" s="4">
        <v>2026</v>
      </c>
      <c r="B8293">
        <v>25</v>
      </c>
      <c r="C8293" t="s">
        <v>10</v>
      </c>
      <c r="D8293" t="s">
        <v>11</v>
      </c>
      <c r="E8293" t="s">
        <v>32</v>
      </c>
      <c r="F8293" t="s">
        <v>33</v>
      </c>
      <c r="G8293" t="str">
        <f t="shared" si="337"/>
        <v>018COSMO</v>
      </c>
      <c r="H8293" s="5">
        <f>VLOOKUP(G8293,[3]Astroflores!$G$2:$H$109,2,FALSE)</f>
        <v>4200</v>
      </c>
      <c r="I8293" s="6">
        <v>2653.2</v>
      </c>
      <c r="J8293" s="5">
        <v>20100</v>
      </c>
      <c r="K8293" s="6">
        <f t="shared" si="338"/>
        <v>1.5829941203075533</v>
      </c>
    </row>
    <row r="8294" spans="1:11" hidden="1">
      <c r="A8294" s="4">
        <v>2026</v>
      </c>
      <c r="B8294">
        <v>25</v>
      </c>
      <c r="C8294" t="s">
        <v>10</v>
      </c>
      <c r="D8294" t="s">
        <v>11</v>
      </c>
      <c r="E8294" t="s">
        <v>32</v>
      </c>
      <c r="F8294" t="s">
        <v>34</v>
      </c>
      <c r="G8294" t="str">
        <f t="shared" si="337"/>
        <v>018RUBICON</v>
      </c>
      <c r="H8294" s="5">
        <f>VLOOKUP(G8294,[3]Astroflores!$G$2:$H$109,2,FALSE)</f>
        <v>6840</v>
      </c>
      <c r="I8294" s="6">
        <v>1768.8</v>
      </c>
      <c r="J8294" s="5">
        <v>13400</v>
      </c>
      <c r="K8294" s="6">
        <f t="shared" si="338"/>
        <v>3.8670284938941655</v>
      </c>
    </row>
    <row r="8295" spans="1:11" hidden="1">
      <c r="A8295" s="4">
        <v>2026</v>
      </c>
      <c r="B8295">
        <v>25</v>
      </c>
      <c r="C8295" t="s">
        <v>10</v>
      </c>
      <c r="D8295" t="s">
        <v>11</v>
      </c>
      <c r="E8295" t="s">
        <v>35</v>
      </c>
      <c r="F8295" t="s">
        <v>15</v>
      </c>
      <c r="G8295" t="str">
        <f t="shared" si="337"/>
        <v>019BELLINA</v>
      </c>
      <c r="H8295" s="5">
        <f>VLOOKUP(G8295,[3]Astroflores!$G$2:$H$109,2,FALSE)</f>
        <v>1650</v>
      </c>
      <c r="I8295" s="6">
        <v>1029.5999999999999</v>
      </c>
      <c r="J8295" s="5">
        <v>7800</v>
      </c>
      <c r="K8295" s="6">
        <f t="shared" si="338"/>
        <v>1.6025641025641026</v>
      </c>
    </row>
    <row r="8296" spans="1:11" hidden="1">
      <c r="A8296" s="4">
        <v>2026</v>
      </c>
      <c r="B8296">
        <v>25</v>
      </c>
      <c r="C8296" t="s">
        <v>10</v>
      </c>
      <c r="D8296" t="s">
        <v>11</v>
      </c>
      <c r="E8296" t="s">
        <v>36</v>
      </c>
      <c r="F8296" t="s">
        <v>37</v>
      </c>
      <c r="G8296" t="str">
        <f t="shared" si="337"/>
        <v>020SUMMER DANCE</v>
      </c>
      <c r="H8296" s="5">
        <f>VLOOKUP(G8296,[3]Astroflores!$G$2:$H$109,2,FALSE)</f>
        <v>3525</v>
      </c>
      <c r="I8296" s="6">
        <v>1346.4</v>
      </c>
      <c r="J8296" s="5">
        <v>10200</v>
      </c>
      <c r="K8296" s="6">
        <f t="shared" si="338"/>
        <v>2.618092691622103</v>
      </c>
    </row>
    <row r="8297" spans="1:11" hidden="1">
      <c r="A8297" s="4">
        <v>2026</v>
      </c>
      <c r="B8297">
        <v>25</v>
      </c>
      <c r="C8297" t="s">
        <v>10</v>
      </c>
      <c r="D8297" t="s">
        <v>11</v>
      </c>
      <c r="E8297" t="s">
        <v>38</v>
      </c>
      <c r="F8297" t="s">
        <v>39</v>
      </c>
      <c r="G8297" t="str">
        <f t="shared" si="337"/>
        <v>021ELEGANT ROSEVER</v>
      </c>
      <c r="H8297" s="5">
        <f>VLOOKUP(G8297,[3]Astroflores!$G$2:$H$109,2,FALSE)</f>
        <v>720</v>
      </c>
      <c r="I8297" s="6">
        <v>440.18999062500001</v>
      </c>
      <c r="J8297" s="5">
        <v>3200</v>
      </c>
      <c r="K8297" s="6">
        <f t="shared" si="338"/>
        <v>1.6356573646250205</v>
      </c>
    </row>
    <row r="8298" spans="1:11" hidden="1">
      <c r="A8298" s="4">
        <v>2026</v>
      </c>
      <c r="B8298">
        <v>25</v>
      </c>
      <c r="C8298" t="s">
        <v>10</v>
      </c>
      <c r="D8298" t="s">
        <v>11</v>
      </c>
      <c r="E8298" t="s">
        <v>38</v>
      </c>
      <c r="F8298" t="s">
        <v>40</v>
      </c>
      <c r="G8298" t="str">
        <f t="shared" si="337"/>
        <v>021FLAME CLUB</v>
      </c>
      <c r="H8298" s="5">
        <f>VLOOKUP(G8298,[3]Astroflores!$G$2:$H$109,2,FALSE)</f>
        <v>1525</v>
      </c>
      <c r="I8298" s="6">
        <v>880.38</v>
      </c>
      <c r="J8298" s="5">
        <v>6400</v>
      </c>
      <c r="K8298" s="6">
        <f t="shared" si="338"/>
        <v>1.7322065471728116</v>
      </c>
    </row>
    <row r="8299" spans="1:11" hidden="1">
      <c r="A8299" s="4">
        <v>2026</v>
      </c>
      <c r="B8299">
        <v>25</v>
      </c>
      <c r="C8299" t="s">
        <v>10</v>
      </c>
      <c r="D8299" t="s">
        <v>11</v>
      </c>
      <c r="E8299" t="s">
        <v>38</v>
      </c>
      <c r="F8299" t="s">
        <v>41</v>
      </c>
      <c r="G8299" t="str">
        <f t="shared" si="337"/>
        <v>021KELLY</v>
      </c>
      <c r="H8299" s="5">
        <f>VLOOKUP(G8299,[3]Astroflores!$G$2:$H$109,2,FALSE)</f>
        <v>600</v>
      </c>
      <c r="I8299" s="6">
        <v>330.14249999999998</v>
      </c>
      <c r="J8299" s="5">
        <v>2400</v>
      </c>
      <c r="K8299" s="6">
        <f t="shared" si="338"/>
        <v>1.8173970330993436</v>
      </c>
    </row>
    <row r="8300" spans="1:11" hidden="1">
      <c r="A8300" s="4">
        <v>2026</v>
      </c>
      <c r="B8300">
        <v>25</v>
      </c>
      <c r="C8300" t="s">
        <v>10</v>
      </c>
      <c r="D8300" t="s">
        <v>11</v>
      </c>
      <c r="E8300" t="s">
        <v>38</v>
      </c>
      <c r="F8300" t="s">
        <v>42</v>
      </c>
      <c r="G8300" t="str">
        <f t="shared" si="337"/>
        <v>021LEILA</v>
      </c>
      <c r="H8300" s="5">
        <f>VLOOKUP(G8300,[3]Astroflores!$G$2:$H$109,2,FALSE)</f>
        <v>1500</v>
      </c>
      <c r="I8300" s="6">
        <v>1650.7125000000001</v>
      </c>
      <c r="J8300" s="5">
        <v>12000</v>
      </c>
      <c r="K8300" s="6">
        <f t="shared" si="338"/>
        <v>0.90869851654967171</v>
      </c>
    </row>
    <row r="8301" spans="1:11" hidden="1">
      <c r="A8301" s="4">
        <v>2026</v>
      </c>
      <c r="B8301">
        <v>25</v>
      </c>
      <c r="C8301" t="s">
        <v>10</v>
      </c>
      <c r="D8301" t="s">
        <v>11</v>
      </c>
      <c r="E8301" t="s">
        <v>38</v>
      </c>
      <c r="F8301" t="s">
        <v>21</v>
      </c>
      <c r="G8301" t="str">
        <f t="shared" si="337"/>
        <v>021SNOW BUBBLES</v>
      </c>
      <c r="H8301" s="5">
        <f>VLOOKUP(G8301,[3]Astroflores!$G$2:$H$109,2,FALSE)</f>
        <v>1800</v>
      </c>
      <c r="I8301" s="6">
        <v>1287.0000000000018</v>
      </c>
      <c r="J8301" s="5">
        <v>9400</v>
      </c>
      <c r="K8301" s="6">
        <f t="shared" si="338"/>
        <v>1.3986013986013965</v>
      </c>
    </row>
    <row r="8302" spans="1:11" hidden="1">
      <c r="A8302" s="4">
        <v>2026</v>
      </c>
      <c r="B8302">
        <v>25</v>
      </c>
      <c r="C8302" t="s">
        <v>10</v>
      </c>
      <c r="D8302" t="s">
        <v>11</v>
      </c>
      <c r="E8302" t="s">
        <v>43</v>
      </c>
      <c r="F8302" t="s">
        <v>24</v>
      </c>
      <c r="G8302" t="str">
        <f t="shared" si="337"/>
        <v>022FRUITY BUBBLES</v>
      </c>
      <c r="H8302" s="5">
        <f>VLOOKUP(G8302,[3]Astroflores!$G$2:$H$109,2,FALSE)</f>
        <v>6175</v>
      </c>
      <c r="I8302" s="6">
        <v>2641.14</v>
      </c>
      <c r="J8302" s="5">
        <v>19200</v>
      </c>
      <c r="K8302" s="6">
        <f t="shared" si="338"/>
        <v>2.3380055582059263</v>
      </c>
    </row>
    <row r="8303" spans="1:11" hidden="1">
      <c r="A8303" s="4">
        <v>2026</v>
      </c>
      <c r="B8303">
        <v>25</v>
      </c>
      <c r="C8303" t="s">
        <v>10</v>
      </c>
      <c r="D8303" t="s">
        <v>11</v>
      </c>
      <c r="E8303" t="s">
        <v>43</v>
      </c>
      <c r="F8303" t="s">
        <v>28</v>
      </c>
      <c r="G8303" t="str">
        <f t="shared" si="337"/>
        <v>022GOOD PEACH</v>
      </c>
      <c r="H8303" s="5">
        <f>VLOOKUP(G8303,[3]Astroflores!$G$2:$H$109,2,FALSE)</f>
        <v>2310</v>
      </c>
      <c r="I8303" s="6">
        <v>880.38</v>
      </c>
      <c r="J8303" s="5">
        <v>6400</v>
      </c>
      <c r="K8303" s="6">
        <f t="shared" si="338"/>
        <v>2.623866966537177</v>
      </c>
    </row>
    <row r="8304" spans="1:11" hidden="1">
      <c r="A8304" s="4">
        <v>2026</v>
      </c>
      <c r="B8304">
        <v>25</v>
      </c>
      <c r="C8304" t="s">
        <v>10</v>
      </c>
      <c r="D8304" t="s">
        <v>11</v>
      </c>
      <c r="E8304" t="s">
        <v>43</v>
      </c>
      <c r="F8304" t="s">
        <v>44</v>
      </c>
      <c r="G8304" t="str">
        <f t="shared" si="337"/>
        <v>022MIRABEL</v>
      </c>
      <c r="H8304" s="5">
        <f>VLOOKUP(G8304,[3]Astroflores!$G$2:$H$109,2,FALSE)</f>
        <v>1420</v>
      </c>
      <c r="I8304" s="6">
        <v>880.38</v>
      </c>
      <c r="J8304" s="5">
        <v>6400</v>
      </c>
      <c r="K8304" s="6">
        <f t="shared" si="338"/>
        <v>1.6129398668756674</v>
      </c>
    </row>
    <row r="8305" spans="1:11" hidden="1">
      <c r="A8305" s="4">
        <v>2026</v>
      </c>
      <c r="B8305">
        <v>25</v>
      </c>
      <c r="C8305" t="s">
        <v>10</v>
      </c>
      <c r="D8305" t="s">
        <v>11</v>
      </c>
      <c r="E8305" t="s">
        <v>47</v>
      </c>
      <c r="F8305" t="s">
        <v>44</v>
      </c>
      <c r="G8305" t="str">
        <f t="shared" si="337"/>
        <v>030MIRABEL</v>
      </c>
      <c r="H8305" s="5">
        <f>VLOOKUP(G8305,[3]Astroflores!$G$2:$H$109,2,FALSE)</f>
        <v>5860</v>
      </c>
      <c r="I8305" s="6">
        <v>2413.6749943750001</v>
      </c>
      <c r="J8305" s="5">
        <v>17600</v>
      </c>
      <c r="K8305" s="6">
        <f t="shared" si="338"/>
        <v>2.4278330817763623</v>
      </c>
    </row>
    <row r="8306" spans="1:11" hidden="1">
      <c r="A8306" s="4">
        <v>2026</v>
      </c>
      <c r="B8306">
        <v>25</v>
      </c>
      <c r="C8306" t="s">
        <v>10</v>
      </c>
      <c r="D8306" t="s">
        <v>11</v>
      </c>
      <c r="E8306" t="s">
        <v>47</v>
      </c>
      <c r="F8306" t="s">
        <v>13</v>
      </c>
      <c r="G8306" t="str">
        <f t="shared" si="337"/>
        <v>030SOMERSET</v>
      </c>
      <c r="H8306" s="5">
        <f>VLOOKUP(G8306,[3]Astroflores!$G$2:$H$109,2,FALSE)</f>
        <v>3460</v>
      </c>
      <c r="I8306" s="6">
        <v>1645.6875</v>
      </c>
      <c r="J8306" s="5">
        <v>12000</v>
      </c>
      <c r="K8306" s="6">
        <f t="shared" si="338"/>
        <v>2.102464775359842</v>
      </c>
    </row>
    <row r="8307" spans="1:11" hidden="1">
      <c r="A8307" s="4">
        <v>2026</v>
      </c>
      <c r="B8307">
        <v>25</v>
      </c>
      <c r="C8307" t="s">
        <v>10</v>
      </c>
      <c r="D8307" t="s">
        <v>11</v>
      </c>
      <c r="E8307" t="s">
        <v>48</v>
      </c>
      <c r="F8307" t="s">
        <v>49</v>
      </c>
      <c r="G8307" t="str">
        <f t="shared" si="337"/>
        <v>03182989</v>
      </c>
      <c r="H8307" s="5">
        <f>VLOOKUP(G8307,[3]Astroflores!$G$2:$H$109,2,FALSE)</f>
        <v>2640</v>
      </c>
      <c r="I8307" s="6">
        <v>726.32013058333712</v>
      </c>
      <c r="J8307" s="5">
        <v>5712</v>
      </c>
      <c r="K8307" s="6">
        <f t="shared" si="338"/>
        <v>3.6347608841293013</v>
      </c>
    </row>
    <row r="8308" spans="1:11" hidden="1">
      <c r="A8308" s="4">
        <v>2026</v>
      </c>
      <c r="B8308">
        <v>25</v>
      </c>
      <c r="C8308" t="s">
        <v>10</v>
      </c>
      <c r="D8308" t="s">
        <v>11</v>
      </c>
      <c r="E8308" t="s">
        <v>48</v>
      </c>
      <c r="F8308" t="s">
        <v>34</v>
      </c>
      <c r="G8308" t="str">
        <f t="shared" si="337"/>
        <v>031RUBICON</v>
      </c>
      <c r="H8308" s="5">
        <f>VLOOKUP(G8308,[3]Astroflores!$G$2:$H$109,2,FALSE)</f>
        <v>3150</v>
      </c>
      <c r="I8308" s="6">
        <v>924.39958333667107</v>
      </c>
      <c r="J8308" s="5">
        <v>6720</v>
      </c>
      <c r="K8308" s="6">
        <f t="shared" si="338"/>
        <v>3.4076172867039833</v>
      </c>
    </row>
    <row r="8309" spans="1:11" hidden="1">
      <c r="A8309" s="4">
        <v>2026</v>
      </c>
      <c r="B8309">
        <v>25</v>
      </c>
      <c r="C8309" t="s">
        <v>10</v>
      </c>
      <c r="D8309" t="s">
        <v>11</v>
      </c>
      <c r="E8309" t="s">
        <v>48</v>
      </c>
      <c r="F8309" t="s">
        <v>13</v>
      </c>
      <c r="G8309" t="str">
        <f t="shared" si="337"/>
        <v>031SOMERSET</v>
      </c>
      <c r="H8309" s="5">
        <f>VLOOKUP(G8309,[3]Astroflores!$G$2:$H$109,2,FALSE)</f>
        <v>2120</v>
      </c>
      <c r="I8309" s="6">
        <v>1122.485208333339</v>
      </c>
      <c r="J8309" s="5">
        <v>8160</v>
      </c>
      <c r="K8309" s="6">
        <f t="shared" si="338"/>
        <v>1.8886663131603905</v>
      </c>
    </row>
    <row r="8310" spans="1:11" hidden="1">
      <c r="A8310" s="4">
        <v>2026</v>
      </c>
      <c r="B8310">
        <v>25</v>
      </c>
      <c r="C8310" t="s">
        <v>10</v>
      </c>
      <c r="D8310" t="s">
        <v>11</v>
      </c>
      <c r="E8310" t="s">
        <v>48</v>
      </c>
      <c r="F8310" t="s">
        <v>50</v>
      </c>
      <c r="G8310" t="str">
        <f t="shared" si="337"/>
        <v>031VELVET BLOSSOMS</v>
      </c>
      <c r="H8310" s="5">
        <f>VLOOKUP(G8310,[3]Astroflores!$G$2:$H$109,2,FALSE)</f>
        <v>820</v>
      </c>
      <c r="I8310" s="6">
        <v>396.17125000000198</v>
      </c>
      <c r="J8310" s="5">
        <v>2880</v>
      </c>
      <c r="K8310" s="6">
        <f t="shared" si="338"/>
        <v>2.0698119815609939</v>
      </c>
    </row>
    <row r="8311" spans="1:11" hidden="1">
      <c r="A8311" s="4">
        <v>2026</v>
      </c>
      <c r="B8311">
        <v>25</v>
      </c>
      <c r="C8311" t="s">
        <v>10</v>
      </c>
      <c r="D8311" t="s">
        <v>11</v>
      </c>
      <c r="E8311" t="s">
        <v>51</v>
      </c>
      <c r="F8311" t="s">
        <v>17</v>
      </c>
      <c r="G8311" t="str">
        <f t="shared" si="337"/>
        <v>032ELBA</v>
      </c>
      <c r="H8311" s="5">
        <f>VLOOKUP(G8311,[3]Astroflores!$G$2:$H$109,2,FALSE)</f>
        <v>3240</v>
      </c>
      <c r="I8311" s="6">
        <v>1535.9749999999999</v>
      </c>
      <c r="J8311" s="5">
        <v>11200</v>
      </c>
      <c r="K8311" s="6">
        <f t="shared" si="338"/>
        <v>2.1094093328341934</v>
      </c>
    </row>
    <row r="8312" spans="1:11" hidden="1">
      <c r="A8312" s="4">
        <v>2026</v>
      </c>
      <c r="B8312">
        <v>25</v>
      </c>
      <c r="C8312" t="s">
        <v>10</v>
      </c>
      <c r="D8312" t="s">
        <v>11</v>
      </c>
      <c r="E8312" t="s">
        <v>51</v>
      </c>
      <c r="F8312" t="s">
        <v>44</v>
      </c>
      <c r="G8312" t="str">
        <f t="shared" si="337"/>
        <v>032MIRABEL</v>
      </c>
      <c r="H8312" s="5">
        <f>VLOOKUP(G8312,[3]Astroflores!$G$2:$H$109,2,FALSE)</f>
        <v>3000</v>
      </c>
      <c r="I8312" s="6">
        <v>1535.9749999999999</v>
      </c>
      <c r="J8312" s="5">
        <v>11200</v>
      </c>
      <c r="K8312" s="6">
        <f t="shared" si="338"/>
        <v>1.9531567896612902</v>
      </c>
    </row>
    <row r="8313" spans="1:11" hidden="1">
      <c r="A8313" s="4">
        <v>2026</v>
      </c>
      <c r="B8313">
        <v>25</v>
      </c>
      <c r="C8313" t="s">
        <v>10</v>
      </c>
      <c r="D8313" t="s">
        <v>11</v>
      </c>
      <c r="E8313" t="s">
        <v>52</v>
      </c>
      <c r="F8313" t="s">
        <v>53</v>
      </c>
      <c r="G8313" t="str">
        <f t="shared" si="337"/>
        <v>033CREAMY FOLIES</v>
      </c>
      <c r="H8313" s="5">
        <f>VLOOKUP(G8313,[3]Astroflores!$G$2:$H$109,2,FALSE)</f>
        <v>1230</v>
      </c>
      <c r="I8313" s="6">
        <v>594.25687500000299</v>
      </c>
      <c r="J8313" s="5">
        <v>4320</v>
      </c>
      <c r="K8313" s="6">
        <f t="shared" si="338"/>
        <v>2.0698119815609939</v>
      </c>
    </row>
    <row r="8314" spans="1:11" hidden="1">
      <c r="A8314" s="4">
        <v>2026</v>
      </c>
      <c r="B8314">
        <v>25</v>
      </c>
      <c r="C8314" t="s">
        <v>10</v>
      </c>
      <c r="D8314" t="s">
        <v>11</v>
      </c>
      <c r="E8314" t="s">
        <v>52</v>
      </c>
      <c r="F8314" t="s">
        <v>18</v>
      </c>
      <c r="G8314" t="str">
        <f t="shared" si="337"/>
        <v>033HOT BUBBLES</v>
      </c>
      <c r="H8314" s="5">
        <f>VLOOKUP(G8314,[3]Astroflores!$G$2:$H$109,2,FALSE)</f>
        <v>3100</v>
      </c>
      <c r="I8314" s="6">
        <v>2575.1131250013459</v>
      </c>
      <c r="J8314" s="5">
        <v>18720</v>
      </c>
      <c r="K8314" s="6">
        <f t="shared" si="338"/>
        <v>1.2038306084119623</v>
      </c>
    </row>
    <row r="8315" spans="1:11" hidden="1">
      <c r="A8315" s="4">
        <v>2026</v>
      </c>
      <c r="B8315">
        <v>25</v>
      </c>
      <c r="C8315" t="s">
        <v>54</v>
      </c>
      <c r="D8315" t="s">
        <v>11</v>
      </c>
      <c r="E8315" t="s">
        <v>55</v>
      </c>
      <c r="F8315" t="s">
        <v>56</v>
      </c>
      <c r="G8315" t="str">
        <f t="shared" si="337"/>
        <v>001BELIEVE IN PINK</v>
      </c>
      <c r="H8315" s="5">
        <f>VLOOKUP(G8315,[3]Astroflores!$G$2:$H$109,2,FALSE)</f>
        <v>1080</v>
      </c>
      <c r="I8315" s="6">
        <v>528.37931032368999</v>
      </c>
      <c r="J8315" s="5">
        <v>4000</v>
      </c>
      <c r="K8315" s="6">
        <f t="shared" ref="K8315:K8320" si="339">IFERROR(H8315/I8315,"")</f>
        <v>2.0439861646709483</v>
      </c>
    </row>
    <row r="8316" spans="1:11" hidden="1">
      <c r="A8316" s="4">
        <v>2026</v>
      </c>
      <c r="B8316">
        <v>25</v>
      </c>
      <c r="C8316" t="s">
        <v>54</v>
      </c>
      <c r="D8316" t="s">
        <v>11</v>
      </c>
      <c r="E8316" t="s">
        <v>55</v>
      </c>
      <c r="F8316" t="s">
        <v>57</v>
      </c>
      <c r="G8316" t="str">
        <f t="shared" ref="G8316:G8374" si="340">+E8316&amp;F8316</f>
        <v>001EXPLORER</v>
      </c>
      <c r="H8316" s="5">
        <f>VLOOKUP(G8316,[3]Astroflores!$G$2:$H$109,2,FALSE)</f>
        <v>4725</v>
      </c>
      <c r="I8316" s="6">
        <v>2272.0310343918732</v>
      </c>
      <c r="J8316" s="5">
        <v>17200</v>
      </c>
      <c r="K8316" s="6">
        <f t="shared" si="339"/>
        <v>2.0796370861477618</v>
      </c>
    </row>
    <row r="8317" spans="1:11" hidden="1">
      <c r="A8317" s="4">
        <v>2026</v>
      </c>
      <c r="B8317">
        <v>25</v>
      </c>
      <c r="C8317" t="s">
        <v>54</v>
      </c>
      <c r="D8317" t="s">
        <v>11</v>
      </c>
      <c r="E8317" t="s">
        <v>55</v>
      </c>
      <c r="F8317" t="s">
        <v>58</v>
      </c>
      <c r="G8317" t="str">
        <f t="shared" si="340"/>
        <v>001GRACE KELLY</v>
      </c>
      <c r="H8317" s="5">
        <f>VLOOKUP(G8317,[3]Astroflores!$G$2:$H$109,2,FALSE)</f>
        <v>2220</v>
      </c>
      <c r="I8317" s="6">
        <v>1162.4344827121224</v>
      </c>
      <c r="J8317" s="5">
        <v>8800</v>
      </c>
      <c r="K8317" s="6">
        <f t="shared" si="339"/>
        <v>1.9097850528491112</v>
      </c>
    </row>
    <row r="8318" spans="1:11" hidden="1">
      <c r="A8318" s="4">
        <v>2026</v>
      </c>
      <c r="B8318">
        <v>25</v>
      </c>
      <c r="C8318" t="s">
        <v>54</v>
      </c>
      <c r="D8318" t="s">
        <v>11</v>
      </c>
      <c r="E8318" t="s">
        <v>55</v>
      </c>
      <c r="F8318" t="s">
        <v>60</v>
      </c>
      <c r="G8318" t="str">
        <f t="shared" si="340"/>
        <v>001LIGHT HOUSE</v>
      </c>
      <c r="H8318" s="5">
        <f>VLOOKUP(G8318,[3]Astroflores!$G$2:$H$109,2,FALSE)</f>
        <v>2010</v>
      </c>
      <c r="I8318" s="6">
        <v>1056.7586206473827</v>
      </c>
      <c r="J8318" s="5">
        <v>8000</v>
      </c>
      <c r="K8318" s="6">
        <f t="shared" si="339"/>
        <v>1.9020426810132387</v>
      </c>
    </row>
    <row r="8319" spans="1:11" hidden="1">
      <c r="A8319" s="4">
        <v>2026</v>
      </c>
      <c r="B8319">
        <v>25</v>
      </c>
      <c r="C8319" t="s">
        <v>54</v>
      </c>
      <c r="D8319" t="s">
        <v>11</v>
      </c>
      <c r="E8319" t="s">
        <v>55</v>
      </c>
      <c r="F8319" t="s">
        <v>61</v>
      </c>
      <c r="G8319" t="str">
        <f t="shared" si="340"/>
        <v>001LUMIA</v>
      </c>
      <c r="H8319" s="5">
        <f>VLOOKUP(G8319,[3]Astroflores!$G$2:$H$109,2,FALSE)</f>
        <v>1410</v>
      </c>
      <c r="I8319" s="6">
        <v>1109.596551679753</v>
      </c>
      <c r="J8319" s="5">
        <v>8400</v>
      </c>
      <c r="K8319" s="6">
        <f t="shared" si="339"/>
        <v>1.2707321394118285</v>
      </c>
    </row>
    <row r="8320" spans="1:11" hidden="1">
      <c r="A8320" s="4">
        <v>2026</v>
      </c>
      <c r="B8320">
        <v>25</v>
      </c>
      <c r="C8320" t="s">
        <v>54</v>
      </c>
      <c r="D8320" t="s">
        <v>11</v>
      </c>
      <c r="E8320" t="s">
        <v>55</v>
      </c>
      <c r="F8320" t="s">
        <v>62</v>
      </c>
      <c r="G8320" t="str">
        <f t="shared" si="340"/>
        <v>001MOMENTUM</v>
      </c>
      <c r="H8320" s="5">
        <f>VLOOKUP(G8320,[3]Astroflores!$G$2:$H$109,2,FALSE)</f>
        <v>2450</v>
      </c>
      <c r="I8320" s="6">
        <v>1902.1655171652881</v>
      </c>
      <c r="J8320" s="5">
        <v>14400</v>
      </c>
      <c r="K8320" s="6">
        <f t="shared" si="339"/>
        <v>1.2880056850421329</v>
      </c>
    </row>
    <row r="8321" spans="1:11" hidden="1">
      <c r="A8321" s="4">
        <v>2026</v>
      </c>
      <c r="B8321">
        <v>25</v>
      </c>
      <c r="C8321" t="s">
        <v>54</v>
      </c>
      <c r="D8321" t="s">
        <v>11</v>
      </c>
      <c r="E8321" t="s">
        <v>12</v>
      </c>
      <c r="F8321" t="s">
        <v>63</v>
      </c>
      <c r="G8321" t="str">
        <f t="shared" si="340"/>
        <v>002SUMMER ROMANCE</v>
      </c>
      <c r="H8321" s="5">
        <f>VLOOKUP(G8321,[3]Astroflores!$G$2:$H$109,2,FALSE)</f>
        <v>1350</v>
      </c>
      <c r="I8321" s="6">
        <v>951.10714281909407</v>
      </c>
      <c r="J8321" s="5">
        <v>7200</v>
      </c>
      <c r="K8321" s="6">
        <f t="shared" ref="K8321:K8380" si="341">+H8321/I8321</f>
        <v>1.419398445477533</v>
      </c>
    </row>
    <row r="8322" spans="1:11" hidden="1">
      <c r="A8322" s="4">
        <v>2026</v>
      </c>
      <c r="B8322">
        <v>25</v>
      </c>
      <c r="C8322" t="s">
        <v>54</v>
      </c>
      <c r="D8322" t="s">
        <v>11</v>
      </c>
      <c r="E8322" t="s">
        <v>12</v>
      </c>
      <c r="F8322" t="s">
        <v>64</v>
      </c>
      <c r="G8322" t="str">
        <f t="shared" si="340"/>
        <v>002SWEETNESS</v>
      </c>
      <c r="H8322" s="5">
        <f>VLOOKUP(G8322,[3]Astroflores!$G$2:$H$109,2,FALSE)</f>
        <v>5490</v>
      </c>
      <c r="I8322" s="6">
        <v>3804.4285712763772</v>
      </c>
      <c r="J8322" s="5">
        <v>28800</v>
      </c>
      <c r="K8322" s="6">
        <f t="shared" si="341"/>
        <v>1.4430550862354914</v>
      </c>
    </row>
    <row r="8323" spans="1:11" hidden="1">
      <c r="A8323" s="4">
        <v>2026</v>
      </c>
      <c r="B8323">
        <v>25</v>
      </c>
      <c r="C8323" t="s">
        <v>54</v>
      </c>
      <c r="D8323" t="s">
        <v>11</v>
      </c>
      <c r="E8323" t="s">
        <v>65</v>
      </c>
      <c r="F8323" t="s">
        <v>66</v>
      </c>
      <c r="G8323" t="str">
        <f t="shared" si="340"/>
        <v>003CABARET</v>
      </c>
      <c r="H8323" s="5">
        <f>VLOOKUP(G8323,[3]Astroflores!$G$2:$H$109,2,FALSE)</f>
        <v>4860</v>
      </c>
      <c r="I8323" s="6">
        <v>2641.8965516184649</v>
      </c>
      <c r="J8323" s="5">
        <v>20000</v>
      </c>
      <c r="K8323" s="6">
        <f t="shared" si="341"/>
        <v>1.8395875482038433</v>
      </c>
    </row>
    <row r="8324" spans="1:11" hidden="1">
      <c r="A8324" s="4">
        <v>2026</v>
      </c>
      <c r="B8324">
        <v>25</v>
      </c>
      <c r="C8324" t="s">
        <v>54</v>
      </c>
      <c r="D8324" t="s">
        <v>11</v>
      </c>
      <c r="E8324" t="s">
        <v>65</v>
      </c>
      <c r="F8324" t="s">
        <v>67</v>
      </c>
      <c r="G8324" t="str">
        <f t="shared" si="340"/>
        <v>003DEEP PURPLE</v>
      </c>
      <c r="H8324" s="5">
        <f>VLOOKUP(G8324,[3]Astroflores!$G$2:$H$109,2,FALSE)</f>
        <v>11190</v>
      </c>
      <c r="I8324" s="6">
        <v>3592.9793102010913</v>
      </c>
      <c r="J8324" s="5">
        <v>26044</v>
      </c>
      <c r="K8324" s="6">
        <f t="shared" si="341"/>
        <v>3.114407023783758</v>
      </c>
    </row>
    <row r="8325" spans="1:11" hidden="1">
      <c r="A8325" s="4">
        <v>2026</v>
      </c>
      <c r="B8325">
        <v>25</v>
      </c>
      <c r="C8325" t="s">
        <v>54</v>
      </c>
      <c r="D8325" t="s">
        <v>11</v>
      </c>
      <c r="E8325" t="s">
        <v>65</v>
      </c>
      <c r="F8325" t="s">
        <v>57</v>
      </c>
      <c r="G8325" t="str">
        <f t="shared" si="340"/>
        <v>003EXPLORER</v>
      </c>
      <c r="H8325" s="5">
        <f>VLOOKUP(G8325,[3]Astroflores!$G$2:$H$109,2,FALSE)</f>
        <v>3350</v>
      </c>
      <c r="I8325" s="6">
        <v>1268.1103447768633</v>
      </c>
      <c r="J8325" s="5">
        <v>9600</v>
      </c>
      <c r="K8325" s="6">
        <f t="shared" si="341"/>
        <v>2.6417259458517122</v>
      </c>
    </row>
    <row r="8326" spans="1:11" hidden="1">
      <c r="A8326" s="4">
        <v>2026</v>
      </c>
      <c r="B8326">
        <v>25</v>
      </c>
      <c r="C8326" t="s">
        <v>54</v>
      </c>
      <c r="D8326" t="s">
        <v>11</v>
      </c>
      <c r="E8326" t="s">
        <v>65</v>
      </c>
      <c r="F8326" t="s">
        <v>68</v>
      </c>
      <c r="G8326" t="str">
        <f t="shared" si="340"/>
        <v>003JOCKER</v>
      </c>
      <c r="H8326" s="5">
        <f>VLOOKUP(G8326,[3]Astroflores!$G$2:$H$109,2,FALSE)</f>
        <v>750</v>
      </c>
      <c r="I8326" s="6">
        <v>528.37931032368999</v>
      </c>
      <c r="J8326" s="5">
        <v>4000</v>
      </c>
      <c r="K8326" s="6">
        <f t="shared" si="341"/>
        <v>1.4194348365770475</v>
      </c>
    </row>
    <row r="8327" spans="1:11" hidden="1">
      <c r="A8327" s="4">
        <v>2026</v>
      </c>
      <c r="B8327">
        <v>25</v>
      </c>
      <c r="C8327" t="s">
        <v>54</v>
      </c>
      <c r="D8327" t="s">
        <v>11</v>
      </c>
      <c r="E8327" t="s">
        <v>65</v>
      </c>
      <c r="F8327" t="s">
        <v>69</v>
      </c>
      <c r="G8327" t="str">
        <f t="shared" si="340"/>
        <v>003QUICKSAND</v>
      </c>
      <c r="H8327" s="5">
        <f>VLOOKUP(G8327,[3]Astroflores!$G$2:$H$109,2,FALSE)</f>
        <v>1800</v>
      </c>
      <c r="I8327" s="6">
        <v>1162.4344827121247</v>
      </c>
      <c r="J8327" s="5">
        <v>8800</v>
      </c>
      <c r="K8327" s="6">
        <f t="shared" si="341"/>
        <v>1.5484743671749521</v>
      </c>
    </row>
    <row r="8328" spans="1:11" hidden="1">
      <c r="A8328" s="4">
        <v>2026</v>
      </c>
      <c r="B8328">
        <v>25</v>
      </c>
      <c r="C8328" t="s">
        <v>54</v>
      </c>
      <c r="D8328" t="s">
        <v>11</v>
      </c>
      <c r="E8328" t="s">
        <v>14</v>
      </c>
      <c r="F8328" t="s">
        <v>70</v>
      </c>
      <c r="G8328" t="str">
        <f t="shared" si="340"/>
        <v>004COTOPAXI</v>
      </c>
      <c r="H8328" s="5">
        <f>VLOOKUP(G8328,[3]Astroflores!$G$2:$H$109,2,FALSE)</f>
        <v>1140</v>
      </c>
      <c r="I8328" s="6">
        <v>528.3915024419166</v>
      </c>
      <c r="J8328" s="5">
        <v>4000</v>
      </c>
      <c r="K8328" s="6">
        <f t="shared" si="341"/>
        <v>2.1574911684453411</v>
      </c>
    </row>
    <row r="8329" spans="1:11" hidden="1">
      <c r="A8329" s="4">
        <v>2026</v>
      </c>
      <c r="B8329">
        <v>25</v>
      </c>
      <c r="C8329" t="s">
        <v>54</v>
      </c>
      <c r="D8329" t="s">
        <v>11</v>
      </c>
      <c r="E8329" t="s">
        <v>14</v>
      </c>
      <c r="F8329" t="s">
        <v>67</v>
      </c>
      <c r="G8329" t="str">
        <f t="shared" si="340"/>
        <v>004DEEP PURPLE</v>
      </c>
      <c r="H8329" s="5">
        <f>VLOOKUP(G8329,[3]Astroflores!$G$2:$H$109,2,FALSE)</f>
        <v>15480</v>
      </c>
      <c r="I8329" s="6">
        <v>3910.1071427007282</v>
      </c>
      <c r="J8329" s="5">
        <v>29260</v>
      </c>
      <c r="K8329" s="6">
        <f t="shared" si="341"/>
        <v>3.9589707992778673</v>
      </c>
    </row>
    <row r="8330" spans="1:11" hidden="1">
      <c r="A8330" s="4">
        <v>2026</v>
      </c>
      <c r="B8330">
        <v>25</v>
      </c>
      <c r="C8330" t="s">
        <v>54</v>
      </c>
      <c r="D8330" t="s">
        <v>11</v>
      </c>
      <c r="E8330" t="s">
        <v>14</v>
      </c>
      <c r="F8330" t="s">
        <v>71</v>
      </c>
      <c r="G8330" t="str">
        <f t="shared" si="340"/>
        <v>004HOT EXPLORER</v>
      </c>
      <c r="H8330" s="5">
        <f>VLOOKUP(G8330,[3]Astroflores!$G$2:$H$109,2,FALSE)</f>
        <v>3775</v>
      </c>
      <c r="I8330" s="6">
        <v>1902.2142856381945</v>
      </c>
      <c r="J8330" s="5">
        <v>14400</v>
      </c>
      <c r="K8330" s="6">
        <f t="shared" si="341"/>
        <v>1.9845293080287663</v>
      </c>
    </row>
    <row r="8331" spans="1:11" hidden="1">
      <c r="A8331" s="4">
        <v>2026</v>
      </c>
      <c r="B8331">
        <v>25</v>
      </c>
      <c r="C8331" t="s">
        <v>54</v>
      </c>
      <c r="D8331" t="s">
        <v>11</v>
      </c>
      <c r="E8331" t="s">
        <v>14</v>
      </c>
      <c r="F8331" t="s">
        <v>72</v>
      </c>
      <c r="G8331" t="str">
        <f t="shared" si="340"/>
        <v>004HOT MERENGUE</v>
      </c>
      <c r="H8331" s="5">
        <f>VLOOKUP(G8331,[3]Astroflores!$G$2:$H$109,2,FALSE)</f>
        <v>3510</v>
      </c>
      <c r="I8331" s="6">
        <v>1162.4642856677858</v>
      </c>
      <c r="J8331" s="5">
        <v>8800</v>
      </c>
      <c r="K8331" s="6">
        <f t="shared" si="341"/>
        <v>3.01944760219765</v>
      </c>
    </row>
    <row r="8332" spans="1:11" hidden="1">
      <c r="A8332" s="4">
        <v>2026</v>
      </c>
      <c r="B8332">
        <v>25</v>
      </c>
      <c r="C8332" t="s">
        <v>54</v>
      </c>
      <c r="D8332" t="s">
        <v>11</v>
      </c>
      <c r="E8332" t="s">
        <v>14</v>
      </c>
      <c r="F8332" t="s">
        <v>64</v>
      </c>
      <c r="G8332" t="str">
        <f t="shared" si="340"/>
        <v>004SWEETNESS</v>
      </c>
      <c r="H8332" s="5">
        <f>VLOOKUP(G8332,[3]Astroflores!$G$2:$H$109,2,FALSE)</f>
        <v>480</v>
      </c>
      <c r="I8332" s="6">
        <v>317.03571427303262</v>
      </c>
      <c r="J8332" s="5">
        <v>2400</v>
      </c>
      <c r="K8332" s="6">
        <f t="shared" si="341"/>
        <v>1.5140250085093623</v>
      </c>
    </row>
    <row r="8333" spans="1:11" hidden="1">
      <c r="A8333" s="4">
        <v>2026</v>
      </c>
      <c r="B8333">
        <v>25</v>
      </c>
      <c r="C8333" t="s">
        <v>54</v>
      </c>
      <c r="D8333" t="s">
        <v>11</v>
      </c>
      <c r="E8333" t="s">
        <v>16</v>
      </c>
      <c r="F8333" t="s">
        <v>57</v>
      </c>
      <c r="G8333" t="str">
        <f t="shared" si="340"/>
        <v>005EXPLORER</v>
      </c>
      <c r="H8333" s="5">
        <f>VLOOKUP(G8333,[3]Astroflores!$G$2:$H$109,2,FALSE)</f>
        <v>1550</v>
      </c>
      <c r="I8333" s="6">
        <v>951.10714281875391</v>
      </c>
      <c r="J8333" s="5">
        <v>7200</v>
      </c>
      <c r="K8333" s="6">
        <f t="shared" si="341"/>
        <v>1.6296796966599725</v>
      </c>
    </row>
    <row r="8334" spans="1:11" hidden="1">
      <c r="A8334" s="4">
        <v>2026</v>
      </c>
      <c r="B8334">
        <v>25</v>
      </c>
      <c r="C8334" t="s">
        <v>54</v>
      </c>
      <c r="D8334" t="s">
        <v>11</v>
      </c>
      <c r="E8334" t="s">
        <v>16</v>
      </c>
      <c r="F8334" t="s">
        <v>73</v>
      </c>
      <c r="G8334" t="str">
        <f t="shared" si="340"/>
        <v>005GOLDFINCH</v>
      </c>
      <c r="H8334" s="5">
        <f>VLOOKUP(G8334,[3]Astroflores!$G$2:$H$109,2,FALSE)</f>
        <v>950</v>
      </c>
      <c r="I8334" s="6">
        <v>898.26785710660101</v>
      </c>
      <c r="J8334" s="5">
        <v>6800</v>
      </c>
      <c r="K8334" s="6">
        <f t="shared" si="341"/>
        <v>1.0575909985914811</v>
      </c>
    </row>
    <row r="8335" spans="1:11" hidden="1">
      <c r="A8335" s="4">
        <v>2026</v>
      </c>
      <c r="B8335">
        <v>25</v>
      </c>
      <c r="C8335" t="s">
        <v>54</v>
      </c>
      <c r="D8335" t="s">
        <v>11</v>
      </c>
      <c r="E8335" t="s">
        <v>16</v>
      </c>
      <c r="F8335" t="s">
        <v>68</v>
      </c>
      <c r="G8335" t="str">
        <f t="shared" si="340"/>
        <v>005JOCKER</v>
      </c>
      <c r="H8335" s="5">
        <f>VLOOKUP(G8335,[3]Astroflores!$G$2:$H$109,2,FALSE)</f>
        <v>1550</v>
      </c>
      <c r="I8335" s="6">
        <v>1162.4642856673661</v>
      </c>
      <c r="J8335" s="5">
        <v>8800</v>
      </c>
      <c r="K8335" s="6">
        <f t="shared" si="341"/>
        <v>1.33337429726725</v>
      </c>
    </row>
    <row r="8336" spans="1:11" hidden="1">
      <c r="A8336" s="4">
        <v>2026</v>
      </c>
      <c r="B8336">
        <v>25</v>
      </c>
      <c r="C8336" t="s">
        <v>54</v>
      </c>
      <c r="D8336" t="s">
        <v>11</v>
      </c>
      <c r="E8336" t="s">
        <v>16</v>
      </c>
      <c r="F8336" t="s">
        <v>74</v>
      </c>
      <c r="G8336" t="str">
        <f t="shared" si="340"/>
        <v>005VENDELA</v>
      </c>
      <c r="H8336" s="5">
        <f>VLOOKUP(G8336,[3]Astroflores!$G$2:$H$109,2,FALSE)</f>
        <v>1140</v>
      </c>
      <c r="I8336" s="6">
        <v>686.91071425798896</v>
      </c>
      <c r="J8336" s="5">
        <v>5200</v>
      </c>
      <c r="K8336" s="6">
        <f t="shared" si="341"/>
        <v>1.6596043362512474</v>
      </c>
    </row>
    <row r="8337" spans="1:11" hidden="1">
      <c r="A8337" s="4">
        <v>2026</v>
      </c>
      <c r="B8337">
        <v>25</v>
      </c>
      <c r="C8337" t="s">
        <v>54</v>
      </c>
      <c r="D8337" t="s">
        <v>11</v>
      </c>
      <c r="E8337" t="s">
        <v>75</v>
      </c>
      <c r="F8337" t="s">
        <v>76</v>
      </c>
      <c r="G8337" t="str">
        <f t="shared" si="340"/>
        <v>006ATOMIC</v>
      </c>
      <c r="H8337" s="5">
        <f>VLOOKUP(G8337,[3]Astroflores!$G$2:$H$109,2,FALSE)</f>
        <v>875</v>
      </c>
      <c r="I8337" s="6">
        <v>845.428571394752</v>
      </c>
      <c r="J8337" s="5">
        <v>6400</v>
      </c>
      <c r="K8337" s="6">
        <f t="shared" si="341"/>
        <v>1.034978033160699</v>
      </c>
    </row>
    <row r="8338" spans="1:11" hidden="1">
      <c r="A8338" s="4">
        <v>2026</v>
      </c>
      <c r="B8338">
        <v>25</v>
      </c>
      <c r="C8338" t="s">
        <v>54</v>
      </c>
      <c r="D8338" t="s">
        <v>11</v>
      </c>
      <c r="E8338" t="s">
        <v>75</v>
      </c>
      <c r="F8338" t="s">
        <v>57</v>
      </c>
      <c r="G8338" t="str">
        <f t="shared" si="340"/>
        <v>006EXPLORER</v>
      </c>
      <c r="H8338" s="5">
        <f>VLOOKUP(G8338,[3]Astroflores!$G$2:$H$109,2,FALSE)</f>
        <v>5950</v>
      </c>
      <c r="I8338" s="6">
        <v>3910.1071427007355</v>
      </c>
      <c r="J8338" s="5">
        <v>29600</v>
      </c>
      <c r="K8338" s="6">
        <f t="shared" si="341"/>
        <v>1.5216974325389707</v>
      </c>
    </row>
    <row r="8339" spans="1:11" hidden="1">
      <c r="A8339" s="4">
        <v>2026</v>
      </c>
      <c r="B8339">
        <v>25</v>
      </c>
      <c r="C8339" t="s">
        <v>54</v>
      </c>
      <c r="D8339" t="s">
        <v>11</v>
      </c>
      <c r="E8339" t="s">
        <v>75</v>
      </c>
      <c r="F8339" t="s">
        <v>77</v>
      </c>
      <c r="G8339" t="str">
        <f t="shared" si="340"/>
        <v>006MONDIAL</v>
      </c>
      <c r="H8339" s="5">
        <f>VLOOKUP(G8339,[3]Astroflores!$G$2:$H$109,2,FALSE)</f>
        <v>5025</v>
      </c>
      <c r="I8339" s="6">
        <v>4015.7857141250793</v>
      </c>
      <c r="J8339" s="5">
        <v>30400</v>
      </c>
      <c r="K8339" s="6">
        <f t="shared" si="341"/>
        <v>1.2513117874604518</v>
      </c>
    </row>
    <row r="8340" spans="1:11" hidden="1">
      <c r="A8340" s="4">
        <v>2026</v>
      </c>
      <c r="B8340">
        <v>25</v>
      </c>
      <c r="C8340" t="s">
        <v>54</v>
      </c>
      <c r="D8340" t="s">
        <v>11</v>
      </c>
      <c r="E8340" t="s">
        <v>20</v>
      </c>
      <c r="F8340" t="s">
        <v>70</v>
      </c>
      <c r="G8340" t="str">
        <f t="shared" si="340"/>
        <v>007COTOPAXI</v>
      </c>
      <c r="H8340" s="5">
        <f>VLOOKUP(G8340,[3]Astroflores!$G$2:$H$109,2,FALSE)</f>
        <v>4620</v>
      </c>
      <c r="I8340" s="6">
        <v>2747.5751230427709</v>
      </c>
      <c r="J8340" s="5">
        <v>20800</v>
      </c>
      <c r="K8340" s="6">
        <f t="shared" si="341"/>
        <v>1.6814826867713206</v>
      </c>
    </row>
    <row r="8341" spans="1:11" hidden="1">
      <c r="A8341" s="4">
        <v>2026</v>
      </c>
      <c r="B8341">
        <v>25</v>
      </c>
      <c r="C8341" t="s">
        <v>54</v>
      </c>
      <c r="D8341" t="s">
        <v>11</v>
      </c>
      <c r="E8341" t="s">
        <v>20</v>
      </c>
      <c r="F8341" t="s">
        <v>78</v>
      </c>
      <c r="G8341" t="str">
        <f t="shared" si="340"/>
        <v>007REDIANT</v>
      </c>
      <c r="H8341" s="5">
        <f>VLOOKUP(G8341,[3]Astroflores!$G$2:$H$109,2,FALSE)</f>
        <v>1830</v>
      </c>
      <c r="I8341" s="6">
        <v>1056.75862064738</v>
      </c>
      <c r="J8341" s="5">
        <v>9600</v>
      </c>
      <c r="K8341" s="6">
        <f t="shared" si="341"/>
        <v>1.7317105006239981</v>
      </c>
    </row>
    <row r="8342" spans="1:11" hidden="1">
      <c r="A8342" s="4">
        <v>2026</v>
      </c>
      <c r="B8342">
        <v>25</v>
      </c>
      <c r="C8342" t="s">
        <v>54</v>
      </c>
      <c r="D8342" t="s">
        <v>11</v>
      </c>
      <c r="E8342" t="s">
        <v>20</v>
      </c>
      <c r="F8342" t="s">
        <v>74</v>
      </c>
      <c r="G8342" t="str">
        <f t="shared" si="340"/>
        <v>007VENDELA</v>
      </c>
      <c r="H8342" s="5">
        <f>VLOOKUP(G8342,[3]Astroflores!$G$2:$H$109,2,FALSE)</f>
        <v>8190</v>
      </c>
      <c r="I8342" s="6">
        <v>3592.9793102011122</v>
      </c>
      <c r="J8342" s="5">
        <v>27820</v>
      </c>
      <c r="K8342" s="6">
        <f t="shared" si="341"/>
        <v>2.2794453552090106</v>
      </c>
    </row>
    <row r="8343" spans="1:11" hidden="1">
      <c r="A8343" s="4">
        <v>2026</v>
      </c>
      <c r="B8343">
        <v>25</v>
      </c>
      <c r="C8343" t="s">
        <v>54</v>
      </c>
      <c r="D8343" t="s">
        <v>11</v>
      </c>
      <c r="E8343" t="s">
        <v>79</v>
      </c>
      <c r="F8343" t="s">
        <v>67</v>
      </c>
      <c r="G8343" t="str">
        <f t="shared" si="340"/>
        <v>008DEEP PURPLE</v>
      </c>
      <c r="H8343" s="5">
        <f>VLOOKUP(G8343,[3]Astroflores!$G$2:$H$109,2,FALSE)</f>
        <v>3390</v>
      </c>
      <c r="I8343" s="6">
        <v>1585.2222221588099</v>
      </c>
      <c r="J8343" s="5">
        <v>11490</v>
      </c>
      <c r="K8343" s="6">
        <f t="shared" si="341"/>
        <v>2.1385014369678603</v>
      </c>
    </row>
    <row r="8344" spans="1:11" hidden="1">
      <c r="A8344" s="4">
        <v>2026</v>
      </c>
      <c r="B8344">
        <v>25</v>
      </c>
      <c r="C8344" t="s">
        <v>54</v>
      </c>
      <c r="D8344" t="s">
        <v>11</v>
      </c>
      <c r="E8344" t="s">
        <v>79</v>
      </c>
      <c r="F8344" t="s">
        <v>81</v>
      </c>
      <c r="G8344" t="str">
        <f t="shared" si="340"/>
        <v>008FREEDOM</v>
      </c>
      <c r="H8344" s="5">
        <f>VLOOKUP(G8344,[3]Astroflores!$G$2:$H$109,2,FALSE)</f>
        <v>3090</v>
      </c>
      <c r="I8344" s="6">
        <v>2219.311111022334</v>
      </c>
      <c r="J8344" s="5">
        <v>16800</v>
      </c>
      <c r="K8344" s="6">
        <f t="shared" si="341"/>
        <v>1.3923239444228168</v>
      </c>
    </row>
    <row r="8345" spans="1:11" hidden="1">
      <c r="A8345" s="4">
        <v>2026</v>
      </c>
      <c r="B8345">
        <v>25</v>
      </c>
      <c r="C8345" t="s">
        <v>54</v>
      </c>
      <c r="D8345" t="s">
        <v>11</v>
      </c>
      <c r="E8345" t="s">
        <v>79</v>
      </c>
      <c r="F8345" t="s">
        <v>68</v>
      </c>
      <c r="G8345" t="str">
        <f t="shared" si="340"/>
        <v>008JOCKER</v>
      </c>
      <c r="H8345" s="5">
        <f>VLOOKUP(G8345,[3]Astroflores!$G$2:$H$109,2,FALSE)</f>
        <v>3350</v>
      </c>
      <c r="I8345" s="6">
        <v>2959.0814813631118</v>
      </c>
      <c r="J8345" s="5">
        <v>22400</v>
      </c>
      <c r="K8345" s="6">
        <f t="shared" si="341"/>
        <v>1.1321080616059311</v>
      </c>
    </row>
    <row r="8346" spans="1:11" hidden="1">
      <c r="A8346" s="4">
        <v>2026</v>
      </c>
      <c r="B8346">
        <v>25</v>
      </c>
      <c r="C8346" t="s">
        <v>54</v>
      </c>
      <c r="D8346" t="s">
        <v>11</v>
      </c>
      <c r="E8346" t="s">
        <v>82</v>
      </c>
      <c r="F8346" t="s">
        <v>83</v>
      </c>
      <c r="G8346" t="str">
        <f t="shared" si="340"/>
        <v>010COOLDOWN</v>
      </c>
      <c r="H8346" s="5">
        <f>VLOOKUP(G8346,[3]Astroflores!$G$2:$H$109,2,FALSE)</f>
        <v>2725</v>
      </c>
      <c r="I8346" s="6">
        <v>1912.3542857142861</v>
      </c>
      <c r="J8346" s="5">
        <v>16320</v>
      </c>
      <c r="K8346" s="6">
        <f t="shared" si="341"/>
        <v>1.4249451685581269</v>
      </c>
    </row>
    <row r="8347" spans="1:11" hidden="1">
      <c r="A8347" s="4">
        <v>2026</v>
      </c>
      <c r="B8347">
        <v>25</v>
      </c>
      <c r="C8347" t="s">
        <v>54</v>
      </c>
      <c r="D8347" t="s">
        <v>11</v>
      </c>
      <c r="E8347" t="s">
        <v>82</v>
      </c>
      <c r="F8347" t="s">
        <v>84</v>
      </c>
      <c r="G8347" t="str">
        <f t="shared" si="340"/>
        <v>010VIOLET HILL</v>
      </c>
      <c r="H8347" s="5">
        <f>VLOOKUP(G8347,[3]Astroflores!$G$2:$H$109,2,FALSE)</f>
        <v>3450</v>
      </c>
      <c r="I8347" s="6">
        <v>2812.2857142428579</v>
      </c>
      <c r="J8347" s="5">
        <v>20000</v>
      </c>
      <c r="K8347" s="6">
        <f t="shared" si="341"/>
        <v>1.2267601341241503</v>
      </c>
    </row>
    <row r="8348" spans="1:11" hidden="1">
      <c r="A8348" s="4">
        <v>2026</v>
      </c>
      <c r="B8348">
        <v>25</v>
      </c>
      <c r="C8348" t="s">
        <v>54</v>
      </c>
      <c r="D8348" t="s">
        <v>11</v>
      </c>
      <c r="E8348" t="s">
        <v>85</v>
      </c>
      <c r="F8348" t="s">
        <v>86</v>
      </c>
      <c r="G8348" t="str">
        <f t="shared" si="340"/>
        <v>011BRIGHTON</v>
      </c>
      <c r="H8348" s="5">
        <f>VLOOKUP(G8348,[3]Astroflores!$G$2:$H$109,2,FALSE)</f>
        <v>2850</v>
      </c>
      <c r="I8348" s="6">
        <v>1768.8376470588223</v>
      </c>
      <c r="J8348" s="5">
        <v>12800</v>
      </c>
      <c r="K8348" s="6">
        <f t="shared" si="341"/>
        <v>1.6112275791613246</v>
      </c>
    </row>
    <row r="8349" spans="1:11" hidden="1">
      <c r="A8349" s="4">
        <v>2026</v>
      </c>
      <c r="B8349">
        <v>25</v>
      </c>
      <c r="C8349" t="s">
        <v>54</v>
      </c>
      <c r="D8349" t="s">
        <v>11</v>
      </c>
      <c r="E8349" t="s">
        <v>85</v>
      </c>
      <c r="F8349" t="s">
        <v>87</v>
      </c>
      <c r="G8349" t="str">
        <f t="shared" si="340"/>
        <v>011CANDLELIGHT</v>
      </c>
      <c r="H8349" s="5">
        <f>VLOOKUP(G8349,[3]Astroflores!$G$2:$H$109,2,FALSE)</f>
        <v>4820</v>
      </c>
      <c r="I8349" s="6">
        <v>2263.7999998868127</v>
      </c>
      <c r="J8349" s="5">
        <v>17920</v>
      </c>
      <c r="K8349" s="6">
        <f t="shared" si="341"/>
        <v>2.1291633537596053</v>
      </c>
    </row>
    <row r="8350" spans="1:11" hidden="1">
      <c r="A8350" s="4">
        <v>2026</v>
      </c>
      <c r="B8350">
        <v>25</v>
      </c>
      <c r="C8350" t="s">
        <v>54</v>
      </c>
      <c r="D8350" t="s">
        <v>11</v>
      </c>
      <c r="E8350" t="s">
        <v>85</v>
      </c>
      <c r="F8350" t="s">
        <v>88</v>
      </c>
      <c r="G8350" t="str">
        <f t="shared" si="340"/>
        <v>011CAYENNE</v>
      </c>
      <c r="H8350" s="5">
        <f>VLOOKUP(G8350,[3]Astroflores!$G$2:$H$109,2,FALSE)</f>
        <v>1740</v>
      </c>
      <c r="I8350" s="6">
        <v>994.97117647058747</v>
      </c>
      <c r="J8350" s="5">
        <v>7200</v>
      </c>
      <c r="K8350" s="6">
        <f t="shared" si="341"/>
        <v>1.7487943783177888</v>
      </c>
    </row>
    <row r="8351" spans="1:11" hidden="1">
      <c r="A8351" s="4">
        <v>2026</v>
      </c>
      <c r="B8351">
        <v>25</v>
      </c>
      <c r="C8351" t="s">
        <v>54</v>
      </c>
      <c r="D8351" t="s">
        <v>11</v>
      </c>
      <c r="E8351" t="s">
        <v>85</v>
      </c>
      <c r="F8351" t="s">
        <v>61</v>
      </c>
      <c r="G8351" t="str">
        <f t="shared" si="340"/>
        <v>011LUMIA</v>
      </c>
      <c r="H8351" s="5">
        <f>VLOOKUP(G8351,[3]Astroflores!$G$2:$H$109,2,FALSE)</f>
        <v>1290</v>
      </c>
      <c r="I8351" s="6">
        <v>994.97117647058747</v>
      </c>
      <c r="J8351" s="5">
        <v>7920</v>
      </c>
      <c r="K8351" s="6">
        <f t="shared" si="341"/>
        <v>1.2965199701321539</v>
      </c>
    </row>
    <row r="8352" spans="1:11" hidden="1">
      <c r="A8352" s="4">
        <v>2026</v>
      </c>
      <c r="B8352">
        <v>25</v>
      </c>
      <c r="C8352" t="s">
        <v>54</v>
      </c>
      <c r="D8352" t="s">
        <v>11</v>
      </c>
      <c r="E8352" t="s">
        <v>85</v>
      </c>
      <c r="F8352" t="s">
        <v>89</v>
      </c>
      <c r="G8352" t="str">
        <f t="shared" si="340"/>
        <v>011STARDUST</v>
      </c>
      <c r="H8352" s="5">
        <f>VLOOKUP(G8352,[3]Astroflores!$G$2:$H$109,2,FALSE)</f>
        <v>2275</v>
      </c>
      <c r="I8352" s="6">
        <v>2263.7999998868127</v>
      </c>
      <c r="J8352" s="5">
        <v>17920</v>
      </c>
      <c r="K8352" s="6">
        <f t="shared" si="341"/>
        <v>1.0049474335691082</v>
      </c>
    </row>
    <row r="8353" spans="1:11" hidden="1">
      <c r="A8353" s="4">
        <v>2026</v>
      </c>
      <c r="B8353">
        <v>25</v>
      </c>
      <c r="C8353" t="s">
        <v>54</v>
      </c>
      <c r="D8353" t="s">
        <v>11</v>
      </c>
      <c r="E8353" t="s">
        <v>90</v>
      </c>
      <c r="F8353" t="s">
        <v>67</v>
      </c>
      <c r="G8353" t="str">
        <f t="shared" si="340"/>
        <v>012DEEP PURPLE</v>
      </c>
      <c r="H8353" s="5">
        <f>VLOOKUP(G8353,[3]Astroflores!$G$2:$H$109,2,FALSE)</f>
        <v>11160</v>
      </c>
      <c r="I8353" s="6">
        <v>6727.0499997982479</v>
      </c>
      <c r="J8353" s="5">
        <v>49210</v>
      </c>
      <c r="K8353" s="6">
        <f t="shared" si="341"/>
        <v>1.6589738444540625</v>
      </c>
    </row>
    <row r="8354" spans="1:11" hidden="1">
      <c r="A8354" s="4">
        <v>2026</v>
      </c>
      <c r="B8354">
        <v>25</v>
      </c>
      <c r="C8354" t="s">
        <v>54</v>
      </c>
      <c r="D8354" t="s">
        <v>11</v>
      </c>
      <c r="E8354" t="s">
        <v>90</v>
      </c>
      <c r="F8354" t="s">
        <v>60</v>
      </c>
      <c r="G8354" t="str">
        <f t="shared" si="340"/>
        <v>012LIGHT HOUSE</v>
      </c>
      <c r="H8354" s="5">
        <f>VLOOKUP(G8354,[3]Astroflores!$G$2:$H$109,2,FALSE)</f>
        <v>1500</v>
      </c>
      <c r="I8354" s="6">
        <v>994.95</v>
      </c>
      <c r="J8354" s="5">
        <v>7200</v>
      </c>
      <c r="K8354" s="6">
        <f t="shared" si="341"/>
        <v>1.5076134479119554</v>
      </c>
    </row>
    <row r="8355" spans="1:11" hidden="1">
      <c r="A8355" s="4">
        <v>2026</v>
      </c>
      <c r="B8355">
        <v>25</v>
      </c>
      <c r="C8355" t="s">
        <v>54</v>
      </c>
      <c r="D8355" t="s">
        <v>11</v>
      </c>
      <c r="E8355" t="s">
        <v>91</v>
      </c>
      <c r="F8355" t="s">
        <v>92</v>
      </c>
      <c r="G8355" t="str">
        <f t="shared" si="340"/>
        <v>013COUNTRY BLUES</v>
      </c>
      <c r="H8355" s="5">
        <f>VLOOKUP(G8355,[3]Astroflores!$G$2:$H$109,2,FALSE)</f>
        <v>1460</v>
      </c>
      <c r="I8355" s="6">
        <v>831.6</v>
      </c>
      <c r="J8355" s="5">
        <v>6300</v>
      </c>
      <c r="K8355" s="6">
        <f t="shared" si="341"/>
        <v>1.7556517556517557</v>
      </c>
    </row>
    <row r="8356" spans="1:11" hidden="1">
      <c r="A8356" s="4">
        <v>2026</v>
      </c>
      <c r="B8356">
        <v>25</v>
      </c>
      <c r="C8356" t="s">
        <v>54</v>
      </c>
      <c r="D8356" t="s">
        <v>11</v>
      </c>
      <c r="E8356" t="s">
        <v>91</v>
      </c>
      <c r="F8356" t="s">
        <v>93</v>
      </c>
      <c r="G8356" t="str">
        <f t="shared" si="340"/>
        <v>013LORRAINE</v>
      </c>
      <c r="H8356" s="5">
        <f>VLOOKUP(G8356,[3]Astroflores!$G$2:$H$109,2,FALSE)</f>
        <v>3475</v>
      </c>
      <c r="I8356" s="6">
        <v>1267.2</v>
      </c>
      <c r="J8356" s="5">
        <v>9600</v>
      </c>
      <c r="K8356" s="6">
        <f t="shared" si="341"/>
        <v>2.7422664141414139</v>
      </c>
    </row>
    <row r="8357" spans="1:11" hidden="1">
      <c r="A8357" s="4">
        <v>2026</v>
      </c>
      <c r="B8357">
        <v>25</v>
      </c>
      <c r="C8357" t="s">
        <v>54</v>
      </c>
      <c r="D8357" t="s">
        <v>11</v>
      </c>
      <c r="E8357" t="s">
        <v>91</v>
      </c>
      <c r="F8357" t="s">
        <v>61</v>
      </c>
      <c r="G8357" t="str">
        <f t="shared" si="340"/>
        <v>013LUMIA</v>
      </c>
      <c r="H8357" s="5">
        <f>VLOOKUP(G8357,[3]Astroflores!$G$2:$H$109,2,FALSE)</f>
        <v>420</v>
      </c>
      <c r="I8357" s="6">
        <v>316.8</v>
      </c>
      <c r="J8357" s="5">
        <v>2400</v>
      </c>
      <c r="K8357" s="6">
        <f t="shared" si="341"/>
        <v>1.3257575757575757</v>
      </c>
    </row>
    <row r="8358" spans="1:11" hidden="1">
      <c r="A8358" s="4">
        <v>2026</v>
      </c>
      <c r="B8358">
        <v>25</v>
      </c>
      <c r="C8358" t="s">
        <v>54</v>
      </c>
      <c r="D8358" t="s">
        <v>11</v>
      </c>
      <c r="E8358" t="s">
        <v>91</v>
      </c>
      <c r="F8358" t="s">
        <v>74</v>
      </c>
      <c r="G8358" t="str">
        <f t="shared" si="340"/>
        <v>013VENDELA</v>
      </c>
      <c r="H8358" s="5">
        <f>VLOOKUP(G8358,[3]Astroflores!$G$2:$H$109,2,FALSE)</f>
        <v>10410</v>
      </c>
      <c r="I8358" s="6">
        <v>3603.6</v>
      </c>
      <c r="J8358" s="5">
        <v>27296</v>
      </c>
      <c r="K8358" s="6">
        <f t="shared" si="341"/>
        <v>2.8887778887778888</v>
      </c>
    </row>
    <row r="8359" spans="1:11" hidden="1">
      <c r="A8359" s="4">
        <v>2026</v>
      </c>
      <c r="B8359">
        <v>25</v>
      </c>
      <c r="C8359" t="s">
        <v>54</v>
      </c>
      <c r="D8359" t="s">
        <v>11</v>
      </c>
      <c r="E8359" t="s">
        <v>23</v>
      </c>
      <c r="F8359" t="s">
        <v>89</v>
      </c>
      <c r="G8359" t="str">
        <f t="shared" si="340"/>
        <v>014STARDUST</v>
      </c>
      <c r="H8359" s="5">
        <f>VLOOKUP(G8359,[3]Astroflores!$G$2:$H$109,2,FALSE)</f>
        <v>4800</v>
      </c>
      <c r="I8359" s="6">
        <v>3682.8</v>
      </c>
      <c r="J8359" s="5">
        <v>27900</v>
      </c>
      <c r="K8359" s="6">
        <f t="shared" si="341"/>
        <v>1.3033561420658195</v>
      </c>
    </row>
    <row r="8360" spans="1:11" hidden="1">
      <c r="A8360" s="4">
        <v>2026</v>
      </c>
      <c r="B8360">
        <v>25</v>
      </c>
      <c r="C8360" t="s">
        <v>54</v>
      </c>
      <c r="D8360" t="s">
        <v>11</v>
      </c>
      <c r="E8360" t="s">
        <v>25</v>
      </c>
      <c r="F8360" t="s">
        <v>68</v>
      </c>
      <c r="G8360" t="str">
        <f t="shared" si="340"/>
        <v>015JOCKER</v>
      </c>
      <c r="H8360" s="5">
        <f>VLOOKUP(G8360,[3]Astroflores!$G$2:$H$109,2,FALSE)</f>
        <v>3475</v>
      </c>
      <c r="I8360" s="6">
        <v>2376</v>
      </c>
      <c r="J8360" s="5">
        <v>18000</v>
      </c>
      <c r="K8360" s="6">
        <f t="shared" si="341"/>
        <v>1.4625420875420876</v>
      </c>
    </row>
    <row r="8361" spans="1:11" hidden="1">
      <c r="A8361" s="4">
        <v>2026</v>
      </c>
      <c r="B8361">
        <v>25</v>
      </c>
      <c r="C8361" t="s">
        <v>54</v>
      </c>
      <c r="D8361" t="s">
        <v>11</v>
      </c>
      <c r="E8361" t="s">
        <v>27</v>
      </c>
      <c r="F8361" t="s">
        <v>94</v>
      </c>
      <c r="G8361" t="str">
        <f t="shared" si="340"/>
        <v>016DREAM IN PEACH</v>
      </c>
      <c r="H8361" s="5">
        <f>VLOOKUP(G8361,[3]Astroflores!$G$2:$H$109,2,FALSE)</f>
        <v>1440</v>
      </c>
      <c r="I8361" s="6">
        <v>950.4</v>
      </c>
      <c r="J8361" s="5">
        <v>7200</v>
      </c>
      <c r="K8361" s="6">
        <f t="shared" si="341"/>
        <v>1.5151515151515151</v>
      </c>
    </row>
    <row r="8362" spans="1:11" hidden="1">
      <c r="A8362" s="4">
        <v>2026</v>
      </c>
      <c r="B8362">
        <v>25</v>
      </c>
      <c r="C8362" t="s">
        <v>54</v>
      </c>
      <c r="D8362" t="s">
        <v>11</v>
      </c>
      <c r="E8362" t="s">
        <v>27</v>
      </c>
      <c r="F8362" t="s">
        <v>95</v>
      </c>
      <c r="G8362" t="str">
        <f t="shared" si="340"/>
        <v>016NINA</v>
      </c>
      <c r="H8362" s="5">
        <f>VLOOKUP(G8362,[3]Astroflores!$G$2:$H$109,2,FALSE)</f>
        <v>3150</v>
      </c>
      <c r="I8362" s="6">
        <v>1346.4</v>
      </c>
      <c r="J8362" s="5">
        <v>10200</v>
      </c>
      <c r="K8362" s="6">
        <f t="shared" si="341"/>
        <v>2.3395721925133688</v>
      </c>
    </row>
    <row r="8363" spans="1:11" hidden="1">
      <c r="A8363" s="4">
        <v>2026</v>
      </c>
      <c r="B8363">
        <v>25</v>
      </c>
      <c r="C8363" t="s">
        <v>54</v>
      </c>
      <c r="D8363" t="s">
        <v>11</v>
      </c>
      <c r="E8363" t="s">
        <v>30</v>
      </c>
      <c r="F8363" t="s">
        <v>81</v>
      </c>
      <c r="G8363" t="str">
        <f t="shared" si="340"/>
        <v>017FREEDOM</v>
      </c>
      <c r="H8363" s="5">
        <f>VLOOKUP(G8363,[3]Astroflores!$G$2:$H$109,2,FALSE)</f>
        <v>5640</v>
      </c>
      <c r="I8363" s="6">
        <v>2851.2</v>
      </c>
      <c r="J8363" s="5">
        <v>21600</v>
      </c>
      <c r="K8363" s="6">
        <f t="shared" si="341"/>
        <v>1.9781144781144782</v>
      </c>
    </row>
    <row r="8364" spans="1:11" hidden="1">
      <c r="A8364" s="4">
        <v>2026</v>
      </c>
      <c r="B8364">
        <v>25</v>
      </c>
      <c r="C8364" t="s">
        <v>54</v>
      </c>
      <c r="D8364" t="s">
        <v>11</v>
      </c>
      <c r="E8364" t="s">
        <v>30</v>
      </c>
      <c r="F8364" t="s">
        <v>73</v>
      </c>
      <c r="G8364" t="str">
        <f t="shared" si="340"/>
        <v>017GOLDFINCH</v>
      </c>
      <c r="H8364" s="5">
        <f>VLOOKUP(G8364,[3]Astroflores!$G$2:$H$109,2,FALSE)</f>
        <v>3600</v>
      </c>
      <c r="I8364" s="6">
        <v>2138.4</v>
      </c>
      <c r="J8364" s="5">
        <v>16200</v>
      </c>
      <c r="K8364" s="6">
        <f t="shared" si="341"/>
        <v>1.6835016835016834</v>
      </c>
    </row>
    <row r="8365" spans="1:11" hidden="1">
      <c r="A8365" s="4">
        <v>2026</v>
      </c>
      <c r="B8365">
        <v>25</v>
      </c>
      <c r="C8365" t="s">
        <v>54</v>
      </c>
      <c r="D8365" t="s">
        <v>11</v>
      </c>
      <c r="E8365" t="s">
        <v>32</v>
      </c>
      <c r="F8365" t="s">
        <v>86</v>
      </c>
      <c r="G8365" t="str">
        <f t="shared" si="340"/>
        <v>018BRIGHTON</v>
      </c>
      <c r="H8365" s="5">
        <f>VLOOKUP(G8365,[3]Astroflores!$G$2:$H$109,2,FALSE)</f>
        <v>1225</v>
      </c>
      <c r="I8365" s="6">
        <v>963.6</v>
      </c>
      <c r="J8365" s="5">
        <v>7570</v>
      </c>
      <c r="K8365" s="6">
        <f t="shared" si="341"/>
        <v>1.2712743877127439</v>
      </c>
    </row>
    <row r="8366" spans="1:11" hidden="1">
      <c r="A8366" s="4">
        <v>2026</v>
      </c>
      <c r="B8366">
        <v>25</v>
      </c>
      <c r="C8366" t="s">
        <v>54</v>
      </c>
      <c r="D8366" t="s">
        <v>11</v>
      </c>
      <c r="E8366" t="s">
        <v>35</v>
      </c>
      <c r="F8366" t="s">
        <v>86</v>
      </c>
      <c r="G8366" t="str">
        <f t="shared" si="340"/>
        <v>019BRIGHTON</v>
      </c>
      <c r="H8366" s="5">
        <f>VLOOKUP(G8366,[3]Astroflores!$G$2:$H$109,2,FALSE)</f>
        <v>7525</v>
      </c>
      <c r="I8366" s="6">
        <v>3168</v>
      </c>
      <c r="J8366" s="5">
        <v>24000</v>
      </c>
      <c r="K8366" s="6">
        <f t="shared" si="341"/>
        <v>2.3753156565656566</v>
      </c>
    </row>
    <row r="8367" spans="1:11" hidden="1">
      <c r="A8367" s="4">
        <v>2026</v>
      </c>
      <c r="B8367">
        <v>25</v>
      </c>
      <c r="C8367" t="s">
        <v>54</v>
      </c>
      <c r="D8367" t="s">
        <v>11</v>
      </c>
      <c r="E8367" t="s">
        <v>35</v>
      </c>
      <c r="F8367" t="s">
        <v>96</v>
      </c>
      <c r="G8367" t="str">
        <f t="shared" si="340"/>
        <v>019TABATHA</v>
      </c>
      <c r="H8367" s="5">
        <f>VLOOKUP(G8367,[3]Astroflores!$G$2:$H$109,2,FALSE)</f>
        <v>2730</v>
      </c>
      <c r="I8367" s="6">
        <v>1188</v>
      </c>
      <c r="J8367" s="5">
        <v>9000</v>
      </c>
      <c r="K8367" s="6">
        <f t="shared" si="341"/>
        <v>2.297979797979798</v>
      </c>
    </row>
    <row r="8368" spans="1:11" hidden="1">
      <c r="A8368" s="4">
        <v>2026</v>
      </c>
      <c r="B8368">
        <v>25</v>
      </c>
      <c r="C8368" t="s">
        <v>54</v>
      </c>
      <c r="D8368" t="s">
        <v>11</v>
      </c>
      <c r="E8368" t="s">
        <v>36</v>
      </c>
      <c r="F8368" t="s">
        <v>86</v>
      </c>
      <c r="G8368" t="str">
        <f t="shared" si="340"/>
        <v>020BRIGHTON</v>
      </c>
      <c r="H8368" s="5">
        <f>VLOOKUP(G8368,[3]Astroflores!$G$2:$H$109,2,FALSE)</f>
        <v>3550</v>
      </c>
      <c r="I8368" s="6">
        <v>2732.4</v>
      </c>
      <c r="J8368" s="5">
        <v>20700</v>
      </c>
      <c r="K8368" s="6">
        <f t="shared" si="341"/>
        <v>1.2992241253110819</v>
      </c>
    </row>
    <row r="8369" spans="1:11" hidden="1">
      <c r="A8369" s="4">
        <v>2026</v>
      </c>
      <c r="B8369">
        <v>25</v>
      </c>
      <c r="C8369" t="s">
        <v>54</v>
      </c>
      <c r="D8369" t="s">
        <v>11</v>
      </c>
      <c r="E8369" t="s">
        <v>36</v>
      </c>
      <c r="F8369" t="s">
        <v>97</v>
      </c>
      <c r="G8369" t="str">
        <f t="shared" si="340"/>
        <v>020TYCOON</v>
      </c>
      <c r="H8369" s="5">
        <f>VLOOKUP(G8369,[3]Astroflores!$G$2:$H$109,2,FALSE)</f>
        <v>960</v>
      </c>
      <c r="I8369" s="6">
        <v>673.2</v>
      </c>
      <c r="J8369" s="5">
        <v>5100</v>
      </c>
      <c r="K8369" s="6">
        <f t="shared" si="341"/>
        <v>1.4260249554367201</v>
      </c>
    </row>
    <row r="8370" spans="1:11" hidden="1">
      <c r="A8370" s="4">
        <v>2026</v>
      </c>
      <c r="B8370">
        <v>25</v>
      </c>
      <c r="C8370" t="s">
        <v>54</v>
      </c>
      <c r="D8370" t="s">
        <v>11</v>
      </c>
      <c r="E8370" t="s">
        <v>38</v>
      </c>
      <c r="F8370" t="s">
        <v>98</v>
      </c>
      <c r="G8370" t="str">
        <f t="shared" si="340"/>
        <v>021SHOW GIRL</v>
      </c>
      <c r="H8370" s="5">
        <f>VLOOKUP(G8370,[3]Astroflores!$G$2:$H$109,2,FALSE)</f>
        <v>1550</v>
      </c>
      <c r="I8370" s="6">
        <v>1100.4749999999999</v>
      </c>
      <c r="J8370" s="5">
        <v>8000</v>
      </c>
      <c r="K8370" s="6">
        <f t="shared" si="341"/>
        <v>1.4084827006519913</v>
      </c>
    </row>
    <row r="8371" spans="1:11" hidden="1">
      <c r="A8371" s="4">
        <v>2026</v>
      </c>
      <c r="B8371">
        <v>25</v>
      </c>
      <c r="C8371" t="s">
        <v>54</v>
      </c>
      <c r="D8371" t="s">
        <v>11</v>
      </c>
      <c r="E8371" t="s">
        <v>43</v>
      </c>
      <c r="F8371" t="s">
        <v>99</v>
      </c>
      <c r="G8371" t="str">
        <f t="shared" si="340"/>
        <v>022CORAL REEF</v>
      </c>
      <c r="H8371" s="5">
        <f>VLOOKUP(G8371,[3]Astroflores!$G$2:$H$109,2,FALSE)</f>
        <v>2575</v>
      </c>
      <c r="I8371" s="6">
        <v>1287</v>
      </c>
      <c r="J8371" s="5">
        <v>9400</v>
      </c>
      <c r="K8371" s="6">
        <f t="shared" si="341"/>
        <v>2.0007770007770009</v>
      </c>
    </row>
    <row r="8372" spans="1:11" hidden="1">
      <c r="A8372" s="4">
        <v>2026</v>
      </c>
      <c r="B8372">
        <v>25</v>
      </c>
      <c r="C8372" t="s">
        <v>54</v>
      </c>
      <c r="D8372" t="s">
        <v>11</v>
      </c>
      <c r="E8372" t="s">
        <v>100</v>
      </c>
      <c r="F8372" t="s">
        <v>70</v>
      </c>
      <c r="G8372" t="str">
        <f t="shared" si="340"/>
        <v>023COTOPAXI</v>
      </c>
      <c r="H8372" s="5">
        <f>VLOOKUP(G8372,[3]Astroflores!$G$2:$H$109,2,FALSE)</f>
        <v>5820</v>
      </c>
      <c r="I8372" s="6">
        <v>2641.14</v>
      </c>
      <c r="J8372" s="5">
        <v>19200</v>
      </c>
      <c r="K8372" s="6">
        <f t="shared" si="341"/>
        <v>2.2035939026329538</v>
      </c>
    </row>
    <row r="8373" spans="1:11" hidden="1">
      <c r="A8373" s="4">
        <v>2026</v>
      </c>
      <c r="B8373">
        <v>25</v>
      </c>
      <c r="C8373" t="s">
        <v>54</v>
      </c>
      <c r="D8373" t="s">
        <v>11</v>
      </c>
      <c r="E8373" t="s">
        <v>100</v>
      </c>
      <c r="F8373" t="s">
        <v>101</v>
      </c>
      <c r="G8373" t="str">
        <f t="shared" si="340"/>
        <v>023FRUTTETO</v>
      </c>
      <c r="H8373" s="5">
        <f>VLOOKUP(G8373,[3]Astroflores!$G$2:$H$109,2,FALSE)</f>
        <v>5490</v>
      </c>
      <c r="I8373" s="6">
        <v>2641.14</v>
      </c>
      <c r="J8373" s="5">
        <v>19200</v>
      </c>
      <c r="K8373" s="6">
        <f t="shared" si="341"/>
        <v>2.0786478566073741</v>
      </c>
    </row>
    <row r="8374" spans="1:11" hidden="1">
      <c r="A8374" s="4">
        <v>2026</v>
      </c>
      <c r="B8374">
        <v>25</v>
      </c>
      <c r="C8374" t="s">
        <v>54</v>
      </c>
      <c r="D8374" t="s">
        <v>11</v>
      </c>
      <c r="E8374" t="s">
        <v>102</v>
      </c>
      <c r="F8374" t="s">
        <v>70</v>
      </c>
      <c r="G8374" t="str">
        <f t="shared" si="340"/>
        <v>024COTOPAXI</v>
      </c>
      <c r="H8374" s="5">
        <f>VLOOKUP(G8374,[3]Astroflores!$G$2:$H$109,2,FALSE)</f>
        <v>3090</v>
      </c>
      <c r="I8374" s="6">
        <v>1430.6174906250001</v>
      </c>
      <c r="J8374" s="5">
        <v>10400</v>
      </c>
      <c r="K8374" s="6">
        <f t="shared" si="341"/>
        <v>2.1599064881067953</v>
      </c>
    </row>
    <row r="8375" spans="1:11" hidden="1">
      <c r="A8375" s="4">
        <v>2026</v>
      </c>
      <c r="B8375">
        <v>25</v>
      </c>
      <c r="C8375" t="s">
        <v>54</v>
      </c>
      <c r="D8375" t="s">
        <v>11</v>
      </c>
      <c r="E8375" t="s">
        <v>102</v>
      </c>
      <c r="F8375" t="s">
        <v>64</v>
      </c>
      <c r="G8375" t="str">
        <f t="shared" ref="G8375:G8437" si="342">+E8375&amp;F8375</f>
        <v>024SWEETNESS</v>
      </c>
      <c r="H8375" s="5">
        <f>VLOOKUP(G8375,[3]Astroflores!$G$2:$H$109,2,FALSE)</f>
        <v>1560</v>
      </c>
      <c r="I8375" s="6">
        <v>1430.6175000000001</v>
      </c>
      <c r="J8375" s="5">
        <v>10400</v>
      </c>
      <c r="K8375" s="6">
        <f t="shared" si="341"/>
        <v>1.0904382198596061</v>
      </c>
    </row>
    <row r="8376" spans="1:11" hidden="1">
      <c r="A8376" s="4">
        <v>2026</v>
      </c>
      <c r="B8376">
        <v>25</v>
      </c>
      <c r="C8376" t="s">
        <v>54</v>
      </c>
      <c r="D8376" t="s">
        <v>11</v>
      </c>
      <c r="E8376" t="s">
        <v>102</v>
      </c>
      <c r="F8376" t="s">
        <v>97</v>
      </c>
      <c r="G8376" t="str">
        <f t="shared" si="342"/>
        <v>024TYCOON</v>
      </c>
      <c r="H8376" s="5">
        <f>VLOOKUP(G8376,[3]Astroflores!$G$2:$H$109,2,FALSE)</f>
        <v>3780</v>
      </c>
      <c r="I8376" s="6">
        <v>2861.2350000000001</v>
      </c>
      <c r="J8376" s="5">
        <v>20800</v>
      </c>
      <c r="K8376" s="6">
        <f t="shared" si="341"/>
        <v>1.3211078432914458</v>
      </c>
    </row>
    <row r="8377" spans="1:11" hidden="1">
      <c r="A8377" s="4">
        <v>2026</v>
      </c>
      <c r="B8377">
        <v>25</v>
      </c>
      <c r="C8377" t="s">
        <v>54</v>
      </c>
      <c r="D8377" t="s">
        <v>11</v>
      </c>
      <c r="E8377" t="s">
        <v>103</v>
      </c>
      <c r="F8377" t="s">
        <v>104</v>
      </c>
      <c r="G8377" t="str">
        <f t="shared" si="342"/>
        <v>025PINK MONDIAL</v>
      </c>
      <c r="H8377" s="5">
        <f>VLOOKUP(G8377,[3]Astroflores!$G$2:$H$109,2,FALSE)</f>
        <v>4025</v>
      </c>
      <c r="I8377" s="6">
        <v>3071.9505625000002</v>
      </c>
      <c r="J8377" s="5">
        <v>22400</v>
      </c>
      <c r="K8377" s="6">
        <f t="shared" si="341"/>
        <v>1.3102424398146544</v>
      </c>
    </row>
    <row r="8378" spans="1:11" hidden="1">
      <c r="A8378" s="4">
        <v>2026</v>
      </c>
      <c r="B8378">
        <v>25</v>
      </c>
      <c r="C8378" t="s">
        <v>54</v>
      </c>
      <c r="D8378" t="s">
        <v>11</v>
      </c>
      <c r="E8378" t="s">
        <v>45</v>
      </c>
      <c r="F8378" t="s">
        <v>105</v>
      </c>
      <c r="G8378" t="str">
        <f t="shared" si="342"/>
        <v>026LOLA</v>
      </c>
      <c r="H8378" s="5">
        <f>VLOOKUP(G8378,[3]Astroflores!$G$2:$H$109,2,FALSE)</f>
        <v>6650</v>
      </c>
      <c r="I8378" s="6">
        <v>1097.125</v>
      </c>
      <c r="J8378" s="5">
        <v>8000</v>
      </c>
      <c r="K8378" s="6">
        <f t="shared" si="341"/>
        <v>6.0612965705822033</v>
      </c>
    </row>
    <row r="8379" spans="1:11" hidden="1">
      <c r="A8379" s="4">
        <v>2026</v>
      </c>
      <c r="B8379">
        <v>25</v>
      </c>
      <c r="C8379" t="s">
        <v>54</v>
      </c>
      <c r="D8379" t="s">
        <v>11</v>
      </c>
      <c r="E8379" t="s">
        <v>45</v>
      </c>
      <c r="F8379" t="s">
        <v>106</v>
      </c>
      <c r="G8379" t="str">
        <f t="shared" si="342"/>
        <v>026PALOMA</v>
      </c>
      <c r="H8379" s="5">
        <f>VLOOKUP(G8379,[3]Astroflores!$G$2:$H$109,2,FALSE)</f>
        <v>5225</v>
      </c>
      <c r="I8379" s="6">
        <v>2852.5250000000001</v>
      </c>
      <c r="J8379" s="5">
        <v>20800</v>
      </c>
      <c r="K8379" s="6">
        <f t="shared" si="341"/>
        <v>1.8317105020990174</v>
      </c>
    </row>
    <row r="8380" spans="1:11" hidden="1">
      <c r="A8380" s="4">
        <v>2026</v>
      </c>
      <c r="B8380">
        <v>25</v>
      </c>
      <c r="C8380" t="s">
        <v>54</v>
      </c>
      <c r="D8380" t="s">
        <v>11</v>
      </c>
      <c r="E8380" t="s">
        <v>107</v>
      </c>
      <c r="F8380" t="s">
        <v>108</v>
      </c>
      <c r="G8380" t="str">
        <f t="shared" si="342"/>
        <v>027SATISFACTION</v>
      </c>
      <c r="H8380" s="5">
        <f>VLOOKUP(G8380,[3]Astroflores!$G$2:$H$109,2,FALSE)</f>
        <v>3660</v>
      </c>
      <c r="I8380" s="6">
        <v>2633.1</v>
      </c>
      <c r="J8380" s="5">
        <v>19200</v>
      </c>
      <c r="K8380" s="6">
        <f t="shared" si="341"/>
        <v>1.3899965819756182</v>
      </c>
    </row>
    <row r="8381" spans="1:11" hidden="1">
      <c r="A8381" s="4">
        <v>2026</v>
      </c>
      <c r="B8381">
        <v>25</v>
      </c>
      <c r="C8381" t="s">
        <v>54</v>
      </c>
      <c r="D8381" t="s">
        <v>11</v>
      </c>
      <c r="E8381" t="s">
        <v>107</v>
      </c>
      <c r="F8381" t="s">
        <v>109</v>
      </c>
      <c r="G8381" t="str">
        <f t="shared" si="342"/>
        <v>027TIFFANY</v>
      </c>
      <c r="H8381" s="5">
        <f>VLOOKUP(G8381,[3]Astroflores!$G$2:$H$109,2,FALSE)</f>
        <v>3420</v>
      </c>
      <c r="I8381" s="6">
        <v>2633.1</v>
      </c>
      <c r="J8381" s="5">
        <v>19200</v>
      </c>
      <c r="K8381" s="6">
        <f t="shared" ref="K8381:K8420" si="343">+H8381/I8381</f>
        <v>1.2988492651247578</v>
      </c>
    </row>
    <row r="8382" spans="1:11" hidden="1">
      <c r="A8382" s="4">
        <v>2026</v>
      </c>
      <c r="B8382">
        <v>25</v>
      </c>
      <c r="C8382" t="s">
        <v>54</v>
      </c>
      <c r="D8382" t="s">
        <v>11</v>
      </c>
      <c r="E8382" t="s">
        <v>110</v>
      </c>
      <c r="F8382" t="s">
        <v>70</v>
      </c>
      <c r="G8382" t="str">
        <f t="shared" si="342"/>
        <v>028COTOPAXI</v>
      </c>
      <c r="H8382" s="5">
        <f>VLOOKUP(G8382,[3]Astroflores!$G$2:$H$109,2,FALSE)</f>
        <v>5100</v>
      </c>
      <c r="I8382" s="6">
        <v>2852.5250000000001</v>
      </c>
      <c r="J8382" s="5">
        <v>20800</v>
      </c>
      <c r="K8382" s="6">
        <f t="shared" si="343"/>
        <v>1.7878896766899501</v>
      </c>
    </row>
    <row r="8383" spans="1:11" hidden="1">
      <c r="A8383" s="4">
        <v>2026</v>
      </c>
      <c r="B8383">
        <v>25</v>
      </c>
      <c r="C8383" t="s">
        <v>54</v>
      </c>
      <c r="D8383" t="s">
        <v>11</v>
      </c>
      <c r="E8383" t="s">
        <v>110</v>
      </c>
      <c r="F8383" t="s">
        <v>67</v>
      </c>
      <c r="G8383" t="str">
        <f t="shared" si="342"/>
        <v>028DEEP PURPLE</v>
      </c>
      <c r="H8383" s="5">
        <f>VLOOKUP(G8383,[3]Astroflores!$G$2:$H$109,2,FALSE)</f>
        <v>5970</v>
      </c>
      <c r="I8383" s="6">
        <v>2852.5250000000001</v>
      </c>
      <c r="J8383" s="5">
        <v>20800</v>
      </c>
      <c r="K8383" s="6">
        <f t="shared" si="343"/>
        <v>2.0928826215370591</v>
      </c>
    </row>
    <row r="8384" spans="1:11" hidden="1">
      <c r="A8384" s="4">
        <v>2026</v>
      </c>
      <c r="B8384">
        <v>25</v>
      </c>
      <c r="C8384" t="s">
        <v>54</v>
      </c>
      <c r="D8384" t="s">
        <v>11</v>
      </c>
      <c r="E8384" t="s">
        <v>111</v>
      </c>
      <c r="F8384" t="s">
        <v>112</v>
      </c>
      <c r="G8384" t="str">
        <f t="shared" si="342"/>
        <v>029PINK FLOYD</v>
      </c>
      <c r="H8384" s="5">
        <f>VLOOKUP(G8384,[3]Astroflores!$G$2:$H$109,2,FALSE)</f>
        <v>3950</v>
      </c>
      <c r="I8384" s="6">
        <v>3071.95</v>
      </c>
      <c r="J8384" s="5">
        <v>22400</v>
      </c>
      <c r="K8384" s="6">
        <f t="shared" si="343"/>
        <v>1.2858282198603495</v>
      </c>
    </row>
    <row r="8385" spans="1:11" hidden="1">
      <c r="A8385" s="4">
        <v>2026</v>
      </c>
      <c r="B8385">
        <v>25</v>
      </c>
      <c r="C8385" t="s">
        <v>54</v>
      </c>
      <c r="D8385" t="s">
        <v>11</v>
      </c>
      <c r="E8385" t="s">
        <v>47</v>
      </c>
      <c r="F8385" t="s">
        <v>57</v>
      </c>
      <c r="G8385" t="str">
        <f t="shared" si="342"/>
        <v>030EXPLORER</v>
      </c>
      <c r="H8385" s="5">
        <f>VLOOKUP(G8385,[3]Astroflores!$G$2:$H$109,2,FALSE)</f>
        <v>2775</v>
      </c>
      <c r="I8385" s="6">
        <v>1645.6875</v>
      </c>
      <c r="J8385" s="5">
        <v>12000</v>
      </c>
      <c r="K8385" s="6">
        <f t="shared" si="343"/>
        <v>1.6862253617409138</v>
      </c>
    </row>
    <row r="8386" spans="1:11" hidden="1">
      <c r="A8386" s="4">
        <v>2026</v>
      </c>
      <c r="B8386">
        <v>26</v>
      </c>
      <c r="C8386" t="s">
        <v>10</v>
      </c>
      <c r="D8386" t="s">
        <v>11</v>
      </c>
      <c r="E8386" t="s">
        <v>12</v>
      </c>
      <c r="F8386" t="s">
        <v>13</v>
      </c>
      <c r="G8386" t="str">
        <f t="shared" si="342"/>
        <v>002SOMERSET</v>
      </c>
      <c r="H8386" s="5">
        <f>VLOOKUP(G8386,[4]Astroflores!$G$2:$H$109,2,FALSE)</f>
        <v>8260</v>
      </c>
      <c r="I8386" s="6">
        <v>4121.4642855494085</v>
      </c>
      <c r="J8386" s="5">
        <v>31200</v>
      </c>
      <c r="K8386" s="6">
        <f t="shared" si="343"/>
        <v>2.0041420785716957</v>
      </c>
    </row>
    <row r="8387" spans="1:11" hidden="1">
      <c r="A8387" s="4">
        <v>2026</v>
      </c>
      <c r="B8387">
        <v>26</v>
      </c>
      <c r="C8387" t="s">
        <v>10</v>
      </c>
      <c r="D8387" t="s">
        <v>11</v>
      </c>
      <c r="E8387" t="s">
        <v>14</v>
      </c>
      <c r="F8387" t="s">
        <v>15</v>
      </c>
      <c r="G8387" t="str">
        <f t="shared" si="342"/>
        <v>004BELLINA</v>
      </c>
      <c r="H8387" s="5">
        <f>VLOOKUP(G8387,[4]Astroflores!$G$2:$H$109,2,FALSE)</f>
        <v>1950</v>
      </c>
      <c r="I8387" s="6">
        <v>1056.7857142434418</v>
      </c>
      <c r="J8387" s="5">
        <v>8000</v>
      </c>
      <c r="K8387" s="6">
        <f t="shared" si="343"/>
        <v>1.8452179791207859</v>
      </c>
    </row>
    <row r="8388" spans="1:11" hidden="1">
      <c r="A8388" s="4">
        <v>2026</v>
      </c>
      <c r="B8388">
        <v>26</v>
      </c>
      <c r="C8388" t="s">
        <v>10</v>
      </c>
      <c r="D8388" t="s">
        <v>11</v>
      </c>
      <c r="E8388" t="s">
        <v>16</v>
      </c>
      <c r="F8388" t="s">
        <v>17</v>
      </c>
      <c r="G8388" t="str">
        <f t="shared" si="342"/>
        <v>005ELBA</v>
      </c>
      <c r="H8388" s="5">
        <f>VLOOKUP(G8388,[4]Astroflores!$G$2:$H$109,2,FALSE)</f>
        <v>7230</v>
      </c>
      <c r="I8388" s="6">
        <v>2641.9642856076484</v>
      </c>
      <c r="J8388" s="5">
        <v>19996</v>
      </c>
      <c r="K8388" s="6">
        <f t="shared" si="343"/>
        <v>2.7366002028816636</v>
      </c>
    </row>
    <row r="8389" spans="1:11" hidden="1">
      <c r="A8389" s="4">
        <v>2026</v>
      </c>
      <c r="B8389">
        <v>26</v>
      </c>
      <c r="C8389" t="s">
        <v>10</v>
      </c>
      <c r="D8389" t="s">
        <v>11</v>
      </c>
      <c r="E8389" t="s">
        <v>16</v>
      </c>
      <c r="F8389" t="s">
        <v>18</v>
      </c>
      <c r="G8389" t="str">
        <f t="shared" si="342"/>
        <v>005HOT BUBBLES</v>
      </c>
      <c r="H8389" s="5">
        <f>VLOOKUP(G8389,[4]Astroflores!$G$2:$H$109,2,FALSE)</f>
        <v>1300</v>
      </c>
      <c r="I8389" s="6">
        <v>528.39285712153003</v>
      </c>
      <c r="J8389" s="5">
        <v>4000</v>
      </c>
      <c r="K8389" s="6">
        <f t="shared" si="343"/>
        <v>2.4602906388286034</v>
      </c>
    </row>
    <row r="8390" spans="1:11" hidden="1">
      <c r="A8390" s="4">
        <v>2026</v>
      </c>
      <c r="B8390">
        <v>26</v>
      </c>
      <c r="C8390" t="s">
        <v>10</v>
      </c>
      <c r="D8390" t="s">
        <v>11</v>
      </c>
      <c r="E8390" t="s">
        <v>16</v>
      </c>
      <c r="F8390" t="s">
        <v>19</v>
      </c>
      <c r="G8390" t="str">
        <f t="shared" si="342"/>
        <v>005SUSPIRO</v>
      </c>
      <c r="H8390" s="5">
        <f>VLOOKUP(G8390,[4]Astroflores!$G$2:$H$109,2,FALSE)</f>
        <v>3330</v>
      </c>
      <c r="I8390" s="6">
        <v>1902.2142856375078</v>
      </c>
      <c r="J8390" s="5">
        <v>14400</v>
      </c>
      <c r="K8390" s="6">
        <f t="shared" si="343"/>
        <v>1.7505914160895832</v>
      </c>
    </row>
    <row r="8391" spans="1:11" hidden="1">
      <c r="A8391" s="4">
        <v>2026</v>
      </c>
      <c r="B8391">
        <v>26</v>
      </c>
      <c r="C8391" t="s">
        <v>10</v>
      </c>
      <c r="D8391" t="s">
        <v>11</v>
      </c>
      <c r="E8391" t="s">
        <v>20</v>
      </c>
      <c r="F8391" t="s">
        <v>21</v>
      </c>
      <c r="G8391" t="str">
        <f t="shared" si="342"/>
        <v>007SNOW BUBBLES</v>
      </c>
      <c r="H8391" s="5">
        <f>VLOOKUP(G8391,[4]Astroflores!$G$2:$H$109,2,FALSE)</f>
        <v>960</v>
      </c>
      <c r="I8391" s="6">
        <v>634.05652706821195</v>
      </c>
      <c r="J8391" s="5">
        <v>4800</v>
      </c>
      <c r="K8391" s="6">
        <f t="shared" si="343"/>
        <v>1.5140605908418052</v>
      </c>
    </row>
    <row r="8392" spans="1:11" hidden="1">
      <c r="A8392" s="4">
        <v>2026</v>
      </c>
      <c r="B8392">
        <v>26</v>
      </c>
      <c r="C8392" t="s">
        <v>10</v>
      </c>
      <c r="D8392" t="s">
        <v>11</v>
      </c>
      <c r="E8392" t="s">
        <v>22</v>
      </c>
      <c r="F8392" t="s">
        <v>18</v>
      </c>
      <c r="G8392" t="str">
        <f t="shared" si="342"/>
        <v>009HOT BUBBLES</v>
      </c>
      <c r="H8392" s="5">
        <f>VLOOKUP(G8392,[4]Astroflores!$G$2:$H$109,2,FALSE)</f>
        <v>13480</v>
      </c>
      <c r="I8392" s="6">
        <v>4487.9999999102474</v>
      </c>
      <c r="J8392" s="5">
        <v>31740</v>
      </c>
      <c r="K8392" s="6">
        <f t="shared" si="343"/>
        <v>3.0035650624486583</v>
      </c>
    </row>
    <row r="8393" spans="1:11" hidden="1">
      <c r="A8393" s="4">
        <v>2026</v>
      </c>
      <c r="B8393">
        <v>26</v>
      </c>
      <c r="C8393" t="s">
        <v>10</v>
      </c>
      <c r="D8393" t="s">
        <v>11</v>
      </c>
      <c r="E8393" t="s">
        <v>23</v>
      </c>
      <c r="F8393" t="s">
        <v>24</v>
      </c>
      <c r="G8393" t="str">
        <f t="shared" si="342"/>
        <v>014FRUITY BUBBLES</v>
      </c>
      <c r="H8393" s="5">
        <f>VLOOKUP(G8393,[4]Astroflores!$G$2:$H$109,2,FALSE)</f>
        <v>4200</v>
      </c>
      <c r="I8393" s="6">
        <v>1702.8</v>
      </c>
      <c r="J8393" s="5">
        <v>12900</v>
      </c>
      <c r="K8393" s="6">
        <f t="shared" si="343"/>
        <v>2.4665257223396759</v>
      </c>
    </row>
    <row r="8394" spans="1:11" hidden="1">
      <c r="A8394" s="4">
        <v>2026</v>
      </c>
      <c r="B8394">
        <v>26</v>
      </c>
      <c r="C8394" t="s">
        <v>10</v>
      </c>
      <c r="D8394" t="s">
        <v>11</v>
      </c>
      <c r="E8394" t="s">
        <v>25</v>
      </c>
      <c r="F8394" t="s">
        <v>26</v>
      </c>
      <c r="G8394" t="str">
        <f t="shared" si="342"/>
        <v>015FELLINI</v>
      </c>
      <c r="H8394" s="5">
        <f>VLOOKUP(G8394,[4]Astroflores!$G$2:$H$109,2,FALSE)</f>
        <v>7175</v>
      </c>
      <c r="I8394" s="6">
        <v>3009.6</v>
      </c>
      <c r="J8394" s="5">
        <v>22800</v>
      </c>
      <c r="K8394" s="6">
        <f t="shared" si="343"/>
        <v>2.3840377458798514</v>
      </c>
    </row>
    <row r="8395" spans="1:11" hidden="1">
      <c r="A8395" s="4">
        <v>2026</v>
      </c>
      <c r="B8395">
        <v>26</v>
      </c>
      <c r="C8395" t="s">
        <v>10</v>
      </c>
      <c r="D8395" t="s">
        <v>11</v>
      </c>
      <c r="E8395" t="s">
        <v>27</v>
      </c>
      <c r="F8395" t="s">
        <v>28</v>
      </c>
      <c r="G8395" t="str">
        <f t="shared" si="342"/>
        <v>016GOOD PEACH</v>
      </c>
      <c r="H8395" s="5">
        <f>VLOOKUP(G8395,[4]Astroflores!$G$2:$H$109,2,FALSE)</f>
        <v>3330</v>
      </c>
      <c r="I8395" s="6">
        <v>1386</v>
      </c>
      <c r="J8395" s="5">
        <v>10500</v>
      </c>
      <c r="K8395" s="6">
        <f t="shared" si="343"/>
        <v>2.4025974025974026</v>
      </c>
    </row>
    <row r="8396" spans="1:11" hidden="1">
      <c r="A8396" s="4">
        <v>2026</v>
      </c>
      <c r="B8396">
        <v>26</v>
      </c>
      <c r="C8396" t="s">
        <v>10</v>
      </c>
      <c r="D8396" t="s">
        <v>11</v>
      </c>
      <c r="E8396" t="s">
        <v>27</v>
      </c>
      <c r="F8396" t="s">
        <v>29</v>
      </c>
      <c r="G8396" t="str">
        <f t="shared" si="342"/>
        <v>016GOOD YELLOW</v>
      </c>
      <c r="H8396" s="5">
        <f>VLOOKUP(G8396,[4]Astroflores!$G$2:$H$109,2,FALSE)</f>
        <v>4560</v>
      </c>
      <c r="I8396" s="6">
        <v>1386</v>
      </c>
      <c r="J8396" s="5">
        <v>10500</v>
      </c>
      <c r="K8396" s="6">
        <f t="shared" si="343"/>
        <v>3.2900432900432901</v>
      </c>
    </row>
    <row r="8397" spans="1:11" hidden="1">
      <c r="A8397" s="4">
        <v>2026</v>
      </c>
      <c r="B8397">
        <v>26</v>
      </c>
      <c r="C8397" t="s">
        <v>10</v>
      </c>
      <c r="D8397" t="s">
        <v>11</v>
      </c>
      <c r="E8397" t="s">
        <v>30</v>
      </c>
      <c r="F8397" t="s">
        <v>31</v>
      </c>
      <c r="G8397" t="str">
        <f t="shared" si="342"/>
        <v>017ORANGE STAR</v>
      </c>
      <c r="H8397" s="5">
        <f>VLOOKUP(G8397,[4]Astroflores!$G$2:$H$109,2,FALSE)</f>
        <v>1900</v>
      </c>
      <c r="I8397" s="6">
        <v>1029.5999999999999</v>
      </c>
      <c r="J8397" s="5">
        <v>7800</v>
      </c>
      <c r="K8397" s="6">
        <f t="shared" si="343"/>
        <v>1.8453768453768455</v>
      </c>
    </row>
    <row r="8398" spans="1:11" hidden="1">
      <c r="A8398" s="4">
        <v>2026</v>
      </c>
      <c r="B8398">
        <v>26</v>
      </c>
      <c r="C8398" t="s">
        <v>10</v>
      </c>
      <c r="D8398" t="s">
        <v>11</v>
      </c>
      <c r="E8398" t="s">
        <v>32</v>
      </c>
      <c r="F8398" t="s">
        <v>33</v>
      </c>
      <c r="G8398" t="str">
        <f t="shared" si="342"/>
        <v>018COSMO</v>
      </c>
      <c r="H8398" s="5">
        <f>VLOOKUP(G8398,[4]Astroflores!$G$2:$H$109,2,FALSE)</f>
        <v>2925</v>
      </c>
      <c r="I8398" s="6">
        <v>2653.2</v>
      </c>
      <c r="J8398" s="5">
        <v>20100</v>
      </c>
      <c r="K8398" s="6">
        <f t="shared" si="343"/>
        <v>1.1024423337856175</v>
      </c>
    </row>
    <row r="8399" spans="1:11" hidden="1">
      <c r="A8399" s="4">
        <v>2026</v>
      </c>
      <c r="B8399">
        <v>26</v>
      </c>
      <c r="C8399" t="s">
        <v>10</v>
      </c>
      <c r="D8399" t="s">
        <v>11</v>
      </c>
      <c r="E8399" t="s">
        <v>32</v>
      </c>
      <c r="F8399" t="s">
        <v>34</v>
      </c>
      <c r="G8399" t="str">
        <f t="shared" si="342"/>
        <v>018RUBICON</v>
      </c>
      <c r="H8399" s="5">
        <f>VLOOKUP(G8399,[4]Astroflores!$G$2:$H$109,2,FALSE)</f>
        <v>7140</v>
      </c>
      <c r="I8399" s="6">
        <v>1768.8</v>
      </c>
      <c r="J8399" s="5">
        <v>13400</v>
      </c>
      <c r="K8399" s="6">
        <f t="shared" si="343"/>
        <v>4.0366350067842607</v>
      </c>
    </row>
    <row r="8400" spans="1:11" hidden="1">
      <c r="A8400" s="4">
        <v>2026</v>
      </c>
      <c r="B8400">
        <v>26</v>
      </c>
      <c r="C8400" t="s">
        <v>10</v>
      </c>
      <c r="D8400" t="s">
        <v>11</v>
      </c>
      <c r="E8400" t="s">
        <v>35</v>
      </c>
      <c r="F8400" t="s">
        <v>15</v>
      </c>
      <c r="G8400" t="str">
        <f t="shared" si="342"/>
        <v>019BELLINA</v>
      </c>
      <c r="H8400" s="5">
        <f>VLOOKUP(G8400,[4]Astroflores!$G$2:$H$109,2,FALSE)</f>
        <v>1800</v>
      </c>
      <c r="I8400" s="6">
        <v>1029.5999999999999</v>
      </c>
      <c r="J8400" s="5">
        <v>7800</v>
      </c>
      <c r="K8400" s="6">
        <f t="shared" si="343"/>
        <v>1.7482517482517483</v>
      </c>
    </row>
    <row r="8401" spans="1:11" hidden="1">
      <c r="A8401" s="4">
        <v>2026</v>
      </c>
      <c r="B8401">
        <v>26</v>
      </c>
      <c r="C8401" t="s">
        <v>10</v>
      </c>
      <c r="D8401" t="s">
        <v>11</v>
      </c>
      <c r="E8401" t="s">
        <v>36</v>
      </c>
      <c r="F8401" t="s">
        <v>37</v>
      </c>
      <c r="G8401" t="str">
        <f t="shared" si="342"/>
        <v>020SUMMER DANCE</v>
      </c>
      <c r="H8401" s="5">
        <f>VLOOKUP(G8401,[4]Astroflores!$G$2:$H$109,2,FALSE)</f>
        <v>3625</v>
      </c>
      <c r="I8401" s="6">
        <v>1346.4</v>
      </c>
      <c r="J8401" s="5">
        <v>10200</v>
      </c>
      <c r="K8401" s="6">
        <f t="shared" si="343"/>
        <v>2.6923648247177656</v>
      </c>
    </row>
    <row r="8402" spans="1:11" hidden="1">
      <c r="A8402" s="4">
        <v>2026</v>
      </c>
      <c r="B8402">
        <v>26</v>
      </c>
      <c r="C8402" t="s">
        <v>10</v>
      </c>
      <c r="D8402" t="s">
        <v>11</v>
      </c>
      <c r="E8402" t="s">
        <v>38</v>
      </c>
      <c r="F8402" t="s">
        <v>39</v>
      </c>
      <c r="G8402" t="str">
        <f t="shared" si="342"/>
        <v>021ELEGANT ROSEVER</v>
      </c>
      <c r="H8402" s="5">
        <f>VLOOKUP(G8402,[4]Astroflores!$G$2:$H$109,2,FALSE)</f>
        <v>630</v>
      </c>
      <c r="I8402" s="6">
        <v>440.18999062500001</v>
      </c>
      <c r="J8402" s="5">
        <v>3200</v>
      </c>
      <c r="K8402" s="6">
        <f t="shared" si="343"/>
        <v>1.431200194046893</v>
      </c>
    </row>
    <row r="8403" spans="1:11" hidden="1">
      <c r="A8403" s="4">
        <v>2026</v>
      </c>
      <c r="B8403">
        <v>26</v>
      </c>
      <c r="C8403" t="s">
        <v>10</v>
      </c>
      <c r="D8403" t="s">
        <v>11</v>
      </c>
      <c r="E8403" t="s">
        <v>38</v>
      </c>
      <c r="F8403" t="s">
        <v>40</v>
      </c>
      <c r="G8403" t="str">
        <f t="shared" si="342"/>
        <v>021FLAME CLUB</v>
      </c>
      <c r="H8403" s="5">
        <f>VLOOKUP(G8403,[4]Astroflores!$G$2:$H$109,2,FALSE)</f>
        <v>1700</v>
      </c>
      <c r="I8403" s="6">
        <v>880.38</v>
      </c>
      <c r="J8403" s="5">
        <v>6400</v>
      </c>
      <c r="K8403" s="6">
        <f t="shared" si="343"/>
        <v>1.9309843476680524</v>
      </c>
    </row>
    <row r="8404" spans="1:11" hidden="1">
      <c r="A8404" s="4">
        <v>2026</v>
      </c>
      <c r="B8404">
        <v>26</v>
      </c>
      <c r="C8404" t="s">
        <v>10</v>
      </c>
      <c r="D8404" t="s">
        <v>11</v>
      </c>
      <c r="E8404" t="s">
        <v>38</v>
      </c>
      <c r="F8404" t="s">
        <v>41</v>
      </c>
      <c r="G8404" t="str">
        <f t="shared" si="342"/>
        <v>021KELLY</v>
      </c>
      <c r="H8404" s="5">
        <f>VLOOKUP(G8404,[4]Astroflores!$G$2:$H$109,2,FALSE)</f>
        <v>775</v>
      </c>
      <c r="I8404" s="6">
        <v>330.14249999999998</v>
      </c>
      <c r="J8404" s="5">
        <v>2400</v>
      </c>
      <c r="K8404" s="6">
        <f t="shared" si="343"/>
        <v>2.3474711677533189</v>
      </c>
    </row>
    <row r="8405" spans="1:11" hidden="1">
      <c r="A8405" s="4">
        <v>2026</v>
      </c>
      <c r="B8405">
        <v>26</v>
      </c>
      <c r="C8405" t="s">
        <v>10</v>
      </c>
      <c r="D8405" t="s">
        <v>11</v>
      </c>
      <c r="E8405" t="s">
        <v>38</v>
      </c>
      <c r="F8405" t="s">
        <v>42</v>
      </c>
      <c r="G8405" t="str">
        <f t="shared" si="342"/>
        <v>021LEILA</v>
      </c>
      <c r="H8405" s="5">
        <f>VLOOKUP(G8405,[4]Astroflores!$G$2:$H$109,2,FALSE)</f>
        <v>1850</v>
      </c>
      <c r="I8405" s="6">
        <v>1650.7125000000001</v>
      </c>
      <c r="J8405" s="5">
        <v>12000</v>
      </c>
      <c r="K8405" s="6">
        <f t="shared" si="343"/>
        <v>1.1207281704112617</v>
      </c>
    </row>
    <row r="8406" spans="1:11" hidden="1">
      <c r="A8406" s="4">
        <v>2026</v>
      </c>
      <c r="B8406">
        <v>26</v>
      </c>
      <c r="C8406" t="s">
        <v>10</v>
      </c>
      <c r="D8406" t="s">
        <v>11</v>
      </c>
      <c r="E8406" t="s">
        <v>38</v>
      </c>
      <c r="F8406" t="s">
        <v>21</v>
      </c>
      <c r="G8406" t="str">
        <f t="shared" si="342"/>
        <v>021SNOW BUBBLES</v>
      </c>
      <c r="H8406" s="5">
        <f>VLOOKUP(G8406,[4]Astroflores!$G$2:$H$109,2,FALSE)</f>
        <v>1380</v>
      </c>
      <c r="I8406" s="6">
        <v>1287.0000000000018</v>
      </c>
      <c r="J8406" s="5">
        <v>9400</v>
      </c>
      <c r="K8406" s="6">
        <f t="shared" si="343"/>
        <v>1.0722610722610708</v>
      </c>
    </row>
    <row r="8407" spans="1:11" hidden="1">
      <c r="A8407" s="4">
        <v>2026</v>
      </c>
      <c r="B8407">
        <v>26</v>
      </c>
      <c r="C8407" t="s">
        <v>10</v>
      </c>
      <c r="D8407" t="s">
        <v>11</v>
      </c>
      <c r="E8407" t="s">
        <v>43</v>
      </c>
      <c r="F8407" t="s">
        <v>24</v>
      </c>
      <c r="G8407" t="str">
        <f t="shared" si="342"/>
        <v>022FRUITY BUBBLES</v>
      </c>
      <c r="H8407" s="5">
        <f>VLOOKUP(G8407,[4]Astroflores!$G$2:$H$109,2,FALSE)</f>
        <v>6050</v>
      </c>
      <c r="I8407" s="6">
        <v>2641.14</v>
      </c>
      <c r="J8407" s="5">
        <v>19200</v>
      </c>
      <c r="K8407" s="6">
        <f t="shared" si="343"/>
        <v>2.2906775104689641</v>
      </c>
    </row>
    <row r="8408" spans="1:11" hidden="1">
      <c r="A8408" s="4">
        <v>2026</v>
      </c>
      <c r="B8408">
        <v>26</v>
      </c>
      <c r="C8408" t="s">
        <v>10</v>
      </c>
      <c r="D8408" t="s">
        <v>11</v>
      </c>
      <c r="E8408" t="s">
        <v>43</v>
      </c>
      <c r="F8408" t="s">
        <v>28</v>
      </c>
      <c r="G8408" t="str">
        <f t="shared" si="342"/>
        <v>022GOOD PEACH</v>
      </c>
      <c r="H8408" s="5">
        <f>VLOOKUP(G8408,[4]Astroflores!$G$2:$H$109,2,FALSE)</f>
        <v>2130</v>
      </c>
      <c r="I8408" s="6">
        <v>880.38</v>
      </c>
      <c r="J8408" s="5">
        <v>6400</v>
      </c>
      <c r="K8408" s="6">
        <f t="shared" si="343"/>
        <v>2.4194098003135012</v>
      </c>
    </row>
    <row r="8409" spans="1:11" hidden="1">
      <c r="A8409" s="4">
        <v>2026</v>
      </c>
      <c r="B8409">
        <v>26</v>
      </c>
      <c r="C8409" t="s">
        <v>10</v>
      </c>
      <c r="D8409" t="s">
        <v>11</v>
      </c>
      <c r="E8409" t="s">
        <v>43</v>
      </c>
      <c r="F8409" t="s">
        <v>44</v>
      </c>
      <c r="G8409" t="str">
        <f t="shared" si="342"/>
        <v>022MIRABEL</v>
      </c>
      <c r="H8409" s="5">
        <f>VLOOKUP(G8409,[4]Astroflores!$G$2:$H$109,2,FALSE)</f>
        <v>1600</v>
      </c>
      <c r="I8409" s="6">
        <v>880.38</v>
      </c>
      <c r="J8409" s="5">
        <v>6400</v>
      </c>
      <c r="K8409" s="6">
        <f t="shared" si="343"/>
        <v>1.8173970330993434</v>
      </c>
    </row>
    <row r="8410" spans="1:11" hidden="1">
      <c r="A8410" s="4">
        <v>2026</v>
      </c>
      <c r="B8410">
        <v>26</v>
      </c>
      <c r="C8410" t="s">
        <v>10</v>
      </c>
      <c r="D8410" t="s">
        <v>11</v>
      </c>
      <c r="E8410" t="s">
        <v>45</v>
      </c>
      <c r="F8410" t="s">
        <v>46</v>
      </c>
      <c r="G8410" t="str">
        <f t="shared" si="342"/>
        <v>026PURPLE BUBBLY</v>
      </c>
      <c r="H8410" s="5" t="e">
        <f>VLOOKUP(G8410,[4]Astroflores!$G$2:$H$109,2,FALSE)</f>
        <v>#N/A</v>
      </c>
      <c r="I8410" s="6">
        <v>1755.4</v>
      </c>
      <c r="J8410" s="5">
        <v>12800</v>
      </c>
      <c r="K8410" s="6" t="e">
        <f t="shared" si="343"/>
        <v>#N/A</v>
      </c>
    </row>
    <row r="8411" spans="1:11" hidden="1">
      <c r="A8411" s="4">
        <v>2026</v>
      </c>
      <c r="B8411">
        <v>26</v>
      </c>
      <c r="C8411" t="s">
        <v>10</v>
      </c>
      <c r="D8411" t="s">
        <v>11</v>
      </c>
      <c r="E8411" t="s">
        <v>47</v>
      </c>
      <c r="F8411" t="s">
        <v>44</v>
      </c>
      <c r="G8411" t="str">
        <f t="shared" si="342"/>
        <v>030MIRABEL</v>
      </c>
      <c r="H8411" s="5">
        <f>VLOOKUP(G8411,[4]Astroflores!$G$2:$H$109,2,FALSE)</f>
        <v>6460</v>
      </c>
      <c r="I8411" s="6">
        <v>2413.6749943750001</v>
      </c>
      <c r="J8411" s="5">
        <v>17600</v>
      </c>
      <c r="K8411" s="6">
        <f t="shared" si="343"/>
        <v>2.676416673767116</v>
      </c>
    </row>
    <row r="8412" spans="1:11" hidden="1">
      <c r="A8412" s="4">
        <v>2026</v>
      </c>
      <c r="B8412">
        <v>26</v>
      </c>
      <c r="C8412" t="s">
        <v>10</v>
      </c>
      <c r="D8412" t="s">
        <v>11</v>
      </c>
      <c r="E8412" t="s">
        <v>47</v>
      </c>
      <c r="F8412" t="s">
        <v>13</v>
      </c>
      <c r="G8412" t="str">
        <f t="shared" si="342"/>
        <v>030SOMERSET</v>
      </c>
      <c r="H8412" s="5">
        <f>VLOOKUP(G8412,[4]Astroflores!$G$2:$H$109,2,FALSE)</f>
        <v>4080</v>
      </c>
      <c r="I8412" s="6">
        <v>1645.6875</v>
      </c>
      <c r="J8412" s="5">
        <v>12000</v>
      </c>
      <c r="K8412" s="6">
        <f t="shared" si="343"/>
        <v>2.4792070183433976</v>
      </c>
    </row>
    <row r="8413" spans="1:11" hidden="1">
      <c r="A8413" s="4">
        <v>2026</v>
      </c>
      <c r="B8413">
        <v>26</v>
      </c>
      <c r="C8413" t="s">
        <v>10</v>
      </c>
      <c r="D8413" t="s">
        <v>11</v>
      </c>
      <c r="E8413" t="s">
        <v>48</v>
      </c>
      <c r="F8413" t="s">
        <v>49</v>
      </c>
      <c r="G8413" t="str">
        <f t="shared" si="342"/>
        <v>03182989</v>
      </c>
      <c r="H8413" s="5">
        <f>VLOOKUP(G8413,[4]Astroflores!$G$2:$H$109,2,FALSE)</f>
        <v>3280</v>
      </c>
      <c r="I8413" s="6">
        <v>726.32013058333712</v>
      </c>
      <c r="J8413" s="5">
        <v>5712</v>
      </c>
      <c r="K8413" s="6">
        <f t="shared" si="343"/>
        <v>4.5159150378576172</v>
      </c>
    </row>
    <row r="8414" spans="1:11" hidden="1">
      <c r="A8414" s="4">
        <v>2026</v>
      </c>
      <c r="B8414">
        <v>26</v>
      </c>
      <c r="C8414" t="s">
        <v>10</v>
      </c>
      <c r="D8414" t="s">
        <v>11</v>
      </c>
      <c r="E8414" t="s">
        <v>48</v>
      </c>
      <c r="F8414" t="s">
        <v>34</v>
      </c>
      <c r="G8414" t="str">
        <f t="shared" si="342"/>
        <v>031RUBICON</v>
      </c>
      <c r="H8414" s="5">
        <f>VLOOKUP(G8414,[4]Astroflores!$G$2:$H$109,2,FALSE)</f>
        <v>3390</v>
      </c>
      <c r="I8414" s="6">
        <v>924.39958333667107</v>
      </c>
      <c r="J8414" s="5">
        <v>6720</v>
      </c>
      <c r="K8414" s="6">
        <f t="shared" si="343"/>
        <v>3.6672452704528586</v>
      </c>
    </row>
    <row r="8415" spans="1:11" hidden="1">
      <c r="A8415" s="4">
        <v>2026</v>
      </c>
      <c r="B8415">
        <v>26</v>
      </c>
      <c r="C8415" t="s">
        <v>10</v>
      </c>
      <c r="D8415" t="s">
        <v>11</v>
      </c>
      <c r="E8415" t="s">
        <v>48</v>
      </c>
      <c r="F8415" t="s">
        <v>13</v>
      </c>
      <c r="G8415" t="str">
        <f t="shared" si="342"/>
        <v>031SOMERSET</v>
      </c>
      <c r="H8415" s="5">
        <f>VLOOKUP(G8415,[4]Astroflores!$G$2:$H$109,2,FALSE)</f>
        <v>1240</v>
      </c>
      <c r="I8415" s="6">
        <v>1122.485208333339</v>
      </c>
      <c r="J8415" s="5">
        <v>8160</v>
      </c>
      <c r="K8415" s="6">
        <f t="shared" si="343"/>
        <v>1.1046916171315491</v>
      </c>
    </row>
    <row r="8416" spans="1:11" hidden="1">
      <c r="A8416" s="4">
        <v>2026</v>
      </c>
      <c r="B8416">
        <v>26</v>
      </c>
      <c r="C8416" t="s">
        <v>10</v>
      </c>
      <c r="D8416" t="s">
        <v>11</v>
      </c>
      <c r="E8416" t="s">
        <v>48</v>
      </c>
      <c r="F8416" t="s">
        <v>50</v>
      </c>
      <c r="G8416" t="str">
        <f t="shared" si="342"/>
        <v>031VELVET BLOSSOMS</v>
      </c>
      <c r="H8416" s="5">
        <f>VLOOKUP(G8416,[4]Astroflores!$G$2:$H$109,2,FALSE)</f>
        <v>640</v>
      </c>
      <c r="I8416" s="6">
        <v>396.17125000000198</v>
      </c>
      <c r="J8416" s="5">
        <v>2880</v>
      </c>
      <c r="K8416" s="6">
        <f t="shared" si="343"/>
        <v>1.6154630099988245</v>
      </c>
    </row>
    <row r="8417" spans="1:11" hidden="1">
      <c r="A8417" s="4">
        <v>2026</v>
      </c>
      <c r="B8417">
        <v>26</v>
      </c>
      <c r="C8417" t="s">
        <v>10</v>
      </c>
      <c r="D8417" t="s">
        <v>11</v>
      </c>
      <c r="E8417" t="s">
        <v>51</v>
      </c>
      <c r="F8417" t="s">
        <v>17</v>
      </c>
      <c r="G8417" t="str">
        <f t="shared" si="342"/>
        <v>032ELBA</v>
      </c>
      <c r="H8417" s="5">
        <f>VLOOKUP(G8417,[4]Astroflores!$G$2:$H$109,2,FALSE)</f>
        <v>4350</v>
      </c>
      <c r="I8417" s="6">
        <v>1535.9749999999999</v>
      </c>
      <c r="J8417" s="5">
        <v>11200</v>
      </c>
      <c r="K8417" s="6">
        <f t="shared" si="343"/>
        <v>2.8320773450088708</v>
      </c>
    </row>
    <row r="8418" spans="1:11" hidden="1">
      <c r="A8418" s="4">
        <v>2026</v>
      </c>
      <c r="B8418">
        <v>26</v>
      </c>
      <c r="C8418" t="s">
        <v>10</v>
      </c>
      <c r="D8418" t="s">
        <v>11</v>
      </c>
      <c r="E8418" t="s">
        <v>51</v>
      </c>
      <c r="F8418" t="s">
        <v>44</v>
      </c>
      <c r="G8418" t="str">
        <f t="shared" si="342"/>
        <v>032MIRABEL</v>
      </c>
      <c r="H8418" s="5">
        <f>VLOOKUP(G8418,[4]Astroflores!$G$2:$H$109,2,FALSE)</f>
        <v>3400</v>
      </c>
      <c r="I8418" s="6">
        <v>1535.9749999999999</v>
      </c>
      <c r="J8418" s="5">
        <v>11200</v>
      </c>
      <c r="K8418" s="6">
        <f t="shared" si="343"/>
        <v>2.2135776949494623</v>
      </c>
    </row>
    <row r="8419" spans="1:11" hidden="1">
      <c r="A8419" s="4">
        <v>2026</v>
      </c>
      <c r="B8419">
        <v>26</v>
      </c>
      <c r="C8419" t="s">
        <v>10</v>
      </c>
      <c r="D8419" t="s">
        <v>11</v>
      </c>
      <c r="E8419" t="s">
        <v>52</v>
      </c>
      <c r="F8419" t="s">
        <v>53</v>
      </c>
      <c r="G8419" t="str">
        <f t="shared" si="342"/>
        <v>033CREAMY FOLIES</v>
      </c>
      <c r="H8419" s="5">
        <f>VLOOKUP(G8419,[4]Astroflores!$G$2:$H$109,2,FALSE)</f>
        <v>1530</v>
      </c>
      <c r="I8419" s="6">
        <v>594.25687500000299</v>
      </c>
      <c r="J8419" s="5">
        <v>4320</v>
      </c>
      <c r="K8419" s="6">
        <f t="shared" si="343"/>
        <v>2.5746441721856264</v>
      </c>
    </row>
    <row r="8420" spans="1:11" hidden="1">
      <c r="A8420" s="4">
        <v>2026</v>
      </c>
      <c r="B8420">
        <v>26</v>
      </c>
      <c r="C8420" t="s">
        <v>10</v>
      </c>
      <c r="D8420" t="s">
        <v>11</v>
      </c>
      <c r="E8420" t="s">
        <v>52</v>
      </c>
      <c r="F8420" t="s">
        <v>18</v>
      </c>
      <c r="G8420" t="str">
        <f t="shared" si="342"/>
        <v>033HOT BUBBLES</v>
      </c>
      <c r="H8420" s="5">
        <f>VLOOKUP(G8420,[4]Astroflores!$G$2:$H$109,2,FALSE)</f>
        <v>3920</v>
      </c>
      <c r="I8420" s="6">
        <v>2575.1131250013459</v>
      </c>
      <c r="J8420" s="5">
        <v>18720</v>
      </c>
      <c r="K8420" s="6">
        <f t="shared" si="343"/>
        <v>1.5222632209596427</v>
      </c>
    </row>
    <row r="8421" spans="1:11" hidden="1">
      <c r="A8421" s="4">
        <v>2026</v>
      </c>
      <c r="B8421">
        <v>26</v>
      </c>
      <c r="C8421" t="s">
        <v>54</v>
      </c>
      <c r="D8421" t="s">
        <v>11</v>
      </c>
      <c r="E8421" t="s">
        <v>55</v>
      </c>
      <c r="F8421" t="s">
        <v>56</v>
      </c>
      <c r="G8421" t="str">
        <f t="shared" si="342"/>
        <v>001BELIEVE IN PINK</v>
      </c>
      <c r="H8421" s="5">
        <f>VLOOKUP(G8421,[4]Astroflores!$G$2:$H$109,2,FALSE)</f>
        <v>1230</v>
      </c>
      <c r="I8421" s="6">
        <v>528.37931032368999</v>
      </c>
      <c r="J8421" s="5">
        <v>4000</v>
      </c>
      <c r="K8421" s="6">
        <f t="shared" ref="K8421:K8426" si="344">IFERROR(H8421/I8421,"")</f>
        <v>2.3278731319863581</v>
      </c>
    </row>
    <row r="8422" spans="1:11" hidden="1">
      <c r="A8422" s="4">
        <v>2026</v>
      </c>
      <c r="B8422">
        <v>26</v>
      </c>
      <c r="C8422" t="s">
        <v>54</v>
      </c>
      <c r="D8422" t="s">
        <v>11</v>
      </c>
      <c r="E8422" t="s">
        <v>55</v>
      </c>
      <c r="F8422" t="s">
        <v>57</v>
      </c>
      <c r="G8422" t="str">
        <f t="shared" si="342"/>
        <v>001EXPLORER</v>
      </c>
      <c r="H8422" s="5">
        <f>VLOOKUP(G8422,[4]Astroflores!$G$2:$H$109,2,FALSE)</f>
        <v>6925</v>
      </c>
      <c r="I8422" s="6">
        <v>2272.0310343918732</v>
      </c>
      <c r="J8422" s="5">
        <v>17200</v>
      </c>
      <c r="K8422" s="6">
        <f t="shared" si="344"/>
        <v>3.0479337188514815</v>
      </c>
    </row>
    <row r="8423" spans="1:11" hidden="1">
      <c r="A8423" s="4">
        <v>2026</v>
      </c>
      <c r="B8423">
        <v>26</v>
      </c>
      <c r="C8423" t="s">
        <v>54</v>
      </c>
      <c r="D8423" t="s">
        <v>11</v>
      </c>
      <c r="E8423" t="s">
        <v>55</v>
      </c>
      <c r="F8423" t="s">
        <v>58</v>
      </c>
      <c r="G8423" t="str">
        <f t="shared" si="342"/>
        <v>001GRACE KELLY</v>
      </c>
      <c r="H8423" s="5">
        <f>VLOOKUP(G8423,[4]Astroflores!$G$2:$H$109,2,FALSE)</f>
        <v>2040</v>
      </c>
      <c r="I8423" s="6">
        <v>1162.4344827121224</v>
      </c>
      <c r="J8423" s="5">
        <v>8800</v>
      </c>
      <c r="K8423" s="6">
        <f t="shared" si="344"/>
        <v>1.7549376161316157</v>
      </c>
    </row>
    <row r="8424" spans="1:11" hidden="1">
      <c r="A8424" s="4">
        <v>2026</v>
      </c>
      <c r="B8424">
        <v>26</v>
      </c>
      <c r="C8424" t="s">
        <v>54</v>
      </c>
      <c r="D8424" t="s">
        <v>11</v>
      </c>
      <c r="E8424" t="s">
        <v>55</v>
      </c>
      <c r="F8424" t="s">
        <v>60</v>
      </c>
      <c r="G8424" t="str">
        <f t="shared" si="342"/>
        <v>001LIGHT HOUSE</v>
      </c>
      <c r="H8424" s="5">
        <f>VLOOKUP(G8424,[4]Astroflores!$G$2:$H$109,2,FALSE)</f>
        <v>2520</v>
      </c>
      <c r="I8424" s="6">
        <v>1056.7586206473827</v>
      </c>
      <c r="J8424" s="5">
        <v>8000</v>
      </c>
      <c r="K8424" s="6">
        <f t="shared" si="344"/>
        <v>2.3846505254494339</v>
      </c>
    </row>
    <row r="8425" spans="1:11" hidden="1">
      <c r="A8425" s="4">
        <v>2026</v>
      </c>
      <c r="B8425">
        <v>26</v>
      </c>
      <c r="C8425" t="s">
        <v>54</v>
      </c>
      <c r="D8425" t="s">
        <v>11</v>
      </c>
      <c r="E8425" t="s">
        <v>55</v>
      </c>
      <c r="F8425" t="s">
        <v>61</v>
      </c>
      <c r="G8425" t="str">
        <f t="shared" si="342"/>
        <v>001LUMIA</v>
      </c>
      <c r="H8425" s="5">
        <f>VLOOKUP(G8425,[4]Astroflores!$G$2:$H$109,2,FALSE)</f>
        <v>2070</v>
      </c>
      <c r="I8425" s="6">
        <v>1109.596551679753</v>
      </c>
      <c r="J8425" s="5">
        <v>8400</v>
      </c>
      <c r="K8425" s="6">
        <f t="shared" si="344"/>
        <v>1.8655429280726843</v>
      </c>
    </row>
    <row r="8426" spans="1:11" hidden="1">
      <c r="A8426" s="4">
        <v>2026</v>
      </c>
      <c r="B8426">
        <v>26</v>
      </c>
      <c r="C8426" t="s">
        <v>54</v>
      </c>
      <c r="D8426" t="s">
        <v>11</v>
      </c>
      <c r="E8426" t="s">
        <v>55</v>
      </c>
      <c r="F8426" t="s">
        <v>62</v>
      </c>
      <c r="G8426" t="str">
        <f t="shared" si="342"/>
        <v>001MOMENTUM</v>
      </c>
      <c r="H8426" s="5">
        <f>VLOOKUP(G8426,[4]Astroflores!$G$2:$H$109,2,FALSE)</f>
        <v>3475</v>
      </c>
      <c r="I8426" s="6">
        <v>1902.1655171652881</v>
      </c>
      <c r="J8426" s="5">
        <v>14400</v>
      </c>
      <c r="K8426" s="6">
        <f t="shared" si="344"/>
        <v>1.8268652063352702</v>
      </c>
    </row>
    <row r="8427" spans="1:11" hidden="1">
      <c r="A8427" s="4">
        <v>2026</v>
      </c>
      <c r="B8427">
        <v>26</v>
      </c>
      <c r="C8427" t="s">
        <v>54</v>
      </c>
      <c r="D8427" t="s">
        <v>11</v>
      </c>
      <c r="E8427" t="s">
        <v>12</v>
      </c>
      <c r="F8427" t="s">
        <v>63</v>
      </c>
      <c r="G8427" t="str">
        <f t="shared" si="342"/>
        <v>002SUMMER ROMANCE</v>
      </c>
      <c r="H8427" s="5">
        <f>VLOOKUP(G8427,[4]Astroflores!$G$2:$H$109,2,FALSE)</f>
        <v>1775</v>
      </c>
      <c r="I8427" s="6">
        <v>951.10714281909407</v>
      </c>
      <c r="J8427" s="5">
        <v>7200</v>
      </c>
      <c r="K8427" s="6">
        <f t="shared" ref="K8427:K8486" si="345">+H8427/I8427</f>
        <v>1.8662461042389784</v>
      </c>
    </row>
    <row r="8428" spans="1:11" hidden="1">
      <c r="A8428" s="4">
        <v>2026</v>
      </c>
      <c r="B8428">
        <v>26</v>
      </c>
      <c r="C8428" t="s">
        <v>54</v>
      </c>
      <c r="D8428" t="s">
        <v>11</v>
      </c>
      <c r="E8428" t="s">
        <v>12</v>
      </c>
      <c r="F8428" t="s">
        <v>64</v>
      </c>
      <c r="G8428" t="str">
        <f t="shared" si="342"/>
        <v>002SWEETNESS</v>
      </c>
      <c r="H8428" s="5">
        <f>VLOOKUP(G8428,[4]Astroflores!$G$2:$H$109,2,FALSE)</f>
        <v>8760</v>
      </c>
      <c r="I8428" s="6">
        <v>3804.4285712763772</v>
      </c>
      <c r="J8428" s="5">
        <v>28800</v>
      </c>
      <c r="K8428" s="6">
        <f t="shared" si="345"/>
        <v>2.3025797004413304</v>
      </c>
    </row>
    <row r="8429" spans="1:11" hidden="1">
      <c r="A8429" s="4">
        <v>2026</v>
      </c>
      <c r="B8429">
        <v>26</v>
      </c>
      <c r="C8429" t="s">
        <v>54</v>
      </c>
      <c r="D8429" t="s">
        <v>11</v>
      </c>
      <c r="E8429" t="s">
        <v>65</v>
      </c>
      <c r="F8429" t="s">
        <v>66</v>
      </c>
      <c r="G8429" t="str">
        <f t="shared" si="342"/>
        <v>003CABARET</v>
      </c>
      <c r="H8429" s="5">
        <f>VLOOKUP(G8429,[4]Astroflores!$G$2:$H$109,2,FALSE)</f>
        <v>6090</v>
      </c>
      <c r="I8429" s="6">
        <v>2641.8965516184649</v>
      </c>
      <c r="J8429" s="5">
        <v>20000</v>
      </c>
      <c r="K8429" s="6">
        <f t="shared" si="345"/>
        <v>2.3051621746011124</v>
      </c>
    </row>
    <row r="8430" spans="1:11" hidden="1">
      <c r="A8430" s="4">
        <v>2026</v>
      </c>
      <c r="B8430">
        <v>26</v>
      </c>
      <c r="C8430" t="s">
        <v>54</v>
      </c>
      <c r="D8430" t="s">
        <v>11</v>
      </c>
      <c r="E8430" t="s">
        <v>65</v>
      </c>
      <c r="F8430" t="s">
        <v>67</v>
      </c>
      <c r="G8430" t="str">
        <f t="shared" si="342"/>
        <v>003DEEP PURPLE</v>
      </c>
      <c r="H8430" s="5">
        <f>VLOOKUP(G8430,[4]Astroflores!$G$2:$H$109,2,FALSE)</f>
        <v>11370</v>
      </c>
      <c r="I8430" s="6">
        <v>3592.9793102010913</v>
      </c>
      <c r="J8430" s="5">
        <v>26044</v>
      </c>
      <c r="K8430" s="6">
        <f t="shared" si="345"/>
        <v>3.1645047238982418</v>
      </c>
    </row>
    <row r="8431" spans="1:11" hidden="1">
      <c r="A8431" s="4">
        <v>2026</v>
      </c>
      <c r="B8431">
        <v>26</v>
      </c>
      <c r="C8431" t="s">
        <v>54</v>
      </c>
      <c r="D8431" t="s">
        <v>11</v>
      </c>
      <c r="E8431" t="s">
        <v>65</v>
      </c>
      <c r="F8431" t="s">
        <v>57</v>
      </c>
      <c r="G8431" t="str">
        <f t="shared" si="342"/>
        <v>003EXPLORER</v>
      </c>
      <c r="H8431" s="5">
        <f>VLOOKUP(G8431,[4]Astroflores!$G$2:$H$109,2,FALSE)</f>
        <v>2875</v>
      </c>
      <c r="I8431" s="6">
        <v>1268.1103447768633</v>
      </c>
      <c r="J8431" s="5">
        <v>9600</v>
      </c>
      <c r="K8431" s="6">
        <f t="shared" si="345"/>
        <v>2.2671528639772158</v>
      </c>
    </row>
    <row r="8432" spans="1:11" hidden="1">
      <c r="A8432" s="4">
        <v>2026</v>
      </c>
      <c r="B8432">
        <v>26</v>
      </c>
      <c r="C8432" t="s">
        <v>54</v>
      </c>
      <c r="D8432" t="s">
        <v>11</v>
      </c>
      <c r="E8432" t="s">
        <v>65</v>
      </c>
      <c r="F8432" t="s">
        <v>68</v>
      </c>
      <c r="G8432" t="str">
        <f t="shared" si="342"/>
        <v>003JOCKER</v>
      </c>
      <c r="H8432" s="5">
        <f>VLOOKUP(G8432,[4]Astroflores!$G$2:$H$109,2,FALSE)</f>
        <v>750</v>
      </c>
      <c r="I8432" s="6">
        <v>528.37931032368999</v>
      </c>
      <c r="J8432" s="5">
        <v>4000</v>
      </c>
      <c r="K8432" s="6">
        <f t="shared" si="345"/>
        <v>1.4194348365770475</v>
      </c>
    </row>
    <row r="8433" spans="1:11" hidden="1">
      <c r="A8433" s="4">
        <v>2026</v>
      </c>
      <c r="B8433">
        <v>26</v>
      </c>
      <c r="C8433" t="s">
        <v>54</v>
      </c>
      <c r="D8433" t="s">
        <v>11</v>
      </c>
      <c r="E8433" t="s">
        <v>65</v>
      </c>
      <c r="F8433" t="s">
        <v>69</v>
      </c>
      <c r="G8433" t="str">
        <f t="shared" si="342"/>
        <v>003QUICKSAND</v>
      </c>
      <c r="H8433" s="5">
        <f>VLOOKUP(G8433,[4]Astroflores!$G$2:$H$109,2,FALSE)</f>
        <v>1860</v>
      </c>
      <c r="I8433" s="6">
        <v>1162.4344827121247</v>
      </c>
      <c r="J8433" s="5">
        <v>8800</v>
      </c>
      <c r="K8433" s="6">
        <f t="shared" si="345"/>
        <v>1.6000901794141171</v>
      </c>
    </row>
    <row r="8434" spans="1:11" hidden="1">
      <c r="A8434" s="4">
        <v>2026</v>
      </c>
      <c r="B8434">
        <v>26</v>
      </c>
      <c r="C8434" t="s">
        <v>54</v>
      </c>
      <c r="D8434" t="s">
        <v>11</v>
      </c>
      <c r="E8434" t="s">
        <v>14</v>
      </c>
      <c r="F8434" t="s">
        <v>70</v>
      </c>
      <c r="G8434" t="str">
        <f t="shared" si="342"/>
        <v>004COTOPAXI</v>
      </c>
      <c r="H8434" s="5">
        <f>VLOOKUP(G8434,[4]Astroflores!$G$2:$H$109,2,FALSE)</f>
        <v>1230</v>
      </c>
      <c r="I8434" s="6">
        <v>528.3915024419166</v>
      </c>
      <c r="J8434" s="5">
        <v>4000</v>
      </c>
      <c r="K8434" s="6">
        <f t="shared" si="345"/>
        <v>2.3278194185857628</v>
      </c>
    </row>
    <row r="8435" spans="1:11" hidden="1">
      <c r="A8435" s="4">
        <v>2026</v>
      </c>
      <c r="B8435">
        <v>26</v>
      </c>
      <c r="C8435" t="s">
        <v>54</v>
      </c>
      <c r="D8435" t="s">
        <v>11</v>
      </c>
      <c r="E8435" t="s">
        <v>14</v>
      </c>
      <c r="F8435" t="s">
        <v>67</v>
      </c>
      <c r="G8435" t="str">
        <f t="shared" si="342"/>
        <v>004DEEP PURPLE</v>
      </c>
      <c r="H8435" s="5">
        <f>VLOOKUP(G8435,[4]Astroflores!$G$2:$H$109,2,FALSE)</f>
        <v>15540</v>
      </c>
      <c r="I8435" s="6">
        <v>3910.1071427007282</v>
      </c>
      <c r="J8435" s="5">
        <v>29260</v>
      </c>
      <c r="K8435" s="6">
        <f t="shared" si="345"/>
        <v>3.9743156473370838</v>
      </c>
    </row>
    <row r="8436" spans="1:11" hidden="1">
      <c r="A8436" s="4">
        <v>2026</v>
      </c>
      <c r="B8436">
        <v>26</v>
      </c>
      <c r="C8436" t="s">
        <v>54</v>
      </c>
      <c r="D8436" t="s">
        <v>11</v>
      </c>
      <c r="E8436" t="s">
        <v>14</v>
      </c>
      <c r="F8436" t="s">
        <v>71</v>
      </c>
      <c r="G8436" t="str">
        <f t="shared" si="342"/>
        <v>004HOT EXPLORER</v>
      </c>
      <c r="H8436" s="5">
        <f>VLOOKUP(G8436,[4]Astroflores!$G$2:$H$109,2,FALSE)</f>
        <v>4925</v>
      </c>
      <c r="I8436" s="6">
        <v>1902.2142856381945</v>
      </c>
      <c r="J8436" s="5">
        <v>14400</v>
      </c>
      <c r="K8436" s="6">
        <f t="shared" si="345"/>
        <v>2.5890879051766023</v>
      </c>
    </row>
    <row r="8437" spans="1:11" hidden="1">
      <c r="A8437" s="4">
        <v>2026</v>
      </c>
      <c r="B8437">
        <v>26</v>
      </c>
      <c r="C8437" t="s">
        <v>54</v>
      </c>
      <c r="D8437" t="s">
        <v>11</v>
      </c>
      <c r="E8437" t="s">
        <v>14</v>
      </c>
      <c r="F8437" t="s">
        <v>72</v>
      </c>
      <c r="G8437" t="str">
        <f t="shared" si="342"/>
        <v>004HOT MERENGUE</v>
      </c>
      <c r="H8437" s="5">
        <f>VLOOKUP(G8437,[4]Astroflores!$G$2:$H$109,2,FALSE)</f>
        <v>3480</v>
      </c>
      <c r="I8437" s="6">
        <v>1162.4642856677858</v>
      </c>
      <c r="J8437" s="5">
        <v>8800</v>
      </c>
      <c r="K8437" s="6">
        <f t="shared" si="345"/>
        <v>2.9936403577344222</v>
      </c>
    </row>
    <row r="8438" spans="1:11" hidden="1">
      <c r="A8438" s="4">
        <v>2026</v>
      </c>
      <c r="B8438">
        <v>26</v>
      </c>
      <c r="C8438" t="s">
        <v>54</v>
      </c>
      <c r="D8438" t="s">
        <v>11</v>
      </c>
      <c r="E8438" t="s">
        <v>14</v>
      </c>
      <c r="F8438" t="s">
        <v>64</v>
      </c>
      <c r="G8438" t="str">
        <f t="shared" ref="G8438:G8497" si="346">+E8438&amp;F8438</f>
        <v>004SWEETNESS</v>
      </c>
      <c r="H8438" s="5">
        <f>VLOOKUP(G8438,[4]Astroflores!$G$2:$H$109,2,FALSE)</f>
        <v>540</v>
      </c>
      <c r="I8438" s="6">
        <v>317.03571427303262</v>
      </c>
      <c r="J8438" s="5">
        <v>2400</v>
      </c>
      <c r="K8438" s="6">
        <f t="shared" si="345"/>
        <v>1.7032781345730328</v>
      </c>
    </row>
    <row r="8439" spans="1:11" hidden="1">
      <c r="A8439" s="4">
        <v>2026</v>
      </c>
      <c r="B8439">
        <v>26</v>
      </c>
      <c r="C8439" t="s">
        <v>54</v>
      </c>
      <c r="D8439" t="s">
        <v>11</v>
      </c>
      <c r="E8439" t="s">
        <v>16</v>
      </c>
      <c r="F8439" t="s">
        <v>57</v>
      </c>
      <c r="G8439" t="str">
        <f t="shared" si="346"/>
        <v>005EXPLORER</v>
      </c>
      <c r="H8439" s="5">
        <f>VLOOKUP(G8439,[4]Astroflores!$G$2:$H$109,2,FALSE)</f>
        <v>2075</v>
      </c>
      <c r="I8439" s="6">
        <v>951.10714281875391</v>
      </c>
      <c r="J8439" s="5">
        <v>7200</v>
      </c>
      <c r="K8439" s="6">
        <f t="shared" si="345"/>
        <v>2.1816679810125437</v>
      </c>
    </row>
    <row r="8440" spans="1:11" hidden="1">
      <c r="A8440" s="4">
        <v>2026</v>
      </c>
      <c r="B8440">
        <v>26</v>
      </c>
      <c r="C8440" t="s">
        <v>54</v>
      </c>
      <c r="D8440" t="s">
        <v>11</v>
      </c>
      <c r="E8440" t="s">
        <v>16</v>
      </c>
      <c r="F8440" t="s">
        <v>73</v>
      </c>
      <c r="G8440" t="str">
        <f t="shared" si="346"/>
        <v>005GOLDFINCH</v>
      </c>
      <c r="H8440" s="5">
        <f>VLOOKUP(G8440,[4]Astroflores!$G$2:$H$109,2,FALSE)</f>
        <v>1175</v>
      </c>
      <c r="I8440" s="6">
        <v>898.26785710660101</v>
      </c>
      <c r="J8440" s="5">
        <v>6800</v>
      </c>
      <c r="K8440" s="6">
        <f t="shared" si="345"/>
        <v>1.3080730772052529</v>
      </c>
    </row>
    <row r="8441" spans="1:11" hidden="1">
      <c r="A8441" s="4">
        <v>2026</v>
      </c>
      <c r="B8441">
        <v>26</v>
      </c>
      <c r="C8441" t="s">
        <v>54</v>
      </c>
      <c r="D8441" t="s">
        <v>11</v>
      </c>
      <c r="E8441" t="s">
        <v>16</v>
      </c>
      <c r="F8441" t="s">
        <v>68</v>
      </c>
      <c r="G8441" t="str">
        <f t="shared" si="346"/>
        <v>005JOCKER</v>
      </c>
      <c r="H8441" s="5">
        <f>VLOOKUP(G8441,[4]Astroflores!$G$2:$H$109,2,FALSE)</f>
        <v>2300</v>
      </c>
      <c r="I8441" s="6">
        <v>1162.4642856673661</v>
      </c>
      <c r="J8441" s="5">
        <v>8800</v>
      </c>
      <c r="K8441" s="6">
        <f t="shared" si="345"/>
        <v>1.9785554088481774</v>
      </c>
    </row>
    <row r="8442" spans="1:11" hidden="1">
      <c r="A8442" s="4">
        <v>2026</v>
      </c>
      <c r="B8442">
        <v>26</v>
      </c>
      <c r="C8442" t="s">
        <v>54</v>
      </c>
      <c r="D8442" t="s">
        <v>11</v>
      </c>
      <c r="E8442" t="s">
        <v>16</v>
      </c>
      <c r="F8442" t="s">
        <v>74</v>
      </c>
      <c r="G8442" t="str">
        <f t="shared" si="346"/>
        <v>005VENDELA</v>
      </c>
      <c r="H8442" s="5">
        <f>VLOOKUP(G8442,[4]Astroflores!$G$2:$H$109,2,FALSE)</f>
        <v>2490</v>
      </c>
      <c r="I8442" s="6">
        <v>686.91071425798896</v>
      </c>
      <c r="J8442" s="5">
        <v>5200</v>
      </c>
      <c r="K8442" s="6">
        <f t="shared" si="345"/>
        <v>3.6249252607593037</v>
      </c>
    </row>
    <row r="8443" spans="1:11" hidden="1">
      <c r="A8443" s="4">
        <v>2026</v>
      </c>
      <c r="B8443">
        <v>26</v>
      </c>
      <c r="C8443" t="s">
        <v>54</v>
      </c>
      <c r="D8443" t="s">
        <v>11</v>
      </c>
      <c r="E8443" t="s">
        <v>75</v>
      </c>
      <c r="F8443" t="s">
        <v>76</v>
      </c>
      <c r="G8443" t="str">
        <f t="shared" si="346"/>
        <v>006ATOMIC</v>
      </c>
      <c r="H8443" s="5">
        <f>VLOOKUP(G8443,[4]Astroflores!$G$2:$H$109,2,FALSE)</f>
        <v>1200</v>
      </c>
      <c r="I8443" s="6">
        <v>845.428571394752</v>
      </c>
      <c r="J8443" s="5">
        <v>6400</v>
      </c>
      <c r="K8443" s="6">
        <f t="shared" si="345"/>
        <v>1.4193984454775301</v>
      </c>
    </row>
    <row r="8444" spans="1:11" hidden="1">
      <c r="A8444" s="4">
        <v>2026</v>
      </c>
      <c r="B8444">
        <v>26</v>
      </c>
      <c r="C8444" t="s">
        <v>54</v>
      </c>
      <c r="D8444" t="s">
        <v>11</v>
      </c>
      <c r="E8444" t="s">
        <v>75</v>
      </c>
      <c r="F8444" t="s">
        <v>57</v>
      </c>
      <c r="G8444" t="str">
        <f t="shared" si="346"/>
        <v>006EXPLORER</v>
      </c>
      <c r="H8444" s="5">
        <f>VLOOKUP(G8444,[4]Astroflores!$G$2:$H$109,2,FALSE)</f>
        <v>7275</v>
      </c>
      <c r="I8444" s="6">
        <v>3910.1071427007355</v>
      </c>
      <c r="J8444" s="5">
        <v>29600</v>
      </c>
      <c r="K8444" s="6">
        <f t="shared" si="345"/>
        <v>1.8605628271800021</v>
      </c>
    </row>
    <row r="8445" spans="1:11" hidden="1">
      <c r="A8445" s="4">
        <v>2026</v>
      </c>
      <c r="B8445">
        <v>26</v>
      </c>
      <c r="C8445" t="s">
        <v>54</v>
      </c>
      <c r="D8445" t="s">
        <v>11</v>
      </c>
      <c r="E8445" t="s">
        <v>75</v>
      </c>
      <c r="F8445" t="s">
        <v>77</v>
      </c>
      <c r="G8445" t="str">
        <f t="shared" si="346"/>
        <v>006MONDIAL</v>
      </c>
      <c r="H8445" s="5">
        <f>VLOOKUP(G8445,[4]Astroflores!$G$2:$H$109,2,FALSE)</f>
        <v>5525</v>
      </c>
      <c r="I8445" s="6">
        <v>4015.7857141250793</v>
      </c>
      <c r="J8445" s="5">
        <v>30400</v>
      </c>
      <c r="K8445" s="6">
        <f t="shared" si="345"/>
        <v>1.3758204230286559</v>
      </c>
    </row>
    <row r="8446" spans="1:11" hidden="1">
      <c r="A8446" s="4">
        <v>2026</v>
      </c>
      <c r="B8446">
        <v>26</v>
      </c>
      <c r="C8446" t="s">
        <v>54</v>
      </c>
      <c r="D8446" t="s">
        <v>11</v>
      </c>
      <c r="E8446" t="s">
        <v>20</v>
      </c>
      <c r="F8446" t="s">
        <v>70</v>
      </c>
      <c r="G8446" t="str">
        <f t="shared" si="346"/>
        <v>007COTOPAXI</v>
      </c>
      <c r="H8446" s="5">
        <f>VLOOKUP(G8446,[4]Astroflores!$G$2:$H$109,2,FALSE)</f>
        <v>5250</v>
      </c>
      <c r="I8446" s="6">
        <v>2747.5751230427709</v>
      </c>
      <c r="J8446" s="5">
        <v>20800</v>
      </c>
      <c r="K8446" s="6">
        <f t="shared" si="345"/>
        <v>1.9107757804219552</v>
      </c>
    </row>
    <row r="8447" spans="1:11" hidden="1">
      <c r="A8447" s="4">
        <v>2026</v>
      </c>
      <c r="B8447">
        <v>26</v>
      </c>
      <c r="C8447" t="s">
        <v>54</v>
      </c>
      <c r="D8447" t="s">
        <v>11</v>
      </c>
      <c r="E8447" t="s">
        <v>20</v>
      </c>
      <c r="F8447" t="s">
        <v>78</v>
      </c>
      <c r="G8447" t="str">
        <f t="shared" si="346"/>
        <v>007REDIANT</v>
      </c>
      <c r="H8447" s="5">
        <f>VLOOKUP(G8447,[4]Astroflores!$G$2:$H$109,2,FALSE)</f>
        <v>1860</v>
      </c>
      <c r="I8447" s="6">
        <v>1056.75862064738</v>
      </c>
      <c r="J8447" s="5">
        <v>9600</v>
      </c>
      <c r="K8447" s="6">
        <f t="shared" si="345"/>
        <v>1.7600991973555389</v>
      </c>
    </row>
    <row r="8448" spans="1:11" hidden="1">
      <c r="A8448" s="4">
        <v>2026</v>
      </c>
      <c r="B8448">
        <v>26</v>
      </c>
      <c r="C8448" t="s">
        <v>54</v>
      </c>
      <c r="D8448" t="s">
        <v>11</v>
      </c>
      <c r="E8448" t="s">
        <v>20</v>
      </c>
      <c r="F8448" t="s">
        <v>74</v>
      </c>
      <c r="G8448" t="str">
        <f t="shared" si="346"/>
        <v>007VENDELA</v>
      </c>
      <c r="H8448" s="5">
        <f>VLOOKUP(G8448,[4]Astroflores!$G$2:$H$109,2,FALSE)</f>
        <v>8310</v>
      </c>
      <c r="I8448" s="6">
        <v>3592.9793102011122</v>
      </c>
      <c r="J8448" s="5">
        <v>27820</v>
      </c>
      <c r="K8448" s="6">
        <f t="shared" si="345"/>
        <v>2.3128438219519998</v>
      </c>
    </row>
    <row r="8449" spans="1:11" hidden="1">
      <c r="A8449" s="4">
        <v>2026</v>
      </c>
      <c r="B8449">
        <v>26</v>
      </c>
      <c r="C8449" t="s">
        <v>54</v>
      </c>
      <c r="D8449" t="s">
        <v>11</v>
      </c>
      <c r="E8449" t="s">
        <v>79</v>
      </c>
      <c r="F8449" t="s">
        <v>67</v>
      </c>
      <c r="G8449" t="str">
        <f t="shared" si="346"/>
        <v>008DEEP PURPLE</v>
      </c>
      <c r="H8449" s="5">
        <f>VLOOKUP(G8449,[4]Astroflores!$G$2:$H$109,2,FALSE)</f>
        <v>5310</v>
      </c>
      <c r="I8449" s="6">
        <v>1585.2222221588099</v>
      </c>
      <c r="J8449" s="5">
        <v>11490</v>
      </c>
      <c r="K8449" s="6">
        <f t="shared" si="345"/>
        <v>3.3496880915337282</v>
      </c>
    </row>
    <row r="8450" spans="1:11" hidden="1">
      <c r="A8450" s="4">
        <v>2026</v>
      </c>
      <c r="B8450">
        <v>26</v>
      </c>
      <c r="C8450" t="s">
        <v>54</v>
      </c>
      <c r="D8450" t="s">
        <v>11</v>
      </c>
      <c r="E8450" t="s">
        <v>79</v>
      </c>
      <c r="F8450" t="s">
        <v>81</v>
      </c>
      <c r="G8450" t="str">
        <f t="shared" si="346"/>
        <v>008FREEDOM</v>
      </c>
      <c r="H8450" s="5">
        <f>VLOOKUP(G8450,[4]Astroflores!$G$2:$H$109,2,FALSE)</f>
        <v>3570</v>
      </c>
      <c r="I8450" s="6">
        <v>2219.311111022334</v>
      </c>
      <c r="J8450" s="5">
        <v>16800</v>
      </c>
      <c r="K8450" s="6">
        <f t="shared" si="345"/>
        <v>1.6086072755952932</v>
      </c>
    </row>
    <row r="8451" spans="1:11" hidden="1">
      <c r="A8451" s="4">
        <v>2026</v>
      </c>
      <c r="B8451">
        <v>26</v>
      </c>
      <c r="C8451" t="s">
        <v>54</v>
      </c>
      <c r="D8451" t="s">
        <v>11</v>
      </c>
      <c r="E8451" t="s">
        <v>79</v>
      </c>
      <c r="F8451" t="s">
        <v>68</v>
      </c>
      <c r="G8451" t="str">
        <f t="shared" si="346"/>
        <v>008JOCKER</v>
      </c>
      <c r="H8451" s="5">
        <f>VLOOKUP(G8451,[4]Astroflores!$G$2:$H$109,2,FALSE)</f>
        <v>4150</v>
      </c>
      <c r="I8451" s="6">
        <v>2959.0814813631118</v>
      </c>
      <c r="J8451" s="5">
        <v>22400</v>
      </c>
      <c r="K8451" s="6">
        <f t="shared" si="345"/>
        <v>1.4024622255715267</v>
      </c>
    </row>
    <row r="8452" spans="1:11" hidden="1">
      <c r="A8452" s="4">
        <v>2026</v>
      </c>
      <c r="B8452">
        <v>26</v>
      </c>
      <c r="C8452" t="s">
        <v>54</v>
      </c>
      <c r="D8452" t="s">
        <v>11</v>
      </c>
      <c r="E8452" t="s">
        <v>82</v>
      </c>
      <c r="F8452" t="s">
        <v>83</v>
      </c>
      <c r="G8452" t="str">
        <f t="shared" si="346"/>
        <v>010COOLDOWN</v>
      </c>
      <c r="H8452" s="5">
        <f>VLOOKUP(G8452,[4]Astroflores!$G$2:$H$109,2,FALSE)</f>
        <v>4025</v>
      </c>
      <c r="I8452" s="6">
        <v>1912.3542857142861</v>
      </c>
      <c r="J8452" s="5">
        <v>16320</v>
      </c>
      <c r="K8452" s="6">
        <f t="shared" si="345"/>
        <v>2.1047355242005361</v>
      </c>
    </row>
    <row r="8453" spans="1:11" hidden="1">
      <c r="A8453" s="4">
        <v>2026</v>
      </c>
      <c r="B8453">
        <v>26</v>
      </c>
      <c r="C8453" t="s">
        <v>54</v>
      </c>
      <c r="D8453" t="s">
        <v>11</v>
      </c>
      <c r="E8453" t="s">
        <v>82</v>
      </c>
      <c r="F8453" t="s">
        <v>84</v>
      </c>
      <c r="G8453" t="str">
        <f t="shared" si="346"/>
        <v>010VIOLET HILL</v>
      </c>
      <c r="H8453" s="5">
        <f>VLOOKUP(G8453,[4]Astroflores!$G$2:$H$109,2,FALSE)</f>
        <v>5910</v>
      </c>
      <c r="I8453" s="6">
        <v>2812.2857142428579</v>
      </c>
      <c r="J8453" s="5">
        <v>20000</v>
      </c>
      <c r="K8453" s="6">
        <f t="shared" si="345"/>
        <v>2.101493447151805</v>
      </c>
    </row>
    <row r="8454" spans="1:11" hidden="1">
      <c r="A8454" s="4">
        <v>2026</v>
      </c>
      <c r="B8454">
        <v>26</v>
      </c>
      <c r="C8454" t="s">
        <v>54</v>
      </c>
      <c r="D8454" t="s">
        <v>11</v>
      </c>
      <c r="E8454" t="s">
        <v>85</v>
      </c>
      <c r="F8454" t="s">
        <v>86</v>
      </c>
      <c r="G8454" t="str">
        <f t="shared" si="346"/>
        <v>011BRIGHTON</v>
      </c>
      <c r="H8454" s="5">
        <f>VLOOKUP(G8454,[4]Astroflores!$G$2:$H$109,2,FALSE)</f>
        <v>3625</v>
      </c>
      <c r="I8454" s="6">
        <v>1768.8376470588223</v>
      </c>
      <c r="J8454" s="5">
        <v>12800</v>
      </c>
      <c r="K8454" s="6">
        <f t="shared" si="345"/>
        <v>2.0493684120911588</v>
      </c>
    </row>
    <row r="8455" spans="1:11" hidden="1">
      <c r="A8455" s="4">
        <v>2026</v>
      </c>
      <c r="B8455">
        <v>26</v>
      </c>
      <c r="C8455" t="s">
        <v>54</v>
      </c>
      <c r="D8455" t="s">
        <v>11</v>
      </c>
      <c r="E8455" t="s">
        <v>85</v>
      </c>
      <c r="F8455" t="s">
        <v>87</v>
      </c>
      <c r="G8455" t="str">
        <f t="shared" si="346"/>
        <v>011CANDLELIGHT</v>
      </c>
      <c r="H8455" s="5">
        <f>VLOOKUP(G8455,[4]Astroflores!$G$2:$H$109,2,FALSE)</f>
        <v>4160</v>
      </c>
      <c r="I8455" s="6">
        <v>2263.7999998868127</v>
      </c>
      <c r="J8455" s="5">
        <v>17920</v>
      </c>
      <c r="K8455" s="6">
        <f t="shared" si="345"/>
        <v>1.837618164240655</v>
      </c>
    </row>
    <row r="8456" spans="1:11" hidden="1">
      <c r="A8456" s="4">
        <v>2026</v>
      </c>
      <c r="B8456">
        <v>26</v>
      </c>
      <c r="C8456" t="s">
        <v>54</v>
      </c>
      <c r="D8456" t="s">
        <v>11</v>
      </c>
      <c r="E8456" t="s">
        <v>85</v>
      </c>
      <c r="F8456" t="s">
        <v>88</v>
      </c>
      <c r="G8456" t="str">
        <f t="shared" si="346"/>
        <v>011CAYENNE</v>
      </c>
      <c r="H8456" s="5">
        <f>VLOOKUP(G8456,[4]Astroflores!$G$2:$H$109,2,FALSE)</f>
        <v>1590</v>
      </c>
      <c r="I8456" s="6">
        <v>994.97117647058747</v>
      </c>
      <c r="J8456" s="5">
        <v>7200</v>
      </c>
      <c r="K8456" s="6">
        <f t="shared" si="345"/>
        <v>1.5980362422559105</v>
      </c>
    </row>
    <row r="8457" spans="1:11" hidden="1">
      <c r="A8457" s="4">
        <v>2026</v>
      </c>
      <c r="B8457">
        <v>26</v>
      </c>
      <c r="C8457" t="s">
        <v>54</v>
      </c>
      <c r="D8457" t="s">
        <v>11</v>
      </c>
      <c r="E8457" t="s">
        <v>85</v>
      </c>
      <c r="F8457" t="s">
        <v>61</v>
      </c>
      <c r="G8457" t="str">
        <f t="shared" si="346"/>
        <v>011LUMIA</v>
      </c>
      <c r="H8457" s="5">
        <f>VLOOKUP(G8457,[4]Astroflores!$G$2:$H$109,2,FALSE)</f>
        <v>1500</v>
      </c>
      <c r="I8457" s="6">
        <v>994.97117647058747</v>
      </c>
      <c r="J8457" s="5">
        <v>7920</v>
      </c>
      <c r="K8457" s="6">
        <f t="shared" si="345"/>
        <v>1.5075813606187836</v>
      </c>
    </row>
    <row r="8458" spans="1:11" hidden="1">
      <c r="A8458" s="4">
        <v>2026</v>
      </c>
      <c r="B8458">
        <v>26</v>
      </c>
      <c r="C8458" t="s">
        <v>54</v>
      </c>
      <c r="D8458" t="s">
        <v>11</v>
      </c>
      <c r="E8458" t="s">
        <v>85</v>
      </c>
      <c r="F8458" t="s">
        <v>89</v>
      </c>
      <c r="G8458" t="str">
        <f t="shared" si="346"/>
        <v>011STARDUST</v>
      </c>
      <c r="H8458" s="5">
        <f>VLOOKUP(G8458,[4]Astroflores!$G$2:$H$109,2,FALSE)</f>
        <v>3325</v>
      </c>
      <c r="I8458" s="6">
        <v>2263.7999998868127</v>
      </c>
      <c r="J8458" s="5">
        <v>17920</v>
      </c>
      <c r="K8458" s="6">
        <f t="shared" si="345"/>
        <v>1.4687693259856198</v>
      </c>
    </row>
    <row r="8459" spans="1:11" hidden="1">
      <c r="A8459" s="4">
        <v>2026</v>
      </c>
      <c r="B8459">
        <v>26</v>
      </c>
      <c r="C8459" t="s">
        <v>54</v>
      </c>
      <c r="D8459" t="s">
        <v>11</v>
      </c>
      <c r="E8459" t="s">
        <v>90</v>
      </c>
      <c r="F8459" t="s">
        <v>67</v>
      </c>
      <c r="G8459" t="str">
        <f t="shared" si="346"/>
        <v>012DEEP PURPLE</v>
      </c>
      <c r="H8459" s="5">
        <f>VLOOKUP(G8459,[4]Astroflores!$G$2:$H$109,2,FALSE)</f>
        <v>16890</v>
      </c>
      <c r="I8459" s="6">
        <v>6727.0499997982479</v>
      </c>
      <c r="J8459" s="5">
        <v>49210</v>
      </c>
      <c r="K8459" s="6">
        <f t="shared" si="345"/>
        <v>2.5107588022248311</v>
      </c>
    </row>
    <row r="8460" spans="1:11" hidden="1">
      <c r="A8460" s="4">
        <v>2026</v>
      </c>
      <c r="B8460">
        <v>26</v>
      </c>
      <c r="C8460" t="s">
        <v>54</v>
      </c>
      <c r="D8460" t="s">
        <v>11</v>
      </c>
      <c r="E8460" t="s">
        <v>90</v>
      </c>
      <c r="F8460" t="s">
        <v>60</v>
      </c>
      <c r="G8460" t="str">
        <f t="shared" si="346"/>
        <v>012LIGHT HOUSE</v>
      </c>
      <c r="H8460" s="5">
        <f>VLOOKUP(G8460,[4]Astroflores!$G$2:$H$109,2,FALSE)</f>
        <v>1680</v>
      </c>
      <c r="I8460" s="6">
        <v>994.95</v>
      </c>
      <c r="J8460" s="5">
        <v>7200</v>
      </c>
      <c r="K8460" s="6">
        <f t="shared" si="345"/>
        <v>1.6885270616613899</v>
      </c>
    </row>
    <row r="8461" spans="1:11" hidden="1">
      <c r="A8461" s="4">
        <v>2026</v>
      </c>
      <c r="B8461">
        <v>26</v>
      </c>
      <c r="C8461" t="s">
        <v>54</v>
      </c>
      <c r="D8461" t="s">
        <v>11</v>
      </c>
      <c r="E8461" t="s">
        <v>91</v>
      </c>
      <c r="F8461" t="s">
        <v>92</v>
      </c>
      <c r="G8461" t="str">
        <f t="shared" si="346"/>
        <v>013COUNTRY BLUES</v>
      </c>
      <c r="H8461" s="5">
        <f>VLOOKUP(G8461,[4]Astroflores!$G$2:$H$109,2,FALSE)</f>
        <v>1180</v>
      </c>
      <c r="I8461" s="6">
        <v>831.6</v>
      </c>
      <c r="J8461" s="5">
        <v>6300</v>
      </c>
      <c r="K8461" s="6">
        <f t="shared" si="345"/>
        <v>1.418951418951419</v>
      </c>
    </row>
    <row r="8462" spans="1:11" hidden="1">
      <c r="A8462" s="4">
        <v>2026</v>
      </c>
      <c r="B8462">
        <v>26</v>
      </c>
      <c r="C8462" t="s">
        <v>54</v>
      </c>
      <c r="D8462" t="s">
        <v>11</v>
      </c>
      <c r="E8462" t="s">
        <v>91</v>
      </c>
      <c r="F8462" t="s">
        <v>93</v>
      </c>
      <c r="G8462" t="str">
        <f t="shared" si="346"/>
        <v>013LORRAINE</v>
      </c>
      <c r="H8462" s="5">
        <f>VLOOKUP(G8462,[4]Astroflores!$G$2:$H$109,2,FALSE)</f>
        <v>3350</v>
      </c>
      <c r="I8462" s="6">
        <v>1267.2</v>
      </c>
      <c r="J8462" s="5">
        <v>9600</v>
      </c>
      <c r="K8462" s="6">
        <f t="shared" si="345"/>
        <v>2.6436237373737375</v>
      </c>
    </row>
    <row r="8463" spans="1:11" hidden="1">
      <c r="A8463" s="4">
        <v>2026</v>
      </c>
      <c r="B8463">
        <v>26</v>
      </c>
      <c r="C8463" t="s">
        <v>54</v>
      </c>
      <c r="D8463" t="s">
        <v>11</v>
      </c>
      <c r="E8463" t="s">
        <v>91</v>
      </c>
      <c r="F8463" t="s">
        <v>61</v>
      </c>
      <c r="G8463" t="str">
        <f t="shared" si="346"/>
        <v>013LUMIA</v>
      </c>
      <c r="H8463" s="5">
        <f>VLOOKUP(G8463,[4]Astroflores!$G$2:$H$109,2,FALSE)</f>
        <v>570</v>
      </c>
      <c r="I8463" s="6">
        <v>316.8</v>
      </c>
      <c r="J8463" s="5">
        <v>2400</v>
      </c>
      <c r="K8463" s="6">
        <f t="shared" si="345"/>
        <v>1.7992424242424241</v>
      </c>
    </row>
    <row r="8464" spans="1:11" hidden="1">
      <c r="A8464" s="4">
        <v>2026</v>
      </c>
      <c r="B8464">
        <v>26</v>
      </c>
      <c r="C8464" t="s">
        <v>54</v>
      </c>
      <c r="D8464" t="s">
        <v>11</v>
      </c>
      <c r="E8464" t="s">
        <v>91</v>
      </c>
      <c r="F8464" t="s">
        <v>74</v>
      </c>
      <c r="G8464" t="str">
        <f t="shared" si="346"/>
        <v>013VENDELA</v>
      </c>
      <c r="H8464" s="5">
        <f>VLOOKUP(G8464,[4]Astroflores!$G$2:$H$109,2,FALSE)</f>
        <v>11940</v>
      </c>
      <c r="I8464" s="6">
        <v>3603.6</v>
      </c>
      <c r="J8464" s="5">
        <v>27296</v>
      </c>
      <c r="K8464" s="6">
        <f t="shared" si="345"/>
        <v>3.3133533133533133</v>
      </c>
    </row>
    <row r="8465" spans="1:11" hidden="1">
      <c r="A8465" s="4">
        <v>2026</v>
      </c>
      <c r="B8465">
        <v>26</v>
      </c>
      <c r="C8465" t="s">
        <v>54</v>
      </c>
      <c r="D8465" t="s">
        <v>11</v>
      </c>
      <c r="E8465" t="s">
        <v>23</v>
      </c>
      <c r="F8465" t="s">
        <v>89</v>
      </c>
      <c r="G8465" t="str">
        <f t="shared" si="346"/>
        <v>014STARDUST</v>
      </c>
      <c r="H8465" s="5">
        <f>VLOOKUP(G8465,[4]Astroflores!$G$2:$H$109,2,FALSE)</f>
        <v>5525</v>
      </c>
      <c r="I8465" s="6">
        <v>3682.8</v>
      </c>
      <c r="J8465" s="5">
        <v>27900</v>
      </c>
      <c r="K8465" s="6">
        <f t="shared" si="345"/>
        <v>1.5002172260236775</v>
      </c>
    </row>
    <row r="8466" spans="1:11" hidden="1">
      <c r="A8466" s="4">
        <v>2026</v>
      </c>
      <c r="B8466">
        <v>26</v>
      </c>
      <c r="C8466" t="s">
        <v>54</v>
      </c>
      <c r="D8466" t="s">
        <v>11</v>
      </c>
      <c r="E8466" t="s">
        <v>25</v>
      </c>
      <c r="F8466" t="s">
        <v>68</v>
      </c>
      <c r="G8466" t="str">
        <f t="shared" si="346"/>
        <v>015JOCKER</v>
      </c>
      <c r="H8466" s="5">
        <f>VLOOKUP(G8466,[4]Astroflores!$G$2:$H$109,2,FALSE)</f>
        <v>5125</v>
      </c>
      <c r="I8466" s="6">
        <v>2376</v>
      </c>
      <c r="J8466" s="5">
        <v>18000</v>
      </c>
      <c r="K8466" s="6">
        <f t="shared" si="345"/>
        <v>2.156986531986532</v>
      </c>
    </row>
    <row r="8467" spans="1:11" hidden="1">
      <c r="A8467" s="4">
        <v>2026</v>
      </c>
      <c r="B8467">
        <v>26</v>
      </c>
      <c r="C8467" t="s">
        <v>54</v>
      </c>
      <c r="D8467" t="s">
        <v>11</v>
      </c>
      <c r="E8467" t="s">
        <v>27</v>
      </c>
      <c r="F8467" t="s">
        <v>94</v>
      </c>
      <c r="G8467" t="str">
        <f t="shared" si="346"/>
        <v>016DREAM IN PEACH</v>
      </c>
      <c r="H8467" s="5">
        <f>VLOOKUP(G8467,[4]Astroflores!$G$2:$H$109,2,FALSE)</f>
        <v>1770</v>
      </c>
      <c r="I8467" s="6">
        <v>950.4</v>
      </c>
      <c r="J8467" s="5">
        <v>7200</v>
      </c>
      <c r="K8467" s="6">
        <f t="shared" si="345"/>
        <v>1.8623737373737375</v>
      </c>
    </row>
    <row r="8468" spans="1:11" hidden="1">
      <c r="A8468" s="4">
        <v>2026</v>
      </c>
      <c r="B8468">
        <v>26</v>
      </c>
      <c r="C8468" t="s">
        <v>54</v>
      </c>
      <c r="D8468" t="s">
        <v>11</v>
      </c>
      <c r="E8468" t="s">
        <v>27</v>
      </c>
      <c r="F8468" t="s">
        <v>95</v>
      </c>
      <c r="G8468" t="str">
        <f t="shared" si="346"/>
        <v>016NINA</v>
      </c>
      <c r="H8468" s="5">
        <f>VLOOKUP(G8468,[4]Astroflores!$G$2:$H$109,2,FALSE)</f>
        <v>4975</v>
      </c>
      <c r="I8468" s="6">
        <v>1346.4</v>
      </c>
      <c r="J8468" s="5">
        <v>10200</v>
      </c>
      <c r="K8468" s="6">
        <f t="shared" si="345"/>
        <v>3.6950386215092097</v>
      </c>
    </row>
    <row r="8469" spans="1:11" hidden="1">
      <c r="A8469" s="4">
        <v>2026</v>
      </c>
      <c r="B8469">
        <v>26</v>
      </c>
      <c r="C8469" t="s">
        <v>54</v>
      </c>
      <c r="D8469" t="s">
        <v>11</v>
      </c>
      <c r="E8469" t="s">
        <v>30</v>
      </c>
      <c r="F8469" t="s">
        <v>81</v>
      </c>
      <c r="G8469" t="str">
        <f t="shared" si="346"/>
        <v>017FREEDOM</v>
      </c>
      <c r="H8469" s="5">
        <f>VLOOKUP(G8469,[4]Astroflores!$G$2:$H$109,2,FALSE)</f>
        <v>6360</v>
      </c>
      <c r="I8469" s="6">
        <v>2851.2</v>
      </c>
      <c r="J8469" s="5">
        <v>21600</v>
      </c>
      <c r="K8469" s="6">
        <f t="shared" si="345"/>
        <v>2.230639730639731</v>
      </c>
    </row>
    <row r="8470" spans="1:11" hidden="1">
      <c r="A8470" s="4">
        <v>2026</v>
      </c>
      <c r="B8470">
        <v>26</v>
      </c>
      <c r="C8470" t="s">
        <v>54</v>
      </c>
      <c r="D8470" t="s">
        <v>11</v>
      </c>
      <c r="E8470" t="s">
        <v>30</v>
      </c>
      <c r="F8470" t="s">
        <v>73</v>
      </c>
      <c r="G8470" t="str">
        <f t="shared" si="346"/>
        <v>017GOLDFINCH</v>
      </c>
      <c r="H8470" s="5">
        <f>VLOOKUP(G8470,[4]Astroflores!$G$2:$H$109,2,FALSE)</f>
        <v>3425</v>
      </c>
      <c r="I8470" s="6">
        <v>2138.4</v>
      </c>
      <c r="J8470" s="5">
        <v>16200</v>
      </c>
      <c r="K8470" s="6">
        <f t="shared" si="345"/>
        <v>1.6016647961092405</v>
      </c>
    </row>
    <row r="8471" spans="1:11" hidden="1">
      <c r="A8471" s="4">
        <v>2026</v>
      </c>
      <c r="B8471">
        <v>26</v>
      </c>
      <c r="C8471" t="s">
        <v>54</v>
      </c>
      <c r="D8471" t="s">
        <v>11</v>
      </c>
      <c r="E8471" t="s">
        <v>32</v>
      </c>
      <c r="F8471" t="s">
        <v>86</v>
      </c>
      <c r="G8471" t="str">
        <f t="shared" si="346"/>
        <v>018BRIGHTON</v>
      </c>
      <c r="H8471" s="5">
        <f>VLOOKUP(G8471,[4]Astroflores!$G$2:$H$109,2,FALSE)</f>
        <v>2100</v>
      </c>
      <c r="I8471" s="6">
        <v>963.6</v>
      </c>
      <c r="J8471" s="5">
        <v>7570</v>
      </c>
      <c r="K8471" s="6">
        <f t="shared" si="345"/>
        <v>2.179327521793275</v>
      </c>
    </row>
    <row r="8472" spans="1:11" hidden="1">
      <c r="A8472" s="4">
        <v>2026</v>
      </c>
      <c r="B8472">
        <v>26</v>
      </c>
      <c r="C8472" t="s">
        <v>54</v>
      </c>
      <c r="D8472" t="s">
        <v>11</v>
      </c>
      <c r="E8472" t="s">
        <v>35</v>
      </c>
      <c r="F8472" t="s">
        <v>86</v>
      </c>
      <c r="G8472" t="str">
        <f t="shared" si="346"/>
        <v>019BRIGHTON</v>
      </c>
      <c r="H8472" s="5">
        <f>VLOOKUP(G8472,[4]Astroflores!$G$2:$H$109,2,FALSE)</f>
        <v>7775</v>
      </c>
      <c r="I8472" s="6">
        <v>3168</v>
      </c>
      <c r="J8472" s="5">
        <v>24000</v>
      </c>
      <c r="K8472" s="6">
        <f t="shared" si="345"/>
        <v>2.454229797979798</v>
      </c>
    </row>
    <row r="8473" spans="1:11" hidden="1">
      <c r="A8473" s="4">
        <v>2026</v>
      </c>
      <c r="B8473">
        <v>26</v>
      </c>
      <c r="C8473" t="s">
        <v>54</v>
      </c>
      <c r="D8473" t="s">
        <v>11</v>
      </c>
      <c r="E8473" t="s">
        <v>35</v>
      </c>
      <c r="F8473" t="s">
        <v>96</v>
      </c>
      <c r="G8473" t="str">
        <f t="shared" si="346"/>
        <v>019TABATHA</v>
      </c>
      <c r="H8473" s="5">
        <f>VLOOKUP(G8473,[4]Astroflores!$G$2:$H$109,2,FALSE)</f>
        <v>2280</v>
      </c>
      <c r="I8473" s="6">
        <v>1188</v>
      </c>
      <c r="J8473" s="5">
        <v>9000</v>
      </c>
      <c r="K8473" s="6">
        <f t="shared" si="345"/>
        <v>1.9191919191919191</v>
      </c>
    </row>
    <row r="8474" spans="1:11" hidden="1">
      <c r="A8474" s="4">
        <v>2026</v>
      </c>
      <c r="B8474">
        <v>26</v>
      </c>
      <c r="C8474" t="s">
        <v>54</v>
      </c>
      <c r="D8474" t="s">
        <v>11</v>
      </c>
      <c r="E8474" t="s">
        <v>36</v>
      </c>
      <c r="F8474" t="s">
        <v>86</v>
      </c>
      <c r="G8474" t="str">
        <f t="shared" si="346"/>
        <v>020BRIGHTON</v>
      </c>
      <c r="H8474" s="5">
        <f>VLOOKUP(G8474,[4]Astroflores!$G$2:$H$109,2,FALSE)</f>
        <v>5375</v>
      </c>
      <c r="I8474" s="6">
        <v>2732.4</v>
      </c>
      <c r="J8474" s="5">
        <v>20700</v>
      </c>
      <c r="K8474" s="6">
        <f t="shared" si="345"/>
        <v>1.9671351193090323</v>
      </c>
    </row>
    <row r="8475" spans="1:11" hidden="1">
      <c r="A8475" s="4">
        <v>2026</v>
      </c>
      <c r="B8475">
        <v>26</v>
      </c>
      <c r="C8475" t="s">
        <v>54</v>
      </c>
      <c r="D8475" t="s">
        <v>11</v>
      </c>
      <c r="E8475" t="s">
        <v>36</v>
      </c>
      <c r="F8475" t="s">
        <v>97</v>
      </c>
      <c r="G8475" t="str">
        <f t="shared" si="346"/>
        <v>020TYCOON</v>
      </c>
      <c r="H8475" s="5">
        <f>VLOOKUP(G8475,[4]Astroflores!$G$2:$H$109,2,FALSE)</f>
        <v>1350</v>
      </c>
      <c r="I8475" s="6">
        <v>673.2</v>
      </c>
      <c r="J8475" s="5">
        <v>5100</v>
      </c>
      <c r="K8475" s="6">
        <f t="shared" si="345"/>
        <v>2.0053475935828877</v>
      </c>
    </row>
    <row r="8476" spans="1:11" hidden="1">
      <c r="A8476" s="4">
        <v>2026</v>
      </c>
      <c r="B8476">
        <v>26</v>
      </c>
      <c r="C8476" t="s">
        <v>54</v>
      </c>
      <c r="D8476" t="s">
        <v>11</v>
      </c>
      <c r="E8476" t="s">
        <v>38</v>
      </c>
      <c r="F8476" t="s">
        <v>98</v>
      </c>
      <c r="G8476" t="str">
        <f t="shared" si="346"/>
        <v>021SHOW GIRL</v>
      </c>
      <c r="H8476" s="5">
        <f>VLOOKUP(G8476,[4]Astroflores!$G$2:$H$109,2,FALSE)</f>
        <v>1600</v>
      </c>
      <c r="I8476" s="6">
        <v>1100.4749999999999</v>
      </c>
      <c r="J8476" s="5">
        <v>8000</v>
      </c>
      <c r="K8476" s="6">
        <f t="shared" si="345"/>
        <v>1.4539176264794749</v>
      </c>
    </row>
    <row r="8477" spans="1:11" hidden="1">
      <c r="A8477" s="4">
        <v>2026</v>
      </c>
      <c r="B8477">
        <v>26</v>
      </c>
      <c r="C8477" t="s">
        <v>54</v>
      </c>
      <c r="D8477" t="s">
        <v>11</v>
      </c>
      <c r="E8477" t="s">
        <v>43</v>
      </c>
      <c r="F8477" t="s">
        <v>99</v>
      </c>
      <c r="G8477" t="str">
        <f t="shared" si="346"/>
        <v>022CORAL REEF</v>
      </c>
      <c r="H8477" s="5">
        <f>VLOOKUP(G8477,[4]Astroflores!$G$2:$H$109,2,FALSE)</f>
        <v>2400</v>
      </c>
      <c r="I8477" s="6">
        <v>1287</v>
      </c>
      <c r="J8477" s="5">
        <v>9400</v>
      </c>
      <c r="K8477" s="6">
        <f t="shared" si="345"/>
        <v>1.8648018648018647</v>
      </c>
    </row>
    <row r="8478" spans="1:11" hidden="1">
      <c r="A8478" s="4">
        <v>2026</v>
      </c>
      <c r="B8478">
        <v>26</v>
      </c>
      <c r="C8478" t="s">
        <v>54</v>
      </c>
      <c r="D8478" t="s">
        <v>11</v>
      </c>
      <c r="E8478" t="s">
        <v>100</v>
      </c>
      <c r="F8478" t="s">
        <v>70</v>
      </c>
      <c r="G8478" t="str">
        <f t="shared" si="346"/>
        <v>023COTOPAXI</v>
      </c>
      <c r="H8478" s="5">
        <f>VLOOKUP(G8478,[4]Astroflores!$G$2:$H$109,2,FALSE)</f>
        <v>5730</v>
      </c>
      <c r="I8478" s="6">
        <v>2641.14</v>
      </c>
      <c r="J8478" s="5">
        <v>19200</v>
      </c>
      <c r="K8478" s="6">
        <f t="shared" si="345"/>
        <v>2.1695177082623416</v>
      </c>
    </row>
    <row r="8479" spans="1:11" hidden="1">
      <c r="A8479" s="4">
        <v>2026</v>
      </c>
      <c r="B8479">
        <v>26</v>
      </c>
      <c r="C8479" t="s">
        <v>54</v>
      </c>
      <c r="D8479" t="s">
        <v>11</v>
      </c>
      <c r="E8479" t="s">
        <v>100</v>
      </c>
      <c r="F8479" t="s">
        <v>101</v>
      </c>
      <c r="G8479" t="str">
        <f t="shared" si="346"/>
        <v>023FRUTTETO</v>
      </c>
      <c r="H8479" s="5">
        <f>VLOOKUP(G8479,[4]Astroflores!$G$2:$H$109,2,FALSE)</f>
        <v>8010</v>
      </c>
      <c r="I8479" s="6">
        <v>2641.14</v>
      </c>
      <c r="J8479" s="5">
        <v>19200</v>
      </c>
      <c r="K8479" s="6">
        <f t="shared" si="345"/>
        <v>3.0327812989845295</v>
      </c>
    </row>
    <row r="8480" spans="1:11" hidden="1">
      <c r="A8480" s="4">
        <v>2026</v>
      </c>
      <c r="B8480">
        <v>26</v>
      </c>
      <c r="C8480" t="s">
        <v>54</v>
      </c>
      <c r="D8480" t="s">
        <v>11</v>
      </c>
      <c r="E8480" t="s">
        <v>102</v>
      </c>
      <c r="F8480" t="s">
        <v>70</v>
      </c>
      <c r="G8480" t="str">
        <f t="shared" si="346"/>
        <v>024COTOPAXI</v>
      </c>
      <c r="H8480" s="5">
        <f>VLOOKUP(G8480,[4]Astroflores!$G$2:$H$109,2,FALSE)</f>
        <v>3060</v>
      </c>
      <c r="I8480" s="6">
        <v>1430.6174906250001</v>
      </c>
      <c r="J8480" s="5">
        <v>10400</v>
      </c>
      <c r="K8480" s="6">
        <f t="shared" si="345"/>
        <v>2.1389365222028456</v>
      </c>
    </row>
    <row r="8481" spans="1:11" hidden="1">
      <c r="A8481" s="4">
        <v>2026</v>
      </c>
      <c r="B8481">
        <v>26</v>
      </c>
      <c r="C8481" t="s">
        <v>54</v>
      </c>
      <c r="D8481" t="s">
        <v>11</v>
      </c>
      <c r="E8481" t="s">
        <v>102</v>
      </c>
      <c r="F8481" t="s">
        <v>64</v>
      </c>
      <c r="G8481" t="str">
        <f t="shared" si="346"/>
        <v>024SWEETNESS</v>
      </c>
      <c r="H8481" s="5">
        <f>VLOOKUP(G8481,[4]Astroflores!$G$2:$H$109,2,FALSE)</f>
        <v>2010</v>
      </c>
      <c r="I8481" s="6">
        <v>1430.6175000000001</v>
      </c>
      <c r="J8481" s="5">
        <v>10400</v>
      </c>
      <c r="K8481" s="6">
        <f t="shared" si="345"/>
        <v>1.4049877063575693</v>
      </c>
    </row>
    <row r="8482" spans="1:11" hidden="1">
      <c r="A8482" s="4">
        <v>2026</v>
      </c>
      <c r="B8482">
        <v>26</v>
      </c>
      <c r="C8482" t="s">
        <v>54</v>
      </c>
      <c r="D8482" t="s">
        <v>11</v>
      </c>
      <c r="E8482" t="s">
        <v>102</v>
      </c>
      <c r="F8482" t="s">
        <v>97</v>
      </c>
      <c r="G8482" t="str">
        <f t="shared" si="346"/>
        <v>024TYCOON</v>
      </c>
      <c r="H8482" s="5">
        <f>VLOOKUP(G8482,[4]Astroflores!$G$2:$H$109,2,FALSE)</f>
        <v>4080</v>
      </c>
      <c r="I8482" s="6">
        <v>2861.2350000000001</v>
      </c>
      <c r="J8482" s="5">
        <v>20800</v>
      </c>
      <c r="K8482" s="6">
        <f t="shared" si="345"/>
        <v>1.4259576721241003</v>
      </c>
    </row>
    <row r="8483" spans="1:11" hidden="1">
      <c r="A8483" s="4">
        <v>2026</v>
      </c>
      <c r="B8483">
        <v>26</v>
      </c>
      <c r="C8483" t="s">
        <v>54</v>
      </c>
      <c r="D8483" t="s">
        <v>11</v>
      </c>
      <c r="E8483" t="s">
        <v>103</v>
      </c>
      <c r="F8483" t="s">
        <v>104</v>
      </c>
      <c r="G8483" t="str">
        <f t="shared" si="346"/>
        <v>025PINK MONDIAL</v>
      </c>
      <c r="H8483" s="5">
        <f>VLOOKUP(G8483,[4]Astroflores!$G$2:$H$109,2,FALSE)</f>
        <v>5225</v>
      </c>
      <c r="I8483" s="6">
        <v>3071.9505625000002</v>
      </c>
      <c r="J8483" s="5">
        <v>22400</v>
      </c>
      <c r="K8483" s="6">
        <f t="shared" si="345"/>
        <v>1.7008737262190234</v>
      </c>
    </row>
    <row r="8484" spans="1:11" hidden="1">
      <c r="A8484" s="4">
        <v>2026</v>
      </c>
      <c r="B8484">
        <v>26</v>
      </c>
      <c r="C8484" t="s">
        <v>54</v>
      </c>
      <c r="D8484" t="s">
        <v>11</v>
      </c>
      <c r="E8484" t="s">
        <v>45</v>
      </c>
      <c r="F8484" t="s">
        <v>105</v>
      </c>
      <c r="G8484" t="str">
        <f t="shared" si="346"/>
        <v>026LOLA</v>
      </c>
      <c r="H8484" s="5">
        <f>VLOOKUP(G8484,[4]Astroflores!$G$2:$H$109,2,FALSE)</f>
        <v>5925</v>
      </c>
      <c r="I8484" s="6">
        <v>1097.125</v>
      </c>
      <c r="J8484" s="5">
        <v>8000</v>
      </c>
      <c r="K8484" s="6">
        <f t="shared" si="345"/>
        <v>5.4004785234134669</v>
      </c>
    </row>
    <row r="8485" spans="1:11" hidden="1">
      <c r="A8485" s="4">
        <v>2026</v>
      </c>
      <c r="B8485">
        <v>26</v>
      </c>
      <c r="C8485" t="s">
        <v>54</v>
      </c>
      <c r="D8485" t="s">
        <v>11</v>
      </c>
      <c r="E8485" t="s">
        <v>45</v>
      </c>
      <c r="F8485" t="s">
        <v>106</v>
      </c>
      <c r="G8485" t="str">
        <f t="shared" si="346"/>
        <v>026PALOMA</v>
      </c>
      <c r="H8485" s="5">
        <f>VLOOKUP(G8485,[4]Astroflores!$G$2:$H$109,2,FALSE)</f>
        <v>5850</v>
      </c>
      <c r="I8485" s="6">
        <v>2852.5250000000001</v>
      </c>
      <c r="J8485" s="5">
        <v>20800</v>
      </c>
      <c r="K8485" s="6">
        <f t="shared" si="345"/>
        <v>2.0508146291443543</v>
      </c>
    </row>
    <row r="8486" spans="1:11" hidden="1">
      <c r="A8486" s="4">
        <v>2026</v>
      </c>
      <c r="B8486">
        <v>26</v>
      </c>
      <c r="C8486" t="s">
        <v>54</v>
      </c>
      <c r="D8486" t="s">
        <v>11</v>
      </c>
      <c r="E8486" t="s">
        <v>107</v>
      </c>
      <c r="F8486" t="s">
        <v>108</v>
      </c>
      <c r="G8486" t="str">
        <f t="shared" si="346"/>
        <v>027SATISFACTION</v>
      </c>
      <c r="H8486" s="5">
        <f>VLOOKUP(G8486,[4]Astroflores!$G$2:$H$109,2,FALSE)</f>
        <v>4230</v>
      </c>
      <c r="I8486" s="6">
        <v>2633.1</v>
      </c>
      <c r="J8486" s="5">
        <v>19200</v>
      </c>
      <c r="K8486" s="6">
        <f t="shared" si="345"/>
        <v>1.6064714594964111</v>
      </c>
    </row>
    <row r="8487" spans="1:11" hidden="1">
      <c r="A8487" s="4">
        <v>2026</v>
      </c>
      <c r="B8487">
        <v>26</v>
      </c>
      <c r="C8487" t="s">
        <v>54</v>
      </c>
      <c r="D8487" t="s">
        <v>11</v>
      </c>
      <c r="E8487" t="s">
        <v>107</v>
      </c>
      <c r="F8487" t="s">
        <v>109</v>
      </c>
      <c r="G8487" t="str">
        <f t="shared" si="346"/>
        <v>027TIFFANY</v>
      </c>
      <c r="H8487" s="5">
        <f>VLOOKUP(G8487,[4]Astroflores!$G$2:$H$109,2,FALSE)</f>
        <v>3840</v>
      </c>
      <c r="I8487" s="6">
        <v>2633.1</v>
      </c>
      <c r="J8487" s="5">
        <v>19200</v>
      </c>
      <c r="K8487" s="6">
        <f t="shared" ref="K8487:K8526" si="347">+H8487/I8487</f>
        <v>1.4583570696137633</v>
      </c>
    </row>
    <row r="8488" spans="1:11" hidden="1">
      <c r="A8488" s="4">
        <v>2026</v>
      </c>
      <c r="B8488">
        <v>26</v>
      </c>
      <c r="C8488" t="s">
        <v>54</v>
      </c>
      <c r="D8488" t="s">
        <v>11</v>
      </c>
      <c r="E8488" t="s">
        <v>110</v>
      </c>
      <c r="F8488" t="s">
        <v>70</v>
      </c>
      <c r="G8488" t="str">
        <f t="shared" si="346"/>
        <v>028COTOPAXI</v>
      </c>
      <c r="H8488" s="5">
        <f>VLOOKUP(G8488,[4]Astroflores!$G$2:$H$109,2,FALSE)</f>
        <v>5580</v>
      </c>
      <c r="I8488" s="6">
        <v>2852.5250000000001</v>
      </c>
      <c r="J8488" s="5">
        <v>20800</v>
      </c>
      <c r="K8488" s="6">
        <f t="shared" si="347"/>
        <v>1.9561616462607689</v>
      </c>
    </row>
    <row r="8489" spans="1:11" hidden="1">
      <c r="A8489" s="4">
        <v>2026</v>
      </c>
      <c r="B8489">
        <v>26</v>
      </c>
      <c r="C8489" t="s">
        <v>54</v>
      </c>
      <c r="D8489" t="s">
        <v>11</v>
      </c>
      <c r="E8489" t="s">
        <v>110</v>
      </c>
      <c r="F8489" t="s">
        <v>67</v>
      </c>
      <c r="G8489" t="str">
        <f t="shared" si="346"/>
        <v>028DEEP PURPLE</v>
      </c>
      <c r="H8489" s="5">
        <f>VLOOKUP(G8489,[4]Astroflores!$G$2:$H$109,2,FALSE)</f>
        <v>6480</v>
      </c>
      <c r="I8489" s="6">
        <v>2852.5250000000001</v>
      </c>
      <c r="J8489" s="5">
        <v>20800</v>
      </c>
      <c r="K8489" s="6">
        <f t="shared" si="347"/>
        <v>2.2716715892060542</v>
      </c>
    </row>
    <row r="8490" spans="1:11" hidden="1">
      <c r="A8490" s="4">
        <v>2026</v>
      </c>
      <c r="B8490">
        <v>26</v>
      </c>
      <c r="C8490" t="s">
        <v>54</v>
      </c>
      <c r="D8490" t="s">
        <v>11</v>
      </c>
      <c r="E8490" t="s">
        <v>111</v>
      </c>
      <c r="F8490" t="s">
        <v>112</v>
      </c>
      <c r="G8490" t="str">
        <f t="shared" si="346"/>
        <v>029PINK FLOYD</v>
      </c>
      <c r="H8490" s="5">
        <f>VLOOKUP(G8490,[4]Astroflores!$G$2:$H$109,2,FALSE)</f>
        <v>4075</v>
      </c>
      <c r="I8490" s="6">
        <v>3071.95</v>
      </c>
      <c r="J8490" s="5">
        <v>22400</v>
      </c>
      <c r="K8490" s="6">
        <f t="shared" si="347"/>
        <v>1.3265189863116262</v>
      </c>
    </row>
    <row r="8491" spans="1:11" hidden="1">
      <c r="A8491" s="4">
        <v>2026</v>
      </c>
      <c r="B8491">
        <v>26</v>
      </c>
      <c r="C8491" t="s">
        <v>54</v>
      </c>
      <c r="D8491" t="s">
        <v>11</v>
      </c>
      <c r="E8491" t="s">
        <v>47</v>
      </c>
      <c r="F8491" t="s">
        <v>57</v>
      </c>
      <c r="G8491" t="str">
        <f t="shared" si="346"/>
        <v>030EXPLORER</v>
      </c>
      <c r="H8491" s="5">
        <f>VLOOKUP(G8491,[4]Astroflores!$G$2:$H$109,2,FALSE)</f>
        <v>3575</v>
      </c>
      <c r="I8491" s="6">
        <v>1645.6875</v>
      </c>
      <c r="J8491" s="5">
        <v>12000</v>
      </c>
      <c r="K8491" s="6">
        <f t="shared" si="347"/>
        <v>2.1723443849455015</v>
      </c>
    </row>
    <row r="8492" spans="1:11" hidden="1">
      <c r="A8492" s="4">
        <v>2026</v>
      </c>
      <c r="B8492">
        <v>27</v>
      </c>
      <c r="C8492" t="s">
        <v>10</v>
      </c>
      <c r="D8492" t="s">
        <v>11</v>
      </c>
      <c r="E8492" t="s">
        <v>12</v>
      </c>
      <c r="F8492" t="s">
        <v>13</v>
      </c>
      <c r="G8492" t="str">
        <f t="shared" si="346"/>
        <v>002SOMERSET</v>
      </c>
      <c r="H8492" s="7">
        <f>VLOOKUP(G8492,[5]Astroflores!$G$2:$H$110,2,FALSE)</f>
        <v>7100</v>
      </c>
      <c r="I8492" s="6">
        <v>4121.4642855494085</v>
      </c>
      <c r="J8492" s="5">
        <v>31200</v>
      </c>
      <c r="K8492" s="6">
        <f t="shared" si="347"/>
        <v>1.7226887116052105</v>
      </c>
    </row>
    <row r="8493" spans="1:11" hidden="1">
      <c r="A8493" s="4">
        <v>2026</v>
      </c>
      <c r="B8493">
        <v>27</v>
      </c>
      <c r="C8493" t="s">
        <v>10</v>
      </c>
      <c r="D8493" t="s">
        <v>11</v>
      </c>
      <c r="E8493" t="s">
        <v>14</v>
      </c>
      <c r="F8493" t="s">
        <v>15</v>
      </c>
      <c r="G8493" t="str">
        <f t="shared" si="346"/>
        <v>004BELLINA</v>
      </c>
      <c r="H8493" s="7">
        <f>VLOOKUP(G8493,[5]Astroflores!$G$2:$H$110,2,FALSE)</f>
        <v>1830</v>
      </c>
      <c r="I8493" s="6">
        <v>1056.7857142434418</v>
      </c>
      <c r="J8493" s="5">
        <v>8000</v>
      </c>
      <c r="K8493" s="6">
        <f t="shared" si="347"/>
        <v>1.7316661034825838</v>
      </c>
    </row>
    <row r="8494" spans="1:11" hidden="1">
      <c r="A8494" s="4">
        <v>2026</v>
      </c>
      <c r="B8494">
        <v>27</v>
      </c>
      <c r="C8494" t="s">
        <v>10</v>
      </c>
      <c r="D8494" t="s">
        <v>11</v>
      </c>
      <c r="E8494" t="s">
        <v>16</v>
      </c>
      <c r="F8494" t="s">
        <v>17</v>
      </c>
      <c r="G8494" t="str">
        <f t="shared" si="346"/>
        <v>005ELBA</v>
      </c>
      <c r="H8494" s="7">
        <f>VLOOKUP(G8494,[5]Astroflores!$G$2:$H$110,2,FALSE)</f>
        <v>6660</v>
      </c>
      <c r="I8494" s="6">
        <v>2641.9642856076484</v>
      </c>
      <c r="J8494" s="5">
        <v>19996</v>
      </c>
      <c r="K8494" s="6">
        <f t="shared" si="347"/>
        <v>2.5208516391690012</v>
      </c>
    </row>
    <row r="8495" spans="1:11" hidden="1">
      <c r="A8495" s="4">
        <v>2026</v>
      </c>
      <c r="B8495">
        <v>27</v>
      </c>
      <c r="C8495" t="s">
        <v>10</v>
      </c>
      <c r="D8495" t="s">
        <v>11</v>
      </c>
      <c r="E8495" t="s">
        <v>16</v>
      </c>
      <c r="F8495" t="s">
        <v>18</v>
      </c>
      <c r="G8495" t="str">
        <f t="shared" si="346"/>
        <v>005HOT BUBBLES</v>
      </c>
      <c r="H8495" s="7">
        <f>VLOOKUP(G8495,[5]Astroflores!$G$2:$H$110,2,FALSE)</f>
        <v>1340</v>
      </c>
      <c r="I8495" s="6">
        <v>528.39285712153003</v>
      </c>
      <c r="J8495" s="5">
        <v>4000</v>
      </c>
      <c r="K8495" s="6">
        <f t="shared" si="347"/>
        <v>2.5359918892540989</v>
      </c>
    </row>
    <row r="8496" spans="1:11" hidden="1">
      <c r="A8496" s="4">
        <v>2026</v>
      </c>
      <c r="B8496">
        <v>27</v>
      </c>
      <c r="C8496" t="s">
        <v>10</v>
      </c>
      <c r="D8496" t="s">
        <v>11</v>
      </c>
      <c r="E8496" t="s">
        <v>16</v>
      </c>
      <c r="F8496" t="s">
        <v>19</v>
      </c>
      <c r="G8496" t="str">
        <f t="shared" si="346"/>
        <v>005SUSPIRO</v>
      </c>
      <c r="H8496" s="7">
        <f>VLOOKUP(G8496,[5]Astroflores!$G$2:$H$110,2,FALSE)</f>
        <v>3300</v>
      </c>
      <c r="I8496" s="6">
        <v>1902.2142856375078</v>
      </c>
      <c r="J8496" s="5">
        <v>14400</v>
      </c>
      <c r="K8496" s="6">
        <f t="shared" si="347"/>
        <v>1.7348203222509384</v>
      </c>
    </row>
    <row r="8497" spans="1:11" hidden="1">
      <c r="A8497" s="4">
        <v>2026</v>
      </c>
      <c r="B8497">
        <v>27</v>
      </c>
      <c r="C8497" t="s">
        <v>10</v>
      </c>
      <c r="D8497" t="s">
        <v>11</v>
      </c>
      <c r="E8497" t="s">
        <v>20</v>
      </c>
      <c r="F8497" t="s">
        <v>21</v>
      </c>
      <c r="G8497" t="str">
        <f t="shared" si="346"/>
        <v>007SNOW BUBBLES</v>
      </c>
      <c r="H8497" s="7">
        <f>VLOOKUP(G8497,[5]Astroflores!$G$2:$H$110,2,FALSE)</f>
        <v>900</v>
      </c>
      <c r="I8497" s="6">
        <v>634.05652706821195</v>
      </c>
      <c r="J8497" s="5">
        <v>4800</v>
      </c>
      <c r="K8497" s="6">
        <f t="shared" si="347"/>
        <v>1.4194318039141922</v>
      </c>
    </row>
    <row r="8498" spans="1:11" hidden="1">
      <c r="A8498" s="4">
        <v>2026</v>
      </c>
      <c r="B8498">
        <v>27</v>
      </c>
      <c r="C8498" t="s">
        <v>10</v>
      </c>
      <c r="D8498" t="s">
        <v>11</v>
      </c>
      <c r="E8498" t="s">
        <v>22</v>
      </c>
      <c r="F8498" t="s">
        <v>18</v>
      </c>
      <c r="G8498" t="str">
        <f t="shared" ref="G8498:G8557" si="348">+E8498&amp;F8498</f>
        <v>009HOT BUBBLES</v>
      </c>
      <c r="H8498" s="7">
        <f>VLOOKUP(G8498,[5]Astroflores!$G$2:$H$110,2,FALSE)</f>
        <v>12160</v>
      </c>
      <c r="I8498" s="6">
        <v>4487.9999999102474</v>
      </c>
      <c r="J8498" s="5">
        <v>31740</v>
      </c>
      <c r="K8498" s="6">
        <f t="shared" si="347"/>
        <v>2.709447415383953</v>
      </c>
    </row>
    <row r="8499" spans="1:11" hidden="1">
      <c r="A8499" s="4">
        <v>2026</v>
      </c>
      <c r="B8499">
        <v>27</v>
      </c>
      <c r="C8499" t="s">
        <v>10</v>
      </c>
      <c r="D8499" t="s">
        <v>11</v>
      </c>
      <c r="E8499" t="s">
        <v>23</v>
      </c>
      <c r="F8499" t="s">
        <v>24</v>
      </c>
      <c r="G8499" t="str">
        <f t="shared" si="348"/>
        <v>014FRUITY BUBBLES</v>
      </c>
      <c r="H8499" s="7">
        <f>VLOOKUP(G8499,[5]Astroflores!$G$2:$H$110,2,FALSE)</f>
        <v>4250</v>
      </c>
      <c r="I8499" s="6">
        <v>1702.8</v>
      </c>
      <c r="J8499" s="5">
        <v>12900</v>
      </c>
      <c r="K8499" s="6">
        <f t="shared" si="347"/>
        <v>2.4958891237961005</v>
      </c>
    </row>
    <row r="8500" spans="1:11" hidden="1">
      <c r="A8500" s="4">
        <v>2026</v>
      </c>
      <c r="B8500">
        <v>27</v>
      </c>
      <c r="C8500" t="s">
        <v>10</v>
      </c>
      <c r="D8500" t="s">
        <v>11</v>
      </c>
      <c r="E8500" t="s">
        <v>25</v>
      </c>
      <c r="F8500" t="s">
        <v>26</v>
      </c>
      <c r="G8500" t="str">
        <f t="shared" si="348"/>
        <v>015FELLINI</v>
      </c>
      <c r="H8500" s="7">
        <f>VLOOKUP(G8500,[5]Astroflores!$G$2:$H$110,2,FALSE)</f>
        <v>6540</v>
      </c>
      <c r="I8500" s="6">
        <v>3009.6</v>
      </c>
      <c r="J8500" s="5">
        <v>22800</v>
      </c>
      <c r="K8500" s="6">
        <f t="shared" si="347"/>
        <v>2.1730462519936204</v>
      </c>
    </row>
    <row r="8501" spans="1:11" hidden="1">
      <c r="A8501" s="4">
        <v>2026</v>
      </c>
      <c r="B8501">
        <v>27</v>
      </c>
      <c r="C8501" t="s">
        <v>10</v>
      </c>
      <c r="D8501" t="s">
        <v>11</v>
      </c>
      <c r="E8501" t="s">
        <v>27</v>
      </c>
      <c r="F8501" t="s">
        <v>28</v>
      </c>
      <c r="G8501" t="str">
        <f t="shared" si="348"/>
        <v>016GOOD PEACH</v>
      </c>
      <c r="H8501" s="7">
        <f>VLOOKUP(G8501,[5]Astroflores!$G$2:$H$110,2,FALSE)</f>
        <v>4320</v>
      </c>
      <c r="I8501" s="6">
        <v>1386</v>
      </c>
      <c r="J8501" s="5">
        <v>10500</v>
      </c>
      <c r="K8501" s="6">
        <f t="shared" si="347"/>
        <v>3.116883116883117</v>
      </c>
    </row>
    <row r="8502" spans="1:11" hidden="1">
      <c r="A8502" s="4">
        <v>2026</v>
      </c>
      <c r="B8502">
        <v>27</v>
      </c>
      <c r="C8502" t="s">
        <v>10</v>
      </c>
      <c r="D8502" t="s">
        <v>11</v>
      </c>
      <c r="E8502" t="s">
        <v>27</v>
      </c>
      <c r="F8502" t="s">
        <v>29</v>
      </c>
      <c r="G8502" t="str">
        <f t="shared" si="348"/>
        <v>016GOOD YELLOW</v>
      </c>
      <c r="H8502" s="7">
        <f>VLOOKUP(G8502,[5]Astroflores!$G$2:$H$110,2,FALSE)</f>
        <v>4980</v>
      </c>
      <c r="I8502" s="6">
        <v>1386</v>
      </c>
      <c r="J8502" s="5">
        <v>10500</v>
      </c>
      <c r="K8502" s="6">
        <f t="shared" si="347"/>
        <v>3.5930735930735929</v>
      </c>
    </row>
    <row r="8503" spans="1:11" hidden="1">
      <c r="A8503" s="4">
        <v>2026</v>
      </c>
      <c r="B8503">
        <v>27</v>
      </c>
      <c r="C8503" t="s">
        <v>10</v>
      </c>
      <c r="D8503" t="s">
        <v>11</v>
      </c>
      <c r="E8503" t="s">
        <v>30</v>
      </c>
      <c r="F8503" t="s">
        <v>31</v>
      </c>
      <c r="G8503" t="str">
        <f t="shared" si="348"/>
        <v>017ORANGE STAR</v>
      </c>
      <c r="H8503" s="7">
        <f>VLOOKUP(G8503,[5]Astroflores!$G$2:$H$110,2,FALSE)</f>
        <v>2200</v>
      </c>
      <c r="I8503" s="6">
        <v>1029.5999999999999</v>
      </c>
      <c r="J8503" s="5">
        <v>7800</v>
      </c>
      <c r="K8503" s="6">
        <f t="shared" si="347"/>
        <v>2.1367521367521372</v>
      </c>
    </row>
    <row r="8504" spans="1:11" hidden="1">
      <c r="A8504" s="4">
        <v>2026</v>
      </c>
      <c r="B8504">
        <v>27</v>
      </c>
      <c r="C8504" t="s">
        <v>10</v>
      </c>
      <c r="D8504" t="s">
        <v>11</v>
      </c>
      <c r="E8504" t="s">
        <v>32</v>
      </c>
      <c r="F8504" t="s">
        <v>33</v>
      </c>
      <c r="G8504" t="str">
        <f t="shared" si="348"/>
        <v>018COSMO</v>
      </c>
      <c r="H8504" s="7">
        <f>VLOOKUP(G8504,[5]Astroflores!$G$2:$H$110,2,FALSE)</f>
        <v>2875</v>
      </c>
      <c r="I8504" s="6">
        <v>2653.2</v>
      </c>
      <c r="J8504" s="5">
        <v>20100</v>
      </c>
      <c r="K8504" s="6">
        <f t="shared" si="347"/>
        <v>1.083597165686718</v>
      </c>
    </row>
    <row r="8505" spans="1:11" hidden="1">
      <c r="A8505" s="4">
        <v>2026</v>
      </c>
      <c r="B8505">
        <v>27</v>
      </c>
      <c r="C8505" t="s">
        <v>10</v>
      </c>
      <c r="D8505" t="s">
        <v>11</v>
      </c>
      <c r="E8505" t="s">
        <v>32</v>
      </c>
      <c r="F8505" t="s">
        <v>34</v>
      </c>
      <c r="G8505" t="str">
        <f t="shared" si="348"/>
        <v>018RUBICON</v>
      </c>
      <c r="H8505" s="7">
        <f>VLOOKUP(G8505,[5]Astroflores!$G$2:$H$110,2,FALSE)</f>
        <v>5250</v>
      </c>
      <c r="I8505" s="6">
        <v>1768.8</v>
      </c>
      <c r="J8505" s="5">
        <v>13400</v>
      </c>
      <c r="K8505" s="6">
        <f t="shared" si="347"/>
        <v>2.9681139755766623</v>
      </c>
    </row>
    <row r="8506" spans="1:11" hidden="1">
      <c r="A8506" s="4">
        <v>2026</v>
      </c>
      <c r="B8506">
        <v>27</v>
      </c>
      <c r="C8506" t="s">
        <v>10</v>
      </c>
      <c r="D8506" t="s">
        <v>11</v>
      </c>
      <c r="E8506" t="s">
        <v>35</v>
      </c>
      <c r="F8506" t="s">
        <v>15</v>
      </c>
      <c r="G8506" t="str">
        <f t="shared" si="348"/>
        <v>019BELLINA</v>
      </c>
      <c r="H8506" s="7">
        <f>VLOOKUP(G8506,[5]Astroflores!$G$2:$H$110,2,FALSE)</f>
        <v>1590</v>
      </c>
      <c r="I8506" s="6">
        <v>1029.5999999999999</v>
      </c>
      <c r="J8506" s="5">
        <v>7800</v>
      </c>
      <c r="K8506" s="6">
        <f t="shared" si="347"/>
        <v>1.5442890442890445</v>
      </c>
    </row>
    <row r="8507" spans="1:11" hidden="1">
      <c r="A8507" s="4">
        <v>2026</v>
      </c>
      <c r="B8507">
        <v>27</v>
      </c>
      <c r="C8507" t="s">
        <v>10</v>
      </c>
      <c r="D8507" t="s">
        <v>11</v>
      </c>
      <c r="E8507" t="s">
        <v>36</v>
      </c>
      <c r="F8507" t="s">
        <v>37</v>
      </c>
      <c r="G8507" t="str">
        <f t="shared" si="348"/>
        <v>020SUMMER DANCE</v>
      </c>
      <c r="H8507" s="7">
        <f>VLOOKUP(G8507,[5]Astroflores!$G$2:$H$110,2,FALSE)</f>
        <v>3375</v>
      </c>
      <c r="I8507" s="6">
        <v>1346.4</v>
      </c>
      <c r="J8507" s="5">
        <v>10200</v>
      </c>
      <c r="K8507" s="6">
        <f t="shared" si="347"/>
        <v>2.5066844919786093</v>
      </c>
    </row>
    <row r="8508" spans="1:11" hidden="1">
      <c r="A8508" s="4">
        <v>2026</v>
      </c>
      <c r="B8508">
        <v>27</v>
      </c>
      <c r="C8508" t="s">
        <v>10</v>
      </c>
      <c r="D8508" t="s">
        <v>11</v>
      </c>
      <c r="E8508" t="s">
        <v>38</v>
      </c>
      <c r="F8508" t="s">
        <v>39</v>
      </c>
      <c r="G8508" t="str">
        <f t="shared" si="348"/>
        <v>021ELEGANT ROSEVER</v>
      </c>
      <c r="H8508" s="7">
        <f>VLOOKUP(G8508,[5]Astroflores!$G$2:$H$110,2,FALSE)</f>
        <v>840</v>
      </c>
      <c r="I8508" s="6">
        <v>440.18999062500001</v>
      </c>
      <c r="J8508" s="5">
        <v>3200</v>
      </c>
      <c r="K8508" s="6">
        <f t="shared" si="347"/>
        <v>1.9082669253958573</v>
      </c>
    </row>
    <row r="8509" spans="1:11" hidden="1">
      <c r="A8509" s="4">
        <v>2026</v>
      </c>
      <c r="B8509">
        <v>27</v>
      </c>
      <c r="C8509" t="s">
        <v>10</v>
      </c>
      <c r="D8509" t="s">
        <v>11</v>
      </c>
      <c r="E8509" t="s">
        <v>38</v>
      </c>
      <c r="F8509" t="s">
        <v>40</v>
      </c>
      <c r="G8509" t="str">
        <f t="shared" si="348"/>
        <v>021FLAME CLUB</v>
      </c>
      <c r="H8509" s="7">
        <f>VLOOKUP(G8509,[5]Astroflores!$G$2:$H$110,2,FALSE)</f>
        <v>1250</v>
      </c>
      <c r="I8509" s="6">
        <v>880.38</v>
      </c>
      <c r="J8509" s="5">
        <v>6400</v>
      </c>
      <c r="K8509" s="6">
        <f t="shared" si="347"/>
        <v>1.4198414321088622</v>
      </c>
    </row>
    <row r="8510" spans="1:11" hidden="1">
      <c r="A8510" s="4">
        <v>2026</v>
      </c>
      <c r="B8510">
        <v>27</v>
      </c>
      <c r="C8510" t="s">
        <v>10</v>
      </c>
      <c r="D8510" t="s">
        <v>11</v>
      </c>
      <c r="E8510" t="s">
        <v>38</v>
      </c>
      <c r="F8510" t="s">
        <v>41</v>
      </c>
      <c r="G8510" t="str">
        <f t="shared" si="348"/>
        <v>021KELLY</v>
      </c>
      <c r="H8510" s="7">
        <f>VLOOKUP(G8510,[5]Astroflores!$G$2:$H$110,2,FALSE)</f>
        <v>650</v>
      </c>
      <c r="I8510" s="6">
        <v>330.14249999999998</v>
      </c>
      <c r="J8510" s="5">
        <v>2400</v>
      </c>
      <c r="K8510" s="6">
        <f t="shared" si="347"/>
        <v>1.9688467858576222</v>
      </c>
    </row>
    <row r="8511" spans="1:11" hidden="1">
      <c r="A8511" s="4">
        <v>2026</v>
      </c>
      <c r="B8511">
        <v>27</v>
      </c>
      <c r="C8511" t="s">
        <v>10</v>
      </c>
      <c r="D8511" t="s">
        <v>11</v>
      </c>
      <c r="E8511" t="s">
        <v>38</v>
      </c>
      <c r="F8511" t="s">
        <v>42</v>
      </c>
      <c r="G8511" t="str">
        <f t="shared" si="348"/>
        <v>021LEILA</v>
      </c>
      <c r="H8511" s="7">
        <f>VLOOKUP(G8511,[5]Astroflores!$G$2:$H$110,2,FALSE)</f>
        <v>1300</v>
      </c>
      <c r="I8511" s="6">
        <v>1650.7125000000001</v>
      </c>
      <c r="J8511" s="5">
        <v>12000</v>
      </c>
      <c r="K8511" s="6">
        <f t="shared" si="347"/>
        <v>0.78753871434304878</v>
      </c>
    </row>
    <row r="8512" spans="1:11" hidden="1">
      <c r="A8512" s="4">
        <v>2026</v>
      </c>
      <c r="B8512">
        <v>27</v>
      </c>
      <c r="C8512" t="s">
        <v>10</v>
      </c>
      <c r="D8512" t="s">
        <v>11</v>
      </c>
      <c r="E8512" t="s">
        <v>38</v>
      </c>
      <c r="F8512" t="s">
        <v>21</v>
      </c>
      <c r="G8512" t="str">
        <f t="shared" si="348"/>
        <v>021SNOW BUBBLES</v>
      </c>
      <c r="H8512" s="7">
        <f>VLOOKUP(G8512,[5]Astroflores!$G$2:$H$110,2,FALSE)</f>
        <v>1520</v>
      </c>
      <c r="I8512" s="6">
        <v>1287.0000000000018</v>
      </c>
      <c r="J8512" s="5">
        <v>9400</v>
      </c>
      <c r="K8512" s="6">
        <f t="shared" si="347"/>
        <v>1.1810411810411794</v>
      </c>
    </row>
    <row r="8513" spans="1:11" hidden="1">
      <c r="A8513" s="4">
        <v>2026</v>
      </c>
      <c r="B8513">
        <v>27</v>
      </c>
      <c r="C8513" t="s">
        <v>10</v>
      </c>
      <c r="D8513" t="s">
        <v>11</v>
      </c>
      <c r="E8513" t="s">
        <v>43</v>
      </c>
      <c r="F8513" t="s">
        <v>24</v>
      </c>
      <c r="G8513" t="str">
        <f t="shared" si="348"/>
        <v>022FRUITY BUBBLES</v>
      </c>
      <c r="H8513" s="7">
        <f>VLOOKUP(G8513,[5]Astroflores!$G$2:$H$110,2,FALSE)</f>
        <v>6175</v>
      </c>
      <c r="I8513" s="6">
        <v>2641.14</v>
      </c>
      <c r="J8513" s="5">
        <v>19200</v>
      </c>
      <c r="K8513" s="6">
        <f t="shared" si="347"/>
        <v>2.3380055582059263</v>
      </c>
    </row>
    <row r="8514" spans="1:11" hidden="1">
      <c r="A8514" s="4">
        <v>2026</v>
      </c>
      <c r="B8514">
        <v>27</v>
      </c>
      <c r="C8514" t="s">
        <v>10</v>
      </c>
      <c r="D8514" t="s">
        <v>11</v>
      </c>
      <c r="E8514" t="s">
        <v>43</v>
      </c>
      <c r="F8514" t="s">
        <v>28</v>
      </c>
      <c r="G8514" t="str">
        <f t="shared" si="348"/>
        <v>022GOOD PEACH</v>
      </c>
      <c r="H8514" s="7">
        <f>VLOOKUP(G8514,[5]Astroflores!$G$2:$H$110,2,FALSE)</f>
        <v>2460</v>
      </c>
      <c r="I8514" s="6">
        <v>880.38</v>
      </c>
      <c r="J8514" s="5">
        <v>6400</v>
      </c>
      <c r="K8514" s="6">
        <f t="shared" si="347"/>
        <v>2.7942479383902405</v>
      </c>
    </row>
    <row r="8515" spans="1:11" hidden="1">
      <c r="A8515" s="4">
        <v>2026</v>
      </c>
      <c r="B8515">
        <v>27</v>
      </c>
      <c r="C8515" t="s">
        <v>10</v>
      </c>
      <c r="D8515" t="s">
        <v>11</v>
      </c>
      <c r="E8515" t="s">
        <v>43</v>
      </c>
      <c r="F8515" t="s">
        <v>44</v>
      </c>
      <c r="G8515" t="str">
        <f t="shared" si="348"/>
        <v>022MIRABEL</v>
      </c>
      <c r="H8515" s="7">
        <f>VLOOKUP(G8515,[5]Astroflores!$G$2:$H$110,2,FALSE)</f>
        <v>1840</v>
      </c>
      <c r="I8515" s="6">
        <v>880.38</v>
      </c>
      <c r="J8515" s="5">
        <v>6400</v>
      </c>
      <c r="K8515" s="6">
        <f t="shared" si="347"/>
        <v>2.0900065880642451</v>
      </c>
    </row>
    <row r="8516" spans="1:11" hidden="1">
      <c r="A8516" s="4">
        <v>2026</v>
      </c>
      <c r="B8516">
        <v>27</v>
      </c>
      <c r="C8516" t="s">
        <v>10</v>
      </c>
      <c r="D8516" t="s">
        <v>11</v>
      </c>
      <c r="E8516" t="s">
        <v>45</v>
      </c>
      <c r="F8516" t="s">
        <v>46</v>
      </c>
      <c r="G8516" t="str">
        <f t="shared" si="348"/>
        <v>026PURPLE BUBBLY</v>
      </c>
      <c r="H8516" s="7" t="e">
        <f>VLOOKUP(G8516,[5]Astroflores!$G$2:$H$110,2,FALSE)</f>
        <v>#N/A</v>
      </c>
      <c r="I8516" s="6">
        <v>1755.4</v>
      </c>
      <c r="J8516" s="5">
        <v>12800</v>
      </c>
      <c r="K8516" s="6" t="e">
        <f t="shared" si="347"/>
        <v>#N/A</v>
      </c>
    </row>
    <row r="8517" spans="1:11" hidden="1">
      <c r="A8517" s="4">
        <v>2026</v>
      </c>
      <c r="B8517">
        <v>27</v>
      </c>
      <c r="C8517" t="s">
        <v>10</v>
      </c>
      <c r="D8517" t="s">
        <v>11</v>
      </c>
      <c r="E8517" t="s">
        <v>47</v>
      </c>
      <c r="F8517" t="s">
        <v>44</v>
      </c>
      <c r="G8517" t="str">
        <f t="shared" si="348"/>
        <v>030MIRABEL</v>
      </c>
      <c r="H8517" s="7">
        <f>VLOOKUP(G8517,[5]Astroflores!$G$2:$H$110,2,FALSE)</f>
        <v>6820</v>
      </c>
      <c r="I8517" s="6">
        <v>2413.6749943750001</v>
      </c>
      <c r="J8517" s="5">
        <v>17600</v>
      </c>
      <c r="K8517" s="6">
        <f t="shared" si="347"/>
        <v>2.8255668289615681</v>
      </c>
    </row>
    <row r="8518" spans="1:11" hidden="1">
      <c r="A8518" s="4">
        <v>2026</v>
      </c>
      <c r="B8518">
        <v>27</v>
      </c>
      <c r="C8518" t="s">
        <v>10</v>
      </c>
      <c r="D8518" t="s">
        <v>11</v>
      </c>
      <c r="E8518" t="s">
        <v>47</v>
      </c>
      <c r="F8518" t="s">
        <v>13</v>
      </c>
      <c r="G8518" t="str">
        <f t="shared" si="348"/>
        <v>030SOMERSET</v>
      </c>
      <c r="H8518" s="7">
        <f>VLOOKUP(G8518,[5]Astroflores!$G$2:$H$110,2,FALSE)</f>
        <v>3600</v>
      </c>
      <c r="I8518" s="6">
        <v>1645.6875</v>
      </c>
      <c r="J8518" s="5">
        <v>12000</v>
      </c>
      <c r="K8518" s="6">
        <f t="shared" si="347"/>
        <v>2.1875356044206447</v>
      </c>
    </row>
    <row r="8519" spans="1:11" hidden="1">
      <c r="A8519" s="4">
        <v>2026</v>
      </c>
      <c r="B8519">
        <v>27</v>
      </c>
      <c r="C8519" t="s">
        <v>10</v>
      </c>
      <c r="D8519" t="s">
        <v>11</v>
      </c>
      <c r="E8519" t="s">
        <v>48</v>
      </c>
      <c r="F8519" t="s">
        <v>49</v>
      </c>
      <c r="G8519" t="str">
        <f t="shared" si="348"/>
        <v>03182989</v>
      </c>
      <c r="H8519" s="7">
        <f>VLOOKUP(G8519,[5]Astroflores!$G$2:$H$110,2,FALSE)</f>
        <v>2720</v>
      </c>
      <c r="I8519" s="6">
        <v>726.32013058333712</v>
      </c>
      <c r="J8519" s="5">
        <v>5712</v>
      </c>
      <c r="K8519" s="6">
        <f t="shared" si="347"/>
        <v>3.7449051533453406</v>
      </c>
    </row>
    <row r="8520" spans="1:11" hidden="1">
      <c r="A8520" s="4">
        <v>2026</v>
      </c>
      <c r="B8520">
        <v>27</v>
      </c>
      <c r="C8520" t="s">
        <v>10</v>
      </c>
      <c r="D8520" t="s">
        <v>11</v>
      </c>
      <c r="E8520" t="s">
        <v>48</v>
      </c>
      <c r="F8520" t="s">
        <v>34</v>
      </c>
      <c r="G8520" t="str">
        <f t="shared" si="348"/>
        <v>031RUBICON</v>
      </c>
      <c r="H8520" s="7">
        <f>VLOOKUP(G8520,[5]Astroflores!$G$2:$H$110,2,FALSE)</f>
        <v>3930</v>
      </c>
      <c r="I8520" s="6">
        <v>924.39958333667107</v>
      </c>
      <c r="J8520" s="5">
        <v>6720</v>
      </c>
      <c r="K8520" s="6">
        <f t="shared" si="347"/>
        <v>4.251408233887827</v>
      </c>
    </row>
    <row r="8521" spans="1:11" hidden="1">
      <c r="A8521" s="4">
        <v>2026</v>
      </c>
      <c r="B8521">
        <v>27</v>
      </c>
      <c r="C8521" t="s">
        <v>10</v>
      </c>
      <c r="D8521" t="s">
        <v>11</v>
      </c>
      <c r="E8521" t="s">
        <v>48</v>
      </c>
      <c r="F8521" t="s">
        <v>13</v>
      </c>
      <c r="G8521" t="str">
        <f t="shared" si="348"/>
        <v>031SOMERSET</v>
      </c>
      <c r="H8521" s="7">
        <f>VLOOKUP(G8521,[5]Astroflores!$G$2:$H$110,2,FALSE)</f>
        <v>720</v>
      </c>
      <c r="I8521" s="6">
        <v>1122.485208333339</v>
      </c>
      <c r="J8521" s="5">
        <v>8160</v>
      </c>
      <c r="K8521" s="6">
        <f t="shared" si="347"/>
        <v>0.64143384220541555</v>
      </c>
    </row>
    <row r="8522" spans="1:11" hidden="1">
      <c r="A8522" s="4">
        <v>2026</v>
      </c>
      <c r="B8522">
        <v>27</v>
      </c>
      <c r="C8522" t="s">
        <v>10</v>
      </c>
      <c r="D8522" t="s">
        <v>11</v>
      </c>
      <c r="E8522" t="s">
        <v>48</v>
      </c>
      <c r="F8522" t="s">
        <v>50</v>
      </c>
      <c r="G8522" t="str">
        <f t="shared" si="348"/>
        <v>031VELVET BLOSSOMS</v>
      </c>
      <c r="H8522" s="7">
        <f>VLOOKUP(G8522,[5]Astroflores!$G$2:$H$110,2,FALSE)</f>
        <v>800</v>
      </c>
      <c r="I8522" s="6">
        <v>396.17125000000198</v>
      </c>
      <c r="J8522" s="5">
        <v>2880</v>
      </c>
      <c r="K8522" s="6">
        <f t="shared" si="347"/>
        <v>2.0193287624985308</v>
      </c>
    </row>
    <row r="8523" spans="1:11" hidden="1">
      <c r="A8523" s="4">
        <v>2026</v>
      </c>
      <c r="B8523">
        <v>27</v>
      </c>
      <c r="C8523" t="s">
        <v>10</v>
      </c>
      <c r="D8523" t="s">
        <v>11</v>
      </c>
      <c r="E8523" t="s">
        <v>51</v>
      </c>
      <c r="F8523" t="s">
        <v>17</v>
      </c>
      <c r="G8523" t="str">
        <f t="shared" si="348"/>
        <v>032ELBA</v>
      </c>
      <c r="H8523" s="7">
        <f>VLOOKUP(G8523,[5]Astroflores!$G$2:$H$110,2,FALSE)</f>
        <v>4800</v>
      </c>
      <c r="I8523" s="6">
        <v>1535.9749999999999</v>
      </c>
      <c r="J8523" s="5">
        <v>11200</v>
      </c>
      <c r="K8523" s="6">
        <f t="shared" si="347"/>
        <v>3.1250508634580645</v>
      </c>
    </row>
    <row r="8524" spans="1:11" hidden="1">
      <c r="A8524" s="4">
        <v>2026</v>
      </c>
      <c r="B8524">
        <v>27</v>
      </c>
      <c r="C8524" t="s">
        <v>10</v>
      </c>
      <c r="D8524" t="s">
        <v>11</v>
      </c>
      <c r="E8524" t="s">
        <v>51</v>
      </c>
      <c r="F8524" t="s">
        <v>44</v>
      </c>
      <c r="G8524" t="str">
        <f t="shared" si="348"/>
        <v>032MIRABEL</v>
      </c>
      <c r="H8524" s="7">
        <f>VLOOKUP(G8524,[5]Astroflores!$G$2:$H$110,2,FALSE)</f>
        <v>3820</v>
      </c>
      <c r="I8524" s="6">
        <v>1535.9749999999999</v>
      </c>
      <c r="J8524" s="5">
        <v>11200</v>
      </c>
      <c r="K8524" s="6">
        <f t="shared" si="347"/>
        <v>2.487019645502043</v>
      </c>
    </row>
    <row r="8525" spans="1:11" hidden="1">
      <c r="A8525" s="4">
        <v>2026</v>
      </c>
      <c r="B8525">
        <v>27</v>
      </c>
      <c r="C8525" t="s">
        <v>10</v>
      </c>
      <c r="D8525" t="s">
        <v>11</v>
      </c>
      <c r="E8525" t="s">
        <v>52</v>
      </c>
      <c r="F8525" t="s">
        <v>53</v>
      </c>
      <c r="G8525" t="str">
        <f t="shared" si="348"/>
        <v>033CREAMY FOLIES</v>
      </c>
      <c r="H8525" s="7">
        <f>VLOOKUP(G8525,[5]Astroflores!$G$2:$H$110,2,FALSE)</f>
        <v>1410</v>
      </c>
      <c r="I8525" s="6">
        <v>594.25687500000299</v>
      </c>
      <c r="J8525" s="5">
        <v>4320</v>
      </c>
      <c r="K8525" s="6">
        <f t="shared" si="347"/>
        <v>2.3727112959357735</v>
      </c>
    </row>
    <row r="8526" spans="1:11" hidden="1">
      <c r="A8526" s="4">
        <v>2026</v>
      </c>
      <c r="B8526">
        <v>27</v>
      </c>
      <c r="C8526" t="s">
        <v>10</v>
      </c>
      <c r="D8526" t="s">
        <v>11</v>
      </c>
      <c r="E8526" t="s">
        <v>52</v>
      </c>
      <c r="F8526" t="s">
        <v>18</v>
      </c>
      <c r="G8526" t="str">
        <f t="shared" si="348"/>
        <v>033HOT BUBBLES</v>
      </c>
      <c r="H8526" s="7">
        <f>VLOOKUP(G8526,[5]Astroflores!$G$2:$H$110,2,FALSE)</f>
        <v>4240</v>
      </c>
      <c r="I8526" s="6">
        <v>2575.1131250013459</v>
      </c>
      <c r="J8526" s="5">
        <v>18720</v>
      </c>
      <c r="K8526" s="6">
        <f t="shared" si="347"/>
        <v>1.6465296063441035</v>
      </c>
    </row>
    <row r="8527" spans="1:11" hidden="1">
      <c r="A8527" s="4">
        <v>2026</v>
      </c>
      <c r="B8527">
        <v>27</v>
      </c>
      <c r="C8527" t="s">
        <v>54</v>
      </c>
      <c r="D8527" t="s">
        <v>11</v>
      </c>
      <c r="E8527" t="s">
        <v>55</v>
      </c>
      <c r="F8527" t="s">
        <v>56</v>
      </c>
      <c r="G8527" t="str">
        <f t="shared" si="348"/>
        <v>001BELIEVE IN PINK</v>
      </c>
      <c r="H8527" s="7">
        <f>VLOOKUP(G8527,[5]Astroflores!$G$2:$H$110,2,FALSE)</f>
        <v>1260</v>
      </c>
      <c r="I8527" s="6">
        <v>528.37931032368999</v>
      </c>
      <c r="J8527" s="5">
        <v>4000</v>
      </c>
      <c r="K8527" s="6">
        <f t="shared" ref="K8527:K8532" si="349">IFERROR(H8527/I8527,"")</f>
        <v>2.3846505254494397</v>
      </c>
    </row>
    <row r="8528" spans="1:11" hidden="1">
      <c r="A8528" s="4">
        <v>2026</v>
      </c>
      <c r="B8528">
        <v>27</v>
      </c>
      <c r="C8528" t="s">
        <v>54</v>
      </c>
      <c r="D8528" t="s">
        <v>11</v>
      </c>
      <c r="E8528" t="s">
        <v>55</v>
      </c>
      <c r="F8528" t="s">
        <v>57</v>
      </c>
      <c r="G8528" t="str">
        <f t="shared" si="348"/>
        <v>001EXPLORER</v>
      </c>
      <c r="H8528" s="7">
        <f>VLOOKUP(G8528,[5]Astroflores!$G$2:$H$110,2,FALSE)</f>
        <v>5700</v>
      </c>
      <c r="I8528" s="6">
        <v>2272.0310343918732</v>
      </c>
      <c r="J8528" s="5">
        <v>17200</v>
      </c>
      <c r="K8528" s="6">
        <f t="shared" si="349"/>
        <v>2.5087685483687285</v>
      </c>
    </row>
    <row r="8529" spans="1:11" hidden="1">
      <c r="A8529" s="4">
        <v>2026</v>
      </c>
      <c r="B8529">
        <v>27</v>
      </c>
      <c r="C8529" t="s">
        <v>54</v>
      </c>
      <c r="D8529" t="s">
        <v>11</v>
      </c>
      <c r="E8529" t="s">
        <v>55</v>
      </c>
      <c r="F8529" t="s">
        <v>58</v>
      </c>
      <c r="G8529" t="str">
        <f t="shared" si="348"/>
        <v>001GRACE KELLY</v>
      </c>
      <c r="H8529" s="7">
        <f>VLOOKUP(G8529,[5]Astroflores!$G$2:$H$110,2,FALSE)</f>
        <v>1950</v>
      </c>
      <c r="I8529" s="6">
        <v>1162.4344827121224</v>
      </c>
      <c r="J8529" s="5">
        <v>8800</v>
      </c>
      <c r="K8529" s="6">
        <f t="shared" si="349"/>
        <v>1.6775138977728681</v>
      </c>
    </row>
    <row r="8530" spans="1:11" hidden="1">
      <c r="A8530" s="4">
        <v>2026</v>
      </c>
      <c r="B8530">
        <v>27</v>
      </c>
      <c r="C8530" t="s">
        <v>54</v>
      </c>
      <c r="D8530" t="s">
        <v>11</v>
      </c>
      <c r="E8530" t="s">
        <v>55</v>
      </c>
      <c r="F8530" t="s">
        <v>60</v>
      </c>
      <c r="G8530" t="str">
        <f t="shared" si="348"/>
        <v>001LIGHT HOUSE</v>
      </c>
      <c r="H8530" s="7">
        <f>VLOOKUP(G8530,[5]Astroflores!$G$2:$H$110,2,FALSE)</f>
        <v>2760</v>
      </c>
      <c r="I8530" s="6">
        <v>1056.7586206473827</v>
      </c>
      <c r="J8530" s="5">
        <v>8000</v>
      </c>
      <c r="K8530" s="6">
        <f t="shared" si="349"/>
        <v>2.6117600993017609</v>
      </c>
    </row>
    <row r="8531" spans="1:11" hidden="1">
      <c r="A8531" s="4">
        <v>2026</v>
      </c>
      <c r="B8531">
        <v>27</v>
      </c>
      <c r="C8531" t="s">
        <v>54</v>
      </c>
      <c r="D8531" t="s">
        <v>11</v>
      </c>
      <c r="E8531" t="s">
        <v>55</v>
      </c>
      <c r="F8531" t="s">
        <v>61</v>
      </c>
      <c r="G8531" t="str">
        <f t="shared" si="348"/>
        <v>001LUMIA</v>
      </c>
      <c r="H8531" s="7">
        <f>VLOOKUP(G8531,[5]Astroflores!$G$2:$H$110,2,FALSE)</f>
        <v>2040</v>
      </c>
      <c r="I8531" s="6">
        <v>1109.596551679753</v>
      </c>
      <c r="J8531" s="5">
        <v>8400</v>
      </c>
      <c r="K8531" s="6">
        <f t="shared" si="349"/>
        <v>1.8385060740426453</v>
      </c>
    </row>
    <row r="8532" spans="1:11" hidden="1">
      <c r="A8532" s="4">
        <v>2026</v>
      </c>
      <c r="B8532">
        <v>27</v>
      </c>
      <c r="C8532" t="s">
        <v>54</v>
      </c>
      <c r="D8532" t="s">
        <v>11</v>
      </c>
      <c r="E8532" t="s">
        <v>55</v>
      </c>
      <c r="F8532" t="s">
        <v>62</v>
      </c>
      <c r="G8532" t="str">
        <f t="shared" si="348"/>
        <v>001MOMENTUM</v>
      </c>
      <c r="H8532" s="7">
        <f>VLOOKUP(G8532,[5]Astroflores!$G$2:$H$110,2,FALSE)</f>
        <v>4275</v>
      </c>
      <c r="I8532" s="6">
        <v>1902.1655171652881</v>
      </c>
      <c r="J8532" s="5">
        <v>14400</v>
      </c>
      <c r="K8532" s="6">
        <f t="shared" si="349"/>
        <v>2.2474384912469869</v>
      </c>
    </row>
    <row r="8533" spans="1:11" hidden="1">
      <c r="A8533" s="4">
        <v>2026</v>
      </c>
      <c r="B8533">
        <v>27</v>
      </c>
      <c r="C8533" t="s">
        <v>54</v>
      </c>
      <c r="D8533" t="s">
        <v>11</v>
      </c>
      <c r="E8533" t="s">
        <v>12</v>
      </c>
      <c r="F8533" t="s">
        <v>63</v>
      </c>
      <c r="G8533" t="str">
        <f t="shared" si="348"/>
        <v>002SUMMER ROMANCE</v>
      </c>
      <c r="H8533" s="7">
        <f>VLOOKUP(G8533,[5]Astroflores!$G$2:$H$110,2,FALSE)</f>
        <v>1200</v>
      </c>
      <c r="I8533" s="6">
        <v>951.10714281909407</v>
      </c>
      <c r="J8533" s="5">
        <v>7200</v>
      </c>
      <c r="K8533" s="6">
        <f t="shared" ref="K8533:K8592" si="350">+H8533/I8533</f>
        <v>1.2616875070911404</v>
      </c>
    </row>
    <row r="8534" spans="1:11" hidden="1">
      <c r="A8534" s="4">
        <v>2026</v>
      </c>
      <c r="B8534">
        <v>27</v>
      </c>
      <c r="C8534" t="s">
        <v>54</v>
      </c>
      <c r="D8534" t="s">
        <v>11</v>
      </c>
      <c r="E8534" t="s">
        <v>12</v>
      </c>
      <c r="F8534" t="s">
        <v>64</v>
      </c>
      <c r="G8534" t="str">
        <f t="shared" si="348"/>
        <v>002SWEETNESS</v>
      </c>
      <c r="H8534" s="7">
        <f>VLOOKUP(G8534,[5]Astroflores!$G$2:$H$110,2,FALSE)</f>
        <v>5790</v>
      </c>
      <c r="I8534" s="6">
        <v>3804.4285712763772</v>
      </c>
      <c r="J8534" s="5">
        <v>28800</v>
      </c>
      <c r="K8534" s="6">
        <f t="shared" si="350"/>
        <v>1.5219105554286878</v>
      </c>
    </row>
    <row r="8535" spans="1:11" hidden="1">
      <c r="A8535" s="4">
        <v>2026</v>
      </c>
      <c r="B8535">
        <v>27</v>
      </c>
      <c r="C8535" t="s">
        <v>54</v>
      </c>
      <c r="D8535" t="s">
        <v>11</v>
      </c>
      <c r="E8535" t="s">
        <v>65</v>
      </c>
      <c r="F8535" t="s">
        <v>66</v>
      </c>
      <c r="G8535" t="str">
        <f t="shared" si="348"/>
        <v>003CABARET</v>
      </c>
      <c r="H8535" s="7">
        <f>VLOOKUP(G8535,[5]Astroflores!$G$2:$H$110,2,FALSE)</f>
        <v>8850</v>
      </c>
      <c r="I8535" s="6">
        <v>2641.8965516184649</v>
      </c>
      <c r="J8535" s="5">
        <v>20000</v>
      </c>
      <c r="K8535" s="6">
        <f t="shared" si="350"/>
        <v>3.3498662143218132</v>
      </c>
    </row>
    <row r="8536" spans="1:11" hidden="1">
      <c r="A8536" s="4">
        <v>2026</v>
      </c>
      <c r="B8536">
        <v>27</v>
      </c>
      <c r="C8536" t="s">
        <v>54</v>
      </c>
      <c r="D8536" t="s">
        <v>11</v>
      </c>
      <c r="E8536" t="s">
        <v>65</v>
      </c>
      <c r="F8536" t="s">
        <v>67</v>
      </c>
      <c r="G8536" t="str">
        <f t="shared" si="348"/>
        <v>003DEEP PURPLE</v>
      </c>
      <c r="H8536" s="7">
        <f>VLOOKUP(G8536,[5]Astroflores!$G$2:$H$110,2,FALSE)</f>
        <v>14310</v>
      </c>
      <c r="I8536" s="6">
        <v>3592.9793102010913</v>
      </c>
      <c r="J8536" s="5">
        <v>26044</v>
      </c>
      <c r="K8536" s="6">
        <f t="shared" si="350"/>
        <v>3.9827671591014813</v>
      </c>
    </row>
    <row r="8537" spans="1:11" hidden="1">
      <c r="A8537" s="4">
        <v>2026</v>
      </c>
      <c r="B8537">
        <v>27</v>
      </c>
      <c r="C8537" t="s">
        <v>54</v>
      </c>
      <c r="D8537" t="s">
        <v>11</v>
      </c>
      <c r="E8537" t="s">
        <v>65</v>
      </c>
      <c r="F8537" t="s">
        <v>57</v>
      </c>
      <c r="G8537" t="str">
        <f t="shared" si="348"/>
        <v>003EXPLORER</v>
      </c>
      <c r="H8537" s="7">
        <f>VLOOKUP(G8537,[5]Astroflores!$G$2:$H$110,2,FALSE)</f>
        <v>3075</v>
      </c>
      <c r="I8537" s="6">
        <v>1268.1103447768633</v>
      </c>
      <c r="J8537" s="5">
        <v>9600</v>
      </c>
      <c r="K8537" s="6">
        <f t="shared" si="350"/>
        <v>2.4248678458191089</v>
      </c>
    </row>
    <row r="8538" spans="1:11" hidden="1">
      <c r="A8538" s="4">
        <v>2026</v>
      </c>
      <c r="B8538">
        <v>27</v>
      </c>
      <c r="C8538" t="s">
        <v>54</v>
      </c>
      <c r="D8538" t="s">
        <v>11</v>
      </c>
      <c r="E8538" t="s">
        <v>65</v>
      </c>
      <c r="F8538" t="s">
        <v>68</v>
      </c>
      <c r="G8538" t="str">
        <f t="shared" si="348"/>
        <v>003JOCKER</v>
      </c>
      <c r="H8538" s="7">
        <f>VLOOKUP(G8538,[5]Astroflores!$G$2:$H$110,2,FALSE)</f>
        <v>1300</v>
      </c>
      <c r="I8538" s="6">
        <v>528.37931032368999</v>
      </c>
      <c r="J8538" s="5">
        <v>4000</v>
      </c>
      <c r="K8538" s="6">
        <f t="shared" si="350"/>
        <v>2.460353716733549</v>
      </c>
    </row>
    <row r="8539" spans="1:11" hidden="1">
      <c r="A8539" s="4">
        <v>2026</v>
      </c>
      <c r="B8539">
        <v>27</v>
      </c>
      <c r="C8539" t="s">
        <v>54</v>
      </c>
      <c r="D8539" t="s">
        <v>11</v>
      </c>
      <c r="E8539" t="s">
        <v>65</v>
      </c>
      <c r="F8539" t="s">
        <v>69</v>
      </c>
      <c r="G8539" t="str">
        <f t="shared" si="348"/>
        <v>003QUICKSAND</v>
      </c>
      <c r="H8539" s="7">
        <f>VLOOKUP(G8539,[5]Astroflores!$G$2:$H$110,2,FALSE)</f>
        <v>2040</v>
      </c>
      <c r="I8539" s="6">
        <v>1162.4344827121247</v>
      </c>
      <c r="J8539" s="5">
        <v>8800</v>
      </c>
      <c r="K8539" s="6">
        <f t="shared" si="350"/>
        <v>1.7549376161316124</v>
      </c>
    </row>
    <row r="8540" spans="1:11" hidden="1">
      <c r="A8540" s="4">
        <v>2026</v>
      </c>
      <c r="B8540">
        <v>27</v>
      </c>
      <c r="C8540" t="s">
        <v>54</v>
      </c>
      <c r="D8540" t="s">
        <v>11</v>
      </c>
      <c r="E8540" t="s">
        <v>14</v>
      </c>
      <c r="F8540" t="s">
        <v>70</v>
      </c>
      <c r="G8540" t="str">
        <f t="shared" si="348"/>
        <v>004COTOPAXI</v>
      </c>
      <c r="H8540" s="7">
        <f>VLOOKUP(G8540,[5]Astroflores!$G$2:$H$110,2,FALSE)</f>
        <v>2010</v>
      </c>
      <c r="I8540" s="6">
        <v>528.3915024419166</v>
      </c>
      <c r="J8540" s="5">
        <v>4000</v>
      </c>
      <c r="K8540" s="6">
        <f t="shared" si="350"/>
        <v>3.8039975864694173</v>
      </c>
    </row>
    <row r="8541" spans="1:11" hidden="1">
      <c r="A8541" s="4">
        <v>2026</v>
      </c>
      <c r="B8541">
        <v>27</v>
      </c>
      <c r="C8541" t="s">
        <v>54</v>
      </c>
      <c r="D8541" t="s">
        <v>11</v>
      </c>
      <c r="E8541" t="s">
        <v>14</v>
      </c>
      <c r="F8541" t="s">
        <v>67</v>
      </c>
      <c r="G8541" t="str">
        <f t="shared" si="348"/>
        <v>004DEEP PURPLE</v>
      </c>
      <c r="H8541" s="7">
        <f>VLOOKUP(G8541,[5]Astroflores!$G$2:$H$110,2,FALSE)</f>
        <v>21360</v>
      </c>
      <c r="I8541" s="6">
        <v>3910.1071427007282</v>
      </c>
      <c r="J8541" s="5">
        <v>29260</v>
      </c>
      <c r="K8541" s="6">
        <f t="shared" si="350"/>
        <v>5.4627659090810878</v>
      </c>
    </row>
    <row r="8542" spans="1:11" hidden="1">
      <c r="A8542" s="4">
        <v>2026</v>
      </c>
      <c r="B8542">
        <v>27</v>
      </c>
      <c r="C8542" t="s">
        <v>54</v>
      </c>
      <c r="D8542" t="s">
        <v>11</v>
      </c>
      <c r="E8542" t="s">
        <v>14</v>
      </c>
      <c r="F8542" t="s">
        <v>71</v>
      </c>
      <c r="G8542" t="str">
        <f t="shared" si="348"/>
        <v>004HOT EXPLORER</v>
      </c>
      <c r="H8542" s="7">
        <f>VLOOKUP(G8542,[5]Astroflores!$G$2:$H$110,2,FALSE)</f>
        <v>3900</v>
      </c>
      <c r="I8542" s="6">
        <v>1902.2142856381945</v>
      </c>
      <c r="J8542" s="5">
        <v>14400</v>
      </c>
      <c r="K8542" s="6">
        <f t="shared" si="350"/>
        <v>2.0502421990230961</v>
      </c>
    </row>
    <row r="8543" spans="1:11" hidden="1">
      <c r="A8543" s="4">
        <v>2026</v>
      </c>
      <c r="B8543">
        <v>27</v>
      </c>
      <c r="C8543" t="s">
        <v>54</v>
      </c>
      <c r="D8543" t="s">
        <v>11</v>
      </c>
      <c r="E8543" t="s">
        <v>14</v>
      </c>
      <c r="F8543" t="s">
        <v>72</v>
      </c>
      <c r="G8543" t="str">
        <f t="shared" si="348"/>
        <v>004HOT MERENGUE</v>
      </c>
      <c r="H8543" s="7">
        <f>VLOOKUP(G8543,[5]Astroflores!$G$2:$H$110,2,FALSE)</f>
        <v>3210</v>
      </c>
      <c r="I8543" s="6">
        <v>1162.4642856677858</v>
      </c>
      <c r="J8543" s="5">
        <v>8800</v>
      </c>
      <c r="K8543" s="6">
        <f t="shared" si="350"/>
        <v>2.7613751575653724</v>
      </c>
    </row>
    <row r="8544" spans="1:11" hidden="1">
      <c r="A8544" s="4">
        <v>2026</v>
      </c>
      <c r="B8544">
        <v>27</v>
      </c>
      <c r="C8544" t="s">
        <v>54</v>
      </c>
      <c r="D8544" t="s">
        <v>11</v>
      </c>
      <c r="E8544" t="s">
        <v>14</v>
      </c>
      <c r="F8544" t="s">
        <v>64</v>
      </c>
      <c r="G8544" t="str">
        <f t="shared" si="348"/>
        <v>004SWEETNESS</v>
      </c>
      <c r="H8544" s="7">
        <f>VLOOKUP(G8544,[5]Astroflores!$G$2:$H$110,2,FALSE)</f>
        <v>510</v>
      </c>
      <c r="I8544" s="6">
        <v>317.03571427303262</v>
      </c>
      <c r="J8544" s="5">
        <v>2400</v>
      </c>
      <c r="K8544" s="6">
        <f t="shared" si="350"/>
        <v>1.6086515715411975</v>
      </c>
    </row>
    <row r="8545" spans="1:11" hidden="1">
      <c r="A8545" s="4">
        <v>2026</v>
      </c>
      <c r="B8545">
        <v>27</v>
      </c>
      <c r="C8545" t="s">
        <v>54</v>
      </c>
      <c r="D8545" t="s">
        <v>11</v>
      </c>
      <c r="E8545" t="s">
        <v>16</v>
      </c>
      <c r="F8545" t="s">
        <v>57</v>
      </c>
      <c r="G8545" t="str">
        <f t="shared" si="348"/>
        <v>005EXPLORER</v>
      </c>
      <c r="H8545" s="7">
        <f>VLOOKUP(G8545,[5]Astroflores!$G$2:$H$110,2,FALSE)</f>
        <v>1925</v>
      </c>
      <c r="I8545" s="6">
        <v>951.10714281875391</v>
      </c>
      <c r="J8545" s="5">
        <v>7200</v>
      </c>
      <c r="K8545" s="6">
        <f t="shared" si="350"/>
        <v>2.0239570426260949</v>
      </c>
    </row>
    <row r="8546" spans="1:11" hidden="1">
      <c r="A8546" s="4">
        <v>2026</v>
      </c>
      <c r="B8546">
        <v>27</v>
      </c>
      <c r="C8546" t="s">
        <v>54</v>
      </c>
      <c r="D8546" t="s">
        <v>11</v>
      </c>
      <c r="E8546" t="s">
        <v>16</v>
      </c>
      <c r="F8546" t="s">
        <v>73</v>
      </c>
      <c r="G8546" t="str">
        <f t="shared" si="348"/>
        <v>005GOLDFINCH</v>
      </c>
      <c r="H8546" s="7">
        <f>VLOOKUP(G8546,[5]Astroflores!$G$2:$H$110,2,FALSE)</f>
        <v>1175</v>
      </c>
      <c r="I8546" s="6">
        <v>898.26785710660101</v>
      </c>
      <c r="J8546" s="5">
        <v>6800</v>
      </c>
      <c r="K8546" s="6">
        <f t="shared" si="350"/>
        <v>1.3080730772052529</v>
      </c>
    </row>
    <row r="8547" spans="1:11" hidden="1">
      <c r="A8547" s="4">
        <v>2026</v>
      </c>
      <c r="B8547">
        <v>27</v>
      </c>
      <c r="C8547" t="s">
        <v>54</v>
      </c>
      <c r="D8547" t="s">
        <v>11</v>
      </c>
      <c r="E8547" t="s">
        <v>16</v>
      </c>
      <c r="F8547" t="s">
        <v>68</v>
      </c>
      <c r="G8547" t="str">
        <f t="shared" si="348"/>
        <v>005JOCKER</v>
      </c>
      <c r="H8547" s="7">
        <f>VLOOKUP(G8547,[5]Astroflores!$G$2:$H$110,2,FALSE)</f>
        <v>2350</v>
      </c>
      <c r="I8547" s="6">
        <v>1162.4642856673661</v>
      </c>
      <c r="J8547" s="5">
        <v>8800</v>
      </c>
      <c r="K8547" s="6">
        <f t="shared" si="350"/>
        <v>2.0215674829535724</v>
      </c>
    </row>
    <row r="8548" spans="1:11" hidden="1">
      <c r="A8548" s="4">
        <v>2026</v>
      </c>
      <c r="B8548">
        <v>27</v>
      </c>
      <c r="C8548" t="s">
        <v>54</v>
      </c>
      <c r="D8548" t="s">
        <v>11</v>
      </c>
      <c r="E8548" t="s">
        <v>16</v>
      </c>
      <c r="F8548" t="s">
        <v>74</v>
      </c>
      <c r="G8548" t="str">
        <f t="shared" si="348"/>
        <v>005VENDELA</v>
      </c>
      <c r="H8548" s="7">
        <f>VLOOKUP(G8548,[5]Astroflores!$G$2:$H$110,2,FALSE)</f>
        <v>1680</v>
      </c>
      <c r="I8548" s="6">
        <v>686.91071425798896</v>
      </c>
      <c r="J8548" s="5">
        <v>5200</v>
      </c>
      <c r="K8548" s="6">
        <f t="shared" si="350"/>
        <v>2.4457327060544696</v>
      </c>
    </row>
    <row r="8549" spans="1:11" hidden="1">
      <c r="A8549" s="4">
        <v>2026</v>
      </c>
      <c r="B8549">
        <v>27</v>
      </c>
      <c r="C8549" t="s">
        <v>54</v>
      </c>
      <c r="D8549" t="s">
        <v>11</v>
      </c>
      <c r="E8549" t="s">
        <v>75</v>
      </c>
      <c r="F8549" t="s">
        <v>76</v>
      </c>
      <c r="G8549" t="str">
        <f t="shared" si="348"/>
        <v>006ATOMIC</v>
      </c>
      <c r="H8549" s="7">
        <f>VLOOKUP(G8549,[5]Astroflores!$G$2:$H$110,2,FALSE)</f>
        <v>1275</v>
      </c>
      <c r="I8549" s="6">
        <v>845.428571394752</v>
      </c>
      <c r="J8549" s="5">
        <v>6400</v>
      </c>
      <c r="K8549" s="6">
        <f t="shared" si="350"/>
        <v>1.5081108483198757</v>
      </c>
    </row>
    <row r="8550" spans="1:11" hidden="1">
      <c r="A8550" s="4">
        <v>2026</v>
      </c>
      <c r="B8550">
        <v>27</v>
      </c>
      <c r="C8550" t="s">
        <v>54</v>
      </c>
      <c r="D8550" t="s">
        <v>11</v>
      </c>
      <c r="E8550" t="s">
        <v>75</v>
      </c>
      <c r="F8550" t="s">
        <v>57</v>
      </c>
      <c r="G8550" t="str">
        <f t="shared" si="348"/>
        <v>006EXPLORER</v>
      </c>
      <c r="H8550" s="7">
        <f>VLOOKUP(G8550,[5]Astroflores!$G$2:$H$110,2,FALSE)</f>
        <v>8050</v>
      </c>
      <c r="I8550" s="6">
        <v>3910.1071427007355</v>
      </c>
      <c r="J8550" s="5">
        <v>29600</v>
      </c>
      <c r="K8550" s="6">
        <f t="shared" si="350"/>
        <v>2.0587671146115487</v>
      </c>
    </row>
    <row r="8551" spans="1:11" hidden="1">
      <c r="A8551" s="4">
        <v>2026</v>
      </c>
      <c r="B8551">
        <v>27</v>
      </c>
      <c r="C8551" t="s">
        <v>54</v>
      </c>
      <c r="D8551" t="s">
        <v>11</v>
      </c>
      <c r="E8551" t="s">
        <v>75</v>
      </c>
      <c r="F8551" t="s">
        <v>77</v>
      </c>
      <c r="G8551" t="str">
        <f t="shared" si="348"/>
        <v>006MONDIAL</v>
      </c>
      <c r="H8551" s="7">
        <f>VLOOKUP(G8551,[5]Astroflores!$G$2:$H$110,2,FALSE)</f>
        <v>6625</v>
      </c>
      <c r="I8551" s="6">
        <v>4015.7857141250793</v>
      </c>
      <c r="J8551" s="5">
        <v>30400</v>
      </c>
      <c r="K8551" s="6">
        <f t="shared" si="350"/>
        <v>1.6497394212787051</v>
      </c>
    </row>
    <row r="8552" spans="1:11" hidden="1">
      <c r="A8552" s="4">
        <v>2026</v>
      </c>
      <c r="B8552">
        <v>27</v>
      </c>
      <c r="C8552" t="s">
        <v>54</v>
      </c>
      <c r="D8552" t="s">
        <v>11</v>
      </c>
      <c r="E8552" t="s">
        <v>20</v>
      </c>
      <c r="F8552" t="s">
        <v>70</v>
      </c>
      <c r="G8552" t="str">
        <f t="shared" si="348"/>
        <v>007COTOPAXI</v>
      </c>
      <c r="H8552" s="7">
        <f>VLOOKUP(G8552,[5]Astroflores!$G$2:$H$110,2,FALSE)</f>
        <v>8100</v>
      </c>
      <c r="I8552" s="6">
        <v>2747.5751230427709</v>
      </c>
      <c r="J8552" s="5">
        <v>20800</v>
      </c>
      <c r="K8552" s="6">
        <f t="shared" si="350"/>
        <v>2.9480540612224453</v>
      </c>
    </row>
    <row r="8553" spans="1:11" hidden="1">
      <c r="A8553" s="4">
        <v>2026</v>
      </c>
      <c r="B8553">
        <v>27</v>
      </c>
      <c r="C8553" t="s">
        <v>54</v>
      </c>
      <c r="D8553" t="s">
        <v>11</v>
      </c>
      <c r="E8553" t="s">
        <v>20</v>
      </c>
      <c r="F8553" t="s">
        <v>78</v>
      </c>
      <c r="G8553" t="str">
        <f t="shared" si="348"/>
        <v>007REDIANT</v>
      </c>
      <c r="H8553" s="7">
        <f>VLOOKUP(G8553,[5]Astroflores!$G$2:$H$110,2,FALSE)</f>
        <v>1920</v>
      </c>
      <c r="I8553" s="6">
        <v>1056.75862064738</v>
      </c>
      <c r="J8553" s="5">
        <v>9600</v>
      </c>
      <c r="K8553" s="6">
        <f t="shared" si="350"/>
        <v>1.8168765908186209</v>
      </c>
    </row>
    <row r="8554" spans="1:11" hidden="1">
      <c r="A8554" s="4">
        <v>2026</v>
      </c>
      <c r="B8554">
        <v>27</v>
      </c>
      <c r="C8554" t="s">
        <v>54</v>
      </c>
      <c r="D8554" t="s">
        <v>11</v>
      </c>
      <c r="E8554" t="s">
        <v>20</v>
      </c>
      <c r="F8554" t="s">
        <v>74</v>
      </c>
      <c r="G8554" t="str">
        <f t="shared" si="348"/>
        <v>007VENDELA</v>
      </c>
      <c r="H8554" s="7">
        <f>VLOOKUP(G8554,[5]Astroflores!$G$2:$H$110,2,FALSE)</f>
        <v>9210</v>
      </c>
      <c r="I8554" s="6">
        <v>3592.9793102011122</v>
      </c>
      <c r="J8554" s="5">
        <v>27820</v>
      </c>
      <c r="K8554" s="6">
        <f t="shared" si="350"/>
        <v>2.5633323225244187</v>
      </c>
    </row>
    <row r="8555" spans="1:11" hidden="1">
      <c r="A8555" s="4">
        <v>2026</v>
      </c>
      <c r="B8555">
        <v>27</v>
      </c>
      <c r="C8555" t="s">
        <v>54</v>
      </c>
      <c r="D8555" t="s">
        <v>11</v>
      </c>
      <c r="E8555" t="s">
        <v>79</v>
      </c>
      <c r="F8555" t="s">
        <v>67</v>
      </c>
      <c r="G8555" t="str">
        <f t="shared" si="348"/>
        <v>008DEEP PURPLE</v>
      </c>
      <c r="H8555" s="7">
        <f>VLOOKUP(G8555,[5]Astroflores!$G$2:$H$110,2,FALSE)</f>
        <v>8190</v>
      </c>
      <c r="I8555" s="6">
        <v>1585.2222221588099</v>
      </c>
      <c r="J8555" s="5">
        <v>11490</v>
      </c>
      <c r="K8555" s="6">
        <f t="shared" si="350"/>
        <v>5.1664680733825303</v>
      </c>
    </row>
    <row r="8556" spans="1:11" hidden="1">
      <c r="A8556" s="4">
        <v>2026</v>
      </c>
      <c r="B8556">
        <v>27</v>
      </c>
      <c r="C8556" t="s">
        <v>54</v>
      </c>
      <c r="D8556" t="s">
        <v>11</v>
      </c>
      <c r="E8556" t="s">
        <v>79</v>
      </c>
      <c r="F8556" t="s">
        <v>81</v>
      </c>
      <c r="G8556" t="str">
        <f t="shared" si="348"/>
        <v>008FREEDOM</v>
      </c>
      <c r="H8556" s="7">
        <f>VLOOKUP(G8556,[5]Astroflores!$G$2:$H$110,2,FALSE)</f>
        <v>4380</v>
      </c>
      <c r="I8556" s="6">
        <v>2219.311111022334</v>
      </c>
      <c r="J8556" s="5">
        <v>16800</v>
      </c>
      <c r="K8556" s="6">
        <f t="shared" si="350"/>
        <v>1.973585396948847</v>
      </c>
    </row>
    <row r="8557" spans="1:11" hidden="1">
      <c r="A8557" s="4">
        <v>2026</v>
      </c>
      <c r="B8557">
        <v>27</v>
      </c>
      <c r="C8557" t="s">
        <v>54</v>
      </c>
      <c r="D8557" t="s">
        <v>11</v>
      </c>
      <c r="E8557" t="s">
        <v>79</v>
      </c>
      <c r="F8557" t="s">
        <v>68</v>
      </c>
      <c r="G8557" t="str">
        <f t="shared" si="348"/>
        <v>008JOCKER</v>
      </c>
      <c r="H8557" s="7">
        <f>VLOOKUP(G8557,[5]Astroflores!$G$2:$H$110,2,FALSE)</f>
        <v>5500</v>
      </c>
      <c r="I8557" s="6">
        <v>2959.0814813631118</v>
      </c>
      <c r="J8557" s="5">
        <v>22400</v>
      </c>
      <c r="K8557" s="6">
        <f t="shared" si="350"/>
        <v>1.8586848772634692</v>
      </c>
    </row>
    <row r="8558" spans="1:11" hidden="1">
      <c r="A8558" s="4">
        <v>2026</v>
      </c>
      <c r="B8558">
        <v>27</v>
      </c>
      <c r="C8558" t="s">
        <v>54</v>
      </c>
      <c r="D8558" t="s">
        <v>11</v>
      </c>
      <c r="E8558" t="s">
        <v>82</v>
      </c>
      <c r="F8558" t="s">
        <v>83</v>
      </c>
      <c r="G8558" t="str">
        <f t="shared" ref="G8558:G8620" si="351">+E8558&amp;F8558</f>
        <v>010COOLDOWN</v>
      </c>
      <c r="H8558" s="7">
        <f>VLOOKUP(G8558,[5]Astroflores!$G$2:$H$110,2,FALSE)</f>
        <v>3520</v>
      </c>
      <c r="I8558" s="6">
        <v>1912.3542857142861</v>
      </c>
      <c r="J8558" s="5">
        <v>16320</v>
      </c>
      <c r="K8558" s="6">
        <f t="shared" si="350"/>
        <v>1.8406631168163696</v>
      </c>
    </row>
    <row r="8559" spans="1:11" hidden="1">
      <c r="A8559" s="4">
        <v>2026</v>
      </c>
      <c r="B8559">
        <v>27</v>
      </c>
      <c r="C8559" t="s">
        <v>54</v>
      </c>
      <c r="D8559" t="s">
        <v>11</v>
      </c>
      <c r="E8559" t="s">
        <v>82</v>
      </c>
      <c r="F8559" t="s">
        <v>84</v>
      </c>
      <c r="G8559" t="str">
        <f t="shared" si="351"/>
        <v>010VIOLET HILL</v>
      </c>
      <c r="H8559" s="7">
        <f>VLOOKUP(G8559,[5]Astroflores!$G$2:$H$110,2,FALSE)</f>
        <v>6180</v>
      </c>
      <c r="I8559" s="6">
        <v>2812.2857142428579</v>
      </c>
      <c r="J8559" s="5">
        <v>20000</v>
      </c>
      <c r="K8559" s="6">
        <f t="shared" si="350"/>
        <v>2.1975007619963041</v>
      </c>
    </row>
    <row r="8560" spans="1:11" hidden="1">
      <c r="A8560" s="4">
        <v>2026</v>
      </c>
      <c r="B8560">
        <v>27</v>
      </c>
      <c r="C8560" t="s">
        <v>54</v>
      </c>
      <c r="D8560" t="s">
        <v>11</v>
      </c>
      <c r="E8560" t="s">
        <v>85</v>
      </c>
      <c r="F8560" t="s">
        <v>86</v>
      </c>
      <c r="G8560" t="str">
        <f t="shared" si="351"/>
        <v>011BRIGHTON</v>
      </c>
      <c r="H8560" s="7">
        <f>VLOOKUP(G8560,[5]Astroflores!$G$2:$H$110,2,FALSE)</f>
        <v>3325</v>
      </c>
      <c r="I8560" s="6">
        <v>1768.8376470588223</v>
      </c>
      <c r="J8560" s="5">
        <v>12800</v>
      </c>
      <c r="K8560" s="6">
        <f t="shared" si="350"/>
        <v>1.8797655090215455</v>
      </c>
    </row>
    <row r="8561" spans="1:11" hidden="1">
      <c r="A8561" s="4">
        <v>2026</v>
      </c>
      <c r="B8561">
        <v>27</v>
      </c>
      <c r="C8561" t="s">
        <v>54</v>
      </c>
      <c r="D8561" t="s">
        <v>11</v>
      </c>
      <c r="E8561" t="s">
        <v>85</v>
      </c>
      <c r="F8561" t="s">
        <v>87</v>
      </c>
      <c r="G8561" t="str">
        <f t="shared" si="351"/>
        <v>011CANDLELIGHT</v>
      </c>
      <c r="H8561" s="7">
        <f>VLOOKUP(G8561,[5]Astroflores!$G$2:$H$110,2,FALSE)</f>
        <v>7180</v>
      </c>
      <c r="I8561" s="6">
        <v>2263.7999998868127</v>
      </c>
      <c r="J8561" s="5">
        <v>17920</v>
      </c>
      <c r="K8561" s="6">
        <f t="shared" si="350"/>
        <v>3.1716582738576693</v>
      </c>
    </row>
    <row r="8562" spans="1:11" hidden="1">
      <c r="A8562" s="4">
        <v>2026</v>
      </c>
      <c r="B8562">
        <v>27</v>
      </c>
      <c r="C8562" t="s">
        <v>54</v>
      </c>
      <c r="D8562" t="s">
        <v>11</v>
      </c>
      <c r="E8562" t="s">
        <v>85</v>
      </c>
      <c r="F8562" t="s">
        <v>88</v>
      </c>
      <c r="G8562" t="str">
        <f t="shared" si="351"/>
        <v>011CAYENNE</v>
      </c>
      <c r="H8562" s="7">
        <f>VLOOKUP(G8562,[5]Astroflores!$G$2:$H$110,2,FALSE)</f>
        <v>1650</v>
      </c>
      <c r="I8562" s="6">
        <v>994.97117647058747</v>
      </c>
      <c r="J8562" s="5">
        <v>7200</v>
      </c>
      <c r="K8562" s="6">
        <f t="shared" si="350"/>
        <v>1.6583394966806619</v>
      </c>
    </row>
    <row r="8563" spans="1:11" hidden="1">
      <c r="A8563" s="4">
        <v>2026</v>
      </c>
      <c r="B8563">
        <v>27</v>
      </c>
      <c r="C8563" t="s">
        <v>54</v>
      </c>
      <c r="D8563" t="s">
        <v>11</v>
      </c>
      <c r="E8563" t="s">
        <v>85</v>
      </c>
      <c r="F8563" t="s">
        <v>61</v>
      </c>
      <c r="G8563" t="str">
        <f t="shared" si="351"/>
        <v>011LUMIA</v>
      </c>
      <c r="H8563" s="7">
        <f>VLOOKUP(G8563,[5]Astroflores!$G$2:$H$110,2,FALSE)</f>
        <v>1890</v>
      </c>
      <c r="I8563" s="6">
        <v>994.97117647058747</v>
      </c>
      <c r="J8563" s="5">
        <v>7920</v>
      </c>
      <c r="K8563" s="6">
        <f t="shared" si="350"/>
        <v>1.8995525143796672</v>
      </c>
    </row>
    <row r="8564" spans="1:11" hidden="1">
      <c r="A8564" s="4">
        <v>2026</v>
      </c>
      <c r="B8564">
        <v>27</v>
      </c>
      <c r="C8564" t="s">
        <v>54</v>
      </c>
      <c r="D8564" t="s">
        <v>11</v>
      </c>
      <c r="E8564" t="s">
        <v>85</v>
      </c>
      <c r="F8564" t="s">
        <v>89</v>
      </c>
      <c r="G8564" t="str">
        <f t="shared" si="351"/>
        <v>011STARDUST</v>
      </c>
      <c r="H8564" s="7">
        <f>VLOOKUP(G8564,[5]Astroflores!$G$2:$H$110,2,FALSE)</f>
        <v>3800</v>
      </c>
      <c r="I8564" s="6">
        <v>2263.7999998868127</v>
      </c>
      <c r="J8564" s="5">
        <v>17920</v>
      </c>
      <c r="K8564" s="6">
        <f t="shared" si="350"/>
        <v>1.678593515412137</v>
      </c>
    </row>
    <row r="8565" spans="1:11" hidden="1">
      <c r="A8565" s="4">
        <v>2026</v>
      </c>
      <c r="B8565">
        <v>27</v>
      </c>
      <c r="C8565" t="s">
        <v>54</v>
      </c>
      <c r="D8565" t="s">
        <v>11</v>
      </c>
      <c r="E8565" t="s">
        <v>90</v>
      </c>
      <c r="F8565" t="s">
        <v>67</v>
      </c>
      <c r="G8565" t="str">
        <f t="shared" si="351"/>
        <v>012DEEP PURPLE</v>
      </c>
      <c r="H8565" s="7">
        <f>VLOOKUP(G8565,[5]Astroflores!$G$2:$H$110,2,FALSE)</f>
        <v>22050</v>
      </c>
      <c r="I8565" s="6">
        <v>6727.0499997982479</v>
      </c>
      <c r="J8565" s="5">
        <v>49210</v>
      </c>
      <c r="K8565" s="6">
        <f t="shared" si="350"/>
        <v>3.2778112249293976</v>
      </c>
    </row>
    <row r="8566" spans="1:11" hidden="1">
      <c r="A8566" s="4">
        <v>2026</v>
      </c>
      <c r="B8566">
        <v>27</v>
      </c>
      <c r="C8566" t="s">
        <v>54</v>
      </c>
      <c r="D8566" t="s">
        <v>11</v>
      </c>
      <c r="E8566" t="s">
        <v>90</v>
      </c>
      <c r="F8566" t="s">
        <v>60</v>
      </c>
      <c r="G8566" t="str">
        <f t="shared" si="351"/>
        <v>012LIGHT HOUSE</v>
      </c>
      <c r="H8566" s="7">
        <f>VLOOKUP(G8566,[5]Astroflores!$G$2:$H$110,2,FALSE)</f>
        <v>2040</v>
      </c>
      <c r="I8566" s="6">
        <v>994.95</v>
      </c>
      <c r="J8566" s="5">
        <v>7200</v>
      </c>
      <c r="K8566" s="6">
        <f t="shared" si="350"/>
        <v>2.0503542891602593</v>
      </c>
    </row>
    <row r="8567" spans="1:11" hidden="1">
      <c r="A8567" s="4">
        <v>2026</v>
      </c>
      <c r="B8567">
        <v>27</v>
      </c>
      <c r="C8567" t="s">
        <v>54</v>
      </c>
      <c r="D8567" t="s">
        <v>11</v>
      </c>
      <c r="E8567" t="s">
        <v>91</v>
      </c>
      <c r="F8567" t="s">
        <v>92</v>
      </c>
      <c r="G8567" t="str">
        <f t="shared" si="351"/>
        <v>013COUNTRY BLUES</v>
      </c>
      <c r="H8567" s="7">
        <f>VLOOKUP(G8567,[5]Astroflores!$G$2:$H$110,2,FALSE)</f>
        <v>1240</v>
      </c>
      <c r="I8567" s="6">
        <v>831.6</v>
      </c>
      <c r="J8567" s="5">
        <v>6300</v>
      </c>
      <c r="K8567" s="6">
        <f t="shared" si="350"/>
        <v>1.491101491101491</v>
      </c>
    </row>
    <row r="8568" spans="1:11" hidden="1">
      <c r="A8568" s="4">
        <v>2026</v>
      </c>
      <c r="B8568">
        <v>27</v>
      </c>
      <c r="C8568" t="s">
        <v>54</v>
      </c>
      <c r="D8568" t="s">
        <v>11</v>
      </c>
      <c r="E8568" t="s">
        <v>91</v>
      </c>
      <c r="F8568" t="s">
        <v>93</v>
      </c>
      <c r="G8568" t="str">
        <f t="shared" si="351"/>
        <v>013LORRAINE</v>
      </c>
      <c r="H8568" s="7">
        <f>VLOOKUP(G8568,[5]Astroflores!$G$2:$H$110,2,FALSE)</f>
        <v>4175</v>
      </c>
      <c r="I8568" s="6">
        <v>1267.2</v>
      </c>
      <c r="J8568" s="5">
        <v>9600</v>
      </c>
      <c r="K8568" s="6">
        <f t="shared" si="350"/>
        <v>3.294665404040404</v>
      </c>
    </row>
    <row r="8569" spans="1:11" hidden="1">
      <c r="A8569" s="4">
        <v>2026</v>
      </c>
      <c r="B8569">
        <v>27</v>
      </c>
      <c r="C8569" t="s">
        <v>54</v>
      </c>
      <c r="D8569" t="s">
        <v>11</v>
      </c>
      <c r="E8569" t="s">
        <v>91</v>
      </c>
      <c r="F8569" t="s">
        <v>61</v>
      </c>
      <c r="G8569" t="str">
        <f t="shared" si="351"/>
        <v>013LUMIA</v>
      </c>
      <c r="H8569" s="7">
        <f>VLOOKUP(G8569,[5]Astroflores!$G$2:$H$110,2,FALSE)</f>
        <v>900</v>
      </c>
      <c r="I8569" s="6">
        <v>316.8</v>
      </c>
      <c r="J8569" s="5">
        <v>2400</v>
      </c>
      <c r="K8569" s="6">
        <f t="shared" si="350"/>
        <v>2.8409090909090908</v>
      </c>
    </row>
    <row r="8570" spans="1:11" hidden="1">
      <c r="A8570" s="4">
        <v>2026</v>
      </c>
      <c r="B8570">
        <v>27</v>
      </c>
      <c r="C8570" t="s">
        <v>54</v>
      </c>
      <c r="D8570" t="s">
        <v>11</v>
      </c>
      <c r="E8570" t="s">
        <v>91</v>
      </c>
      <c r="F8570" t="s">
        <v>74</v>
      </c>
      <c r="G8570" t="str">
        <f t="shared" si="351"/>
        <v>013VENDELA</v>
      </c>
      <c r="H8570" s="7">
        <f>VLOOKUP(G8570,[5]Astroflores!$G$2:$H$110,2,FALSE)</f>
        <v>13380</v>
      </c>
      <c r="I8570" s="6">
        <v>3603.6</v>
      </c>
      <c r="J8570" s="5">
        <v>27296</v>
      </c>
      <c r="K8570" s="6">
        <f t="shared" si="350"/>
        <v>3.7129537129537131</v>
      </c>
    </row>
    <row r="8571" spans="1:11" hidden="1">
      <c r="A8571" s="4">
        <v>2026</v>
      </c>
      <c r="B8571">
        <v>27</v>
      </c>
      <c r="C8571" t="s">
        <v>54</v>
      </c>
      <c r="D8571" t="s">
        <v>11</v>
      </c>
      <c r="E8571" t="s">
        <v>23</v>
      </c>
      <c r="F8571" t="s">
        <v>89</v>
      </c>
      <c r="G8571" t="str">
        <f t="shared" si="351"/>
        <v>014STARDUST</v>
      </c>
      <c r="H8571" s="7">
        <f>VLOOKUP(G8571,[5]Astroflores!$G$2:$H$110,2,FALSE)</f>
        <v>7475</v>
      </c>
      <c r="I8571" s="6">
        <v>3682.8</v>
      </c>
      <c r="J8571" s="5">
        <v>27900</v>
      </c>
      <c r="K8571" s="6">
        <f t="shared" si="350"/>
        <v>2.0297056587379165</v>
      </c>
    </row>
    <row r="8572" spans="1:11" hidden="1">
      <c r="A8572" s="4">
        <v>2026</v>
      </c>
      <c r="B8572">
        <v>27</v>
      </c>
      <c r="C8572" t="s">
        <v>54</v>
      </c>
      <c r="D8572" t="s">
        <v>11</v>
      </c>
      <c r="E8572" t="s">
        <v>25</v>
      </c>
      <c r="F8572" t="s">
        <v>68</v>
      </c>
      <c r="G8572" t="str">
        <f t="shared" si="351"/>
        <v>015JOCKER</v>
      </c>
      <c r="H8572" s="7">
        <f>VLOOKUP(G8572,[5]Astroflores!$G$2:$H$110,2,FALSE)</f>
        <v>6175</v>
      </c>
      <c r="I8572" s="6">
        <v>2376</v>
      </c>
      <c r="J8572" s="5">
        <v>18000</v>
      </c>
      <c r="K8572" s="6">
        <f t="shared" si="350"/>
        <v>2.5989057239057241</v>
      </c>
    </row>
    <row r="8573" spans="1:11" hidden="1">
      <c r="A8573" s="4">
        <v>2026</v>
      </c>
      <c r="B8573">
        <v>27</v>
      </c>
      <c r="C8573" t="s">
        <v>54</v>
      </c>
      <c r="D8573" t="s">
        <v>11</v>
      </c>
      <c r="E8573" t="s">
        <v>27</v>
      </c>
      <c r="F8573" t="s">
        <v>94</v>
      </c>
      <c r="G8573" t="str">
        <f t="shared" si="351"/>
        <v>016DREAM IN PEACH</v>
      </c>
      <c r="H8573" s="7">
        <f>VLOOKUP(G8573,[5]Astroflores!$G$2:$H$110,2,FALSE)</f>
        <v>2400</v>
      </c>
      <c r="I8573" s="6">
        <v>950.4</v>
      </c>
      <c r="J8573" s="5">
        <v>7200</v>
      </c>
      <c r="K8573" s="6">
        <f t="shared" si="350"/>
        <v>2.5252525252525255</v>
      </c>
    </row>
    <row r="8574" spans="1:11" hidden="1">
      <c r="A8574" s="4">
        <v>2026</v>
      </c>
      <c r="B8574">
        <v>27</v>
      </c>
      <c r="C8574" t="s">
        <v>54</v>
      </c>
      <c r="D8574" t="s">
        <v>11</v>
      </c>
      <c r="E8574" t="s">
        <v>27</v>
      </c>
      <c r="F8574" t="s">
        <v>95</v>
      </c>
      <c r="G8574" t="str">
        <f t="shared" si="351"/>
        <v>016NINA</v>
      </c>
      <c r="H8574" s="7">
        <f>VLOOKUP(G8574,[5]Astroflores!$G$2:$H$110,2,FALSE)</f>
        <v>4900</v>
      </c>
      <c r="I8574" s="6">
        <v>1346.4</v>
      </c>
      <c r="J8574" s="5">
        <v>10200</v>
      </c>
      <c r="K8574" s="6">
        <f t="shared" si="350"/>
        <v>3.6393345216874624</v>
      </c>
    </row>
    <row r="8575" spans="1:11" hidden="1">
      <c r="A8575" s="4">
        <v>2026</v>
      </c>
      <c r="B8575">
        <v>27</v>
      </c>
      <c r="C8575" t="s">
        <v>54</v>
      </c>
      <c r="D8575" t="s">
        <v>11</v>
      </c>
      <c r="E8575" t="s">
        <v>30</v>
      </c>
      <c r="F8575" t="s">
        <v>81</v>
      </c>
      <c r="G8575" t="str">
        <f t="shared" si="351"/>
        <v>017FREEDOM</v>
      </c>
      <c r="H8575" s="7">
        <f>VLOOKUP(G8575,[5]Astroflores!$G$2:$H$110,2,FALSE)</f>
        <v>5880</v>
      </c>
      <c r="I8575" s="6">
        <v>2851.2</v>
      </c>
      <c r="J8575" s="5">
        <v>21600</v>
      </c>
      <c r="K8575" s="6">
        <f t="shared" si="350"/>
        <v>2.0622895622895623</v>
      </c>
    </row>
    <row r="8576" spans="1:11" hidden="1">
      <c r="A8576" s="4">
        <v>2026</v>
      </c>
      <c r="B8576">
        <v>27</v>
      </c>
      <c r="C8576" t="s">
        <v>54</v>
      </c>
      <c r="D8576" t="s">
        <v>11</v>
      </c>
      <c r="E8576" t="s">
        <v>30</v>
      </c>
      <c r="F8576" t="s">
        <v>73</v>
      </c>
      <c r="G8576" t="str">
        <f t="shared" si="351"/>
        <v>017GOLDFINCH</v>
      </c>
      <c r="H8576" s="7">
        <f>VLOOKUP(G8576,[5]Astroflores!$G$2:$H$110,2,FALSE)</f>
        <v>3325</v>
      </c>
      <c r="I8576" s="6">
        <v>2138.4</v>
      </c>
      <c r="J8576" s="5">
        <v>16200</v>
      </c>
      <c r="K8576" s="6">
        <f t="shared" si="350"/>
        <v>1.5549008604564158</v>
      </c>
    </row>
    <row r="8577" spans="1:11" hidden="1">
      <c r="A8577" s="4">
        <v>2026</v>
      </c>
      <c r="B8577">
        <v>27</v>
      </c>
      <c r="C8577" t="s">
        <v>54</v>
      </c>
      <c r="D8577" t="s">
        <v>11</v>
      </c>
      <c r="E8577" t="s">
        <v>32</v>
      </c>
      <c r="F8577" t="s">
        <v>86</v>
      </c>
      <c r="G8577" t="str">
        <f t="shared" si="351"/>
        <v>018BRIGHTON</v>
      </c>
      <c r="H8577" s="7">
        <f>VLOOKUP(G8577,[5]Astroflores!$G$2:$H$110,2,FALSE)</f>
        <v>2700</v>
      </c>
      <c r="I8577" s="6">
        <v>963.6</v>
      </c>
      <c r="J8577" s="5">
        <v>7570</v>
      </c>
      <c r="K8577" s="6">
        <f t="shared" si="350"/>
        <v>2.8019925280199254</v>
      </c>
    </row>
    <row r="8578" spans="1:11" hidden="1">
      <c r="A8578" s="4">
        <v>2026</v>
      </c>
      <c r="B8578">
        <v>27</v>
      </c>
      <c r="C8578" t="s">
        <v>54</v>
      </c>
      <c r="D8578" t="s">
        <v>11</v>
      </c>
      <c r="E8578" t="s">
        <v>35</v>
      </c>
      <c r="F8578" t="s">
        <v>86</v>
      </c>
      <c r="G8578" t="str">
        <f t="shared" si="351"/>
        <v>019BRIGHTON</v>
      </c>
      <c r="H8578" s="7">
        <f>VLOOKUP(G8578,[5]Astroflores!$G$2:$H$110,2,FALSE)</f>
        <v>8350</v>
      </c>
      <c r="I8578" s="6">
        <v>3168</v>
      </c>
      <c r="J8578" s="5">
        <v>24000</v>
      </c>
      <c r="K8578" s="6">
        <f t="shared" si="350"/>
        <v>2.6357323232323231</v>
      </c>
    </row>
    <row r="8579" spans="1:11" hidden="1">
      <c r="A8579" s="4">
        <v>2026</v>
      </c>
      <c r="B8579">
        <v>27</v>
      </c>
      <c r="C8579" t="s">
        <v>54</v>
      </c>
      <c r="D8579" t="s">
        <v>11</v>
      </c>
      <c r="E8579" t="s">
        <v>35</v>
      </c>
      <c r="F8579" t="s">
        <v>96</v>
      </c>
      <c r="G8579" t="str">
        <f t="shared" si="351"/>
        <v>019TABATHA</v>
      </c>
      <c r="H8579" s="7">
        <f>VLOOKUP(G8579,[5]Astroflores!$G$2:$H$110,2,FALSE)</f>
        <v>2610</v>
      </c>
      <c r="I8579" s="6">
        <v>1188</v>
      </c>
      <c r="J8579" s="5">
        <v>9000</v>
      </c>
      <c r="K8579" s="6">
        <f t="shared" si="350"/>
        <v>2.1969696969696968</v>
      </c>
    </row>
    <row r="8580" spans="1:11" hidden="1">
      <c r="A8580" s="4">
        <v>2026</v>
      </c>
      <c r="B8580">
        <v>27</v>
      </c>
      <c r="C8580" t="s">
        <v>54</v>
      </c>
      <c r="D8580" t="s">
        <v>11</v>
      </c>
      <c r="E8580" t="s">
        <v>36</v>
      </c>
      <c r="F8580" t="s">
        <v>86</v>
      </c>
      <c r="G8580" t="str">
        <f t="shared" si="351"/>
        <v>020BRIGHTON</v>
      </c>
      <c r="H8580" s="7">
        <f>VLOOKUP(G8580,[5]Astroflores!$G$2:$H$110,2,FALSE)</f>
        <v>6700</v>
      </c>
      <c r="I8580" s="6">
        <v>2732.4</v>
      </c>
      <c r="J8580" s="5">
        <v>20700</v>
      </c>
      <c r="K8580" s="6">
        <f t="shared" si="350"/>
        <v>2.4520567998828868</v>
      </c>
    </row>
    <row r="8581" spans="1:11" hidden="1">
      <c r="A8581" s="4">
        <v>2026</v>
      </c>
      <c r="B8581">
        <v>27</v>
      </c>
      <c r="C8581" t="s">
        <v>54</v>
      </c>
      <c r="D8581" t="s">
        <v>11</v>
      </c>
      <c r="E8581" t="s">
        <v>36</v>
      </c>
      <c r="F8581" t="s">
        <v>97</v>
      </c>
      <c r="G8581" t="str">
        <f t="shared" si="351"/>
        <v>020TYCOON</v>
      </c>
      <c r="H8581" s="7">
        <f>VLOOKUP(G8581,[5]Astroflores!$G$2:$H$110,2,FALSE)</f>
        <v>1380</v>
      </c>
      <c r="I8581" s="6">
        <v>673.2</v>
      </c>
      <c r="J8581" s="5">
        <v>5100</v>
      </c>
      <c r="K8581" s="6">
        <f t="shared" si="350"/>
        <v>2.0499108734402851</v>
      </c>
    </row>
    <row r="8582" spans="1:11" hidden="1">
      <c r="A8582" s="4">
        <v>2026</v>
      </c>
      <c r="B8582">
        <v>27</v>
      </c>
      <c r="C8582" t="s">
        <v>54</v>
      </c>
      <c r="D8582" t="s">
        <v>11</v>
      </c>
      <c r="E8582" t="s">
        <v>38</v>
      </c>
      <c r="F8582" t="s">
        <v>98</v>
      </c>
      <c r="G8582" t="str">
        <f t="shared" si="351"/>
        <v>021SHOW GIRL</v>
      </c>
      <c r="H8582" s="7">
        <f>VLOOKUP(G8582,[5]Astroflores!$G$2:$H$110,2,FALSE)</f>
        <v>1475</v>
      </c>
      <c r="I8582" s="6">
        <v>1100.4749999999999</v>
      </c>
      <c r="J8582" s="5">
        <v>8000</v>
      </c>
      <c r="K8582" s="6">
        <f t="shared" si="350"/>
        <v>1.3403303119107659</v>
      </c>
    </row>
    <row r="8583" spans="1:11" hidden="1">
      <c r="A8583" s="4">
        <v>2026</v>
      </c>
      <c r="B8583">
        <v>27</v>
      </c>
      <c r="C8583" t="s">
        <v>54</v>
      </c>
      <c r="D8583" t="s">
        <v>11</v>
      </c>
      <c r="E8583" t="s">
        <v>43</v>
      </c>
      <c r="F8583" t="s">
        <v>99</v>
      </c>
      <c r="G8583" t="str">
        <f t="shared" si="351"/>
        <v>022CORAL REEF</v>
      </c>
      <c r="H8583" s="7">
        <f>VLOOKUP(G8583,[5]Astroflores!$G$2:$H$110,2,FALSE)</f>
        <v>2725</v>
      </c>
      <c r="I8583" s="6">
        <v>1287</v>
      </c>
      <c r="J8583" s="5">
        <v>9400</v>
      </c>
      <c r="K8583" s="6">
        <f t="shared" si="350"/>
        <v>2.1173271173271173</v>
      </c>
    </row>
    <row r="8584" spans="1:11" hidden="1">
      <c r="A8584" s="4">
        <v>2026</v>
      </c>
      <c r="B8584">
        <v>27</v>
      </c>
      <c r="C8584" t="s">
        <v>54</v>
      </c>
      <c r="D8584" t="s">
        <v>11</v>
      </c>
      <c r="E8584" t="s">
        <v>100</v>
      </c>
      <c r="F8584" t="s">
        <v>70</v>
      </c>
      <c r="G8584" t="str">
        <f t="shared" si="351"/>
        <v>023COTOPAXI</v>
      </c>
      <c r="H8584" s="7">
        <f>VLOOKUP(G8584,[5]Astroflores!$G$2:$H$110,2,FALSE)</f>
        <v>6570</v>
      </c>
      <c r="I8584" s="6">
        <v>2641.14</v>
      </c>
      <c r="J8584" s="5">
        <v>19200</v>
      </c>
      <c r="K8584" s="6">
        <f t="shared" si="350"/>
        <v>2.4875621890547266</v>
      </c>
    </row>
    <row r="8585" spans="1:11" hidden="1">
      <c r="A8585" s="4">
        <v>2026</v>
      </c>
      <c r="B8585">
        <v>27</v>
      </c>
      <c r="C8585" t="s">
        <v>54</v>
      </c>
      <c r="D8585" t="s">
        <v>11</v>
      </c>
      <c r="E8585" t="s">
        <v>100</v>
      </c>
      <c r="F8585" t="s">
        <v>101</v>
      </c>
      <c r="G8585" t="str">
        <f t="shared" si="351"/>
        <v>023FRUTTETO</v>
      </c>
      <c r="H8585" s="7">
        <f>VLOOKUP(G8585,[5]Astroflores!$G$2:$H$110,2,FALSE)</f>
        <v>8490</v>
      </c>
      <c r="I8585" s="6">
        <v>2641.14</v>
      </c>
      <c r="J8585" s="5">
        <v>19200</v>
      </c>
      <c r="K8585" s="6">
        <f t="shared" si="350"/>
        <v>3.2145210022944637</v>
      </c>
    </row>
    <row r="8586" spans="1:11" hidden="1">
      <c r="A8586" s="4">
        <v>2026</v>
      </c>
      <c r="B8586">
        <v>27</v>
      </c>
      <c r="C8586" t="s">
        <v>54</v>
      </c>
      <c r="D8586" t="s">
        <v>11</v>
      </c>
      <c r="E8586" t="s">
        <v>102</v>
      </c>
      <c r="F8586" t="s">
        <v>70</v>
      </c>
      <c r="G8586" t="str">
        <f t="shared" si="351"/>
        <v>024COTOPAXI</v>
      </c>
      <c r="H8586" s="7">
        <f>VLOOKUP(G8586,[5]Astroflores!$G$2:$H$110,2,FALSE)</f>
        <v>3150</v>
      </c>
      <c r="I8586" s="6">
        <v>1430.6174906250001</v>
      </c>
      <c r="J8586" s="5">
        <v>10400</v>
      </c>
      <c r="K8586" s="6">
        <f t="shared" si="350"/>
        <v>2.2018464199146943</v>
      </c>
    </row>
    <row r="8587" spans="1:11" hidden="1">
      <c r="A8587" s="4">
        <v>2026</v>
      </c>
      <c r="B8587">
        <v>27</v>
      </c>
      <c r="C8587" t="s">
        <v>54</v>
      </c>
      <c r="D8587" t="s">
        <v>11</v>
      </c>
      <c r="E8587" t="s">
        <v>102</v>
      </c>
      <c r="F8587" t="s">
        <v>64</v>
      </c>
      <c r="G8587" t="str">
        <f t="shared" si="351"/>
        <v>024SWEETNESS</v>
      </c>
      <c r="H8587" s="7">
        <f>VLOOKUP(G8587,[5]Astroflores!$G$2:$H$110,2,FALSE)</f>
        <v>1950</v>
      </c>
      <c r="I8587" s="6">
        <v>1430.6175000000001</v>
      </c>
      <c r="J8587" s="5">
        <v>10400</v>
      </c>
      <c r="K8587" s="6">
        <f t="shared" si="350"/>
        <v>1.3630477748245076</v>
      </c>
    </row>
    <row r="8588" spans="1:11" hidden="1">
      <c r="A8588" s="4">
        <v>2026</v>
      </c>
      <c r="B8588">
        <v>27</v>
      </c>
      <c r="C8588" t="s">
        <v>54</v>
      </c>
      <c r="D8588" t="s">
        <v>11</v>
      </c>
      <c r="E8588" t="s">
        <v>102</v>
      </c>
      <c r="F8588" t="s">
        <v>97</v>
      </c>
      <c r="G8588" t="str">
        <f t="shared" si="351"/>
        <v>024TYCOON</v>
      </c>
      <c r="H8588" s="7">
        <f>VLOOKUP(G8588,[5]Astroflores!$G$2:$H$110,2,FALSE)</f>
        <v>4230</v>
      </c>
      <c r="I8588" s="6">
        <v>2861.2350000000001</v>
      </c>
      <c r="J8588" s="5">
        <v>20800</v>
      </c>
      <c r="K8588" s="6">
        <f t="shared" si="350"/>
        <v>1.4783825865404274</v>
      </c>
    </row>
    <row r="8589" spans="1:11" hidden="1">
      <c r="A8589" s="4">
        <v>2026</v>
      </c>
      <c r="B8589">
        <v>27</v>
      </c>
      <c r="C8589" t="s">
        <v>54</v>
      </c>
      <c r="D8589" t="s">
        <v>11</v>
      </c>
      <c r="E8589" t="s">
        <v>103</v>
      </c>
      <c r="F8589" t="s">
        <v>104</v>
      </c>
      <c r="G8589" t="str">
        <f t="shared" si="351"/>
        <v>025PINK MONDIAL</v>
      </c>
      <c r="H8589" s="7">
        <f>VLOOKUP(G8589,[5]Astroflores!$G$2:$H$110,2,FALSE)</f>
        <v>5700</v>
      </c>
      <c r="I8589" s="6">
        <v>3071.9505625000002</v>
      </c>
      <c r="J8589" s="5">
        <v>22400</v>
      </c>
      <c r="K8589" s="6">
        <f t="shared" si="350"/>
        <v>1.8554986104207527</v>
      </c>
    </row>
    <row r="8590" spans="1:11" hidden="1">
      <c r="A8590" s="4">
        <v>2026</v>
      </c>
      <c r="B8590">
        <v>27</v>
      </c>
      <c r="C8590" t="s">
        <v>54</v>
      </c>
      <c r="D8590" t="s">
        <v>11</v>
      </c>
      <c r="E8590" t="s">
        <v>45</v>
      </c>
      <c r="F8590" t="s">
        <v>105</v>
      </c>
      <c r="G8590" t="str">
        <f t="shared" si="351"/>
        <v>026LOLA</v>
      </c>
      <c r="H8590" s="7">
        <f>VLOOKUP(G8590,[5]Astroflores!$G$2:$H$110,2,FALSE)</f>
        <v>6300</v>
      </c>
      <c r="I8590" s="6">
        <v>1097.125</v>
      </c>
      <c r="J8590" s="5">
        <v>8000</v>
      </c>
      <c r="K8590" s="6">
        <f t="shared" si="350"/>
        <v>5.7422809616041928</v>
      </c>
    </row>
    <row r="8591" spans="1:11" hidden="1">
      <c r="A8591" s="4">
        <v>2026</v>
      </c>
      <c r="B8591">
        <v>27</v>
      </c>
      <c r="C8591" t="s">
        <v>54</v>
      </c>
      <c r="D8591" t="s">
        <v>11</v>
      </c>
      <c r="E8591" t="s">
        <v>45</v>
      </c>
      <c r="F8591" t="s">
        <v>106</v>
      </c>
      <c r="G8591" t="str">
        <f t="shared" si="351"/>
        <v>026PALOMA</v>
      </c>
      <c r="H8591" s="7">
        <f>VLOOKUP(G8591,[5]Astroflores!$G$2:$H$110,2,FALSE)</f>
        <v>7150</v>
      </c>
      <c r="I8591" s="6">
        <v>2852.5250000000001</v>
      </c>
      <c r="J8591" s="5">
        <v>20800</v>
      </c>
      <c r="K8591" s="6">
        <f t="shared" si="350"/>
        <v>2.5065512133986556</v>
      </c>
    </row>
    <row r="8592" spans="1:11" hidden="1">
      <c r="A8592" s="4">
        <v>2026</v>
      </c>
      <c r="B8592">
        <v>27</v>
      </c>
      <c r="C8592" t="s">
        <v>54</v>
      </c>
      <c r="D8592" t="s">
        <v>11</v>
      </c>
      <c r="E8592" t="s">
        <v>107</v>
      </c>
      <c r="F8592" t="s">
        <v>108</v>
      </c>
      <c r="G8592" t="str">
        <f t="shared" si="351"/>
        <v>027SATISFACTION</v>
      </c>
      <c r="H8592" s="7">
        <f>VLOOKUP(G8592,[5]Astroflores!$G$2:$H$110,2,FALSE)</f>
        <v>5460</v>
      </c>
      <c r="I8592" s="6">
        <v>2633.1</v>
      </c>
      <c r="J8592" s="5">
        <v>19200</v>
      </c>
      <c r="K8592" s="6">
        <f t="shared" si="350"/>
        <v>2.0736014583570697</v>
      </c>
    </row>
    <row r="8593" spans="1:11" hidden="1">
      <c r="A8593" s="4">
        <v>2026</v>
      </c>
      <c r="B8593">
        <v>27</v>
      </c>
      <c r="C8593" t="s">
        <v>54</v>
      </c>
      <c r="D8593" t="s">
        <v>11</v>
      </c>
      <c r="E8593" t="s">
        <v>107</v>
      </c>
      <c r="F8593" t="s">
        <v>109</v>
      </c>
      <c r="G8593" t="str">
        <f t="shared" si="351"/>
        <v>027TIFFANY</v>
      </c>
      <c r="H8593" s="7">
        <f>VLOOKUP(G8593,[5]Astroflores!$G$2:$H$110,2,FALSE)</f>
        <v>4590</v>
      </c>
      <c r="I8593" s="6">
        <v>2633.1</v>
      </c>
      <c r="J8593" s="5">
        <v>19200</v>
      </c>
      <c r="K8593" s="6">
        <f t="shared" ref="K8593:K8631" si="352">+H8593/I8593</f>
        <v>1.7431924347727015</v>
      </c>
    </row>
    <row r="8594" spans="1:11" hidden="1">
      <c r="A8594" s="4">
        <v>2026</v>
      </c>
      <c r="B8594">
        <v>27</v>
      </c>
      <c r="C8594" t="s">
        <v>54</v>
      </c>
      <c r="D8594" t="s">
        <v>11</v>
      </c>
      <c r="E8594" t="s">
        <v>110</v>
      </c>
      <c r="F8594" t="s">
        <v>70</v>
      </c>
      <c r="G8594" t="str">
        <f t="shared" si="351"/>
        <v>028COTOPAXI</v>
      </c>
      <c r="H8594" s="7">
        <f>VLOOKUP(G8594,[5]Astroflores!$G$2:$H$110,2,FALSE)</f>
        <v>5850</v>
      </c>
      <c r="I8594" s="6">
        <v>2852.5250000000001</v>
      </c>
      <c r="J8594" s="5">
        <v>20800</v>
      </c>
      <c r="K8594" s="6">
        <f t="shared" si="352"/>
        <v>2.0508146291443543</v>
      </c>
    </row>
    <row r="8595" spans="1:11" hidden="1">
      <c r="A8595" s="4">
        <v>2026</v>
      </c>
      <c r="B8595">
        <v>27</v>
      </c>
      <c r="C8595" t="s">
        <v>54</v>
      </c>
      <c r="D8595" t="s">
        <v>11</v>
      </c>
      <c r="E8595" t="s">
        <v>110</v>
      </c>
      <c r="F8595" t="s">
        <v>67</v>
      </c>
      <c r="G8595" t="str">
        <f t="shared" si="351"/>
        <v>028DEEP PURPLE</v>
      </c>
      <c r="H8595" s="7">
        <f>VLOOKUP(G8595,[5]Astroflores!$G$2:$H$110,2,FALSE)</f>
        <v>9150</v>
      </c>
      <c r="I8595" s="6">
        <v>2852.5250000000001</v>
      </c>
      <c r="J8595" s="5">
        <v>20800</v>
      </c>
      <c r="K8595" s="6">
        <f t="shared" si="352"/>
        <v>3.207684419943734</v>
      </c>
    </row>
    <row r="8596" spans="1:11" hidden="1">
      <c r="A8596" s="4">
        <v>2026</v>
      </c>
      <c r="B8596">
        <v>27</v>
      </c>
      <c r="C8596" t="s">
        <v>54</v>
      </c>
      <c r="D8596" t="s">
        <v>11</v>
      </c>
      <c r="E8596" t="s">
        <v>111</v>
      </c>
      <c r="F8596" t="s">
        <v>112</v>
      </c>
      <c r="G8596" t="str">
        <f t="shared" si="351"/>
        <v>029PINK FLOYD</v>
      </c>
      <c r="H8596" s="7">
        <f>VLOOKUP(G8596,[5]Astroflores!$G$2:$H$110,2,FALSE)</f>
        <v>3875</v>
      </c>
      <c r="I8596" s="6">
        <v>3071.95</v>
      </c>
      <c r="J8596" s="5">
        <v>22400</v>
      </c>
      <c r="K8596" s="6">
        <f t="shared" si="352"/>
        <v>1.2614137599895832</v>
      </c>
    </row>
    <row r="8597" spans="1:11" hidden="1">
      <c r="A8597" s="4">
        <v>2026</v>
      </c>
      <c r="B8597">
        <v>27</v>
      </c>
      <c r="C8597" t="s">
        <v>54</v>
      </c>
      <c r="D8597" t="s">
        <v>11</v>
      </c>
      <c r="E8597" t="s">
        <v>47</v>
      </c>
      <c r="F8597" t="s">
        <v>57</v>
      </c>
      <c r="G8597" t="str">
        <f t="shared" si="351"/>
        <v>030EXPLORER</v>
      </c>
      <c r="H8597" s="7">
        <f>VLOOKUP(G8597,[5]Astroflores!$G$2:$H$110,2,FALSE)</f>
        <v>3725</v>
      </c>
      <c r="I8597" s="6">
        <v>1645.6875</v>
      </c>
      <c r="J8597" s="5">
        <v>12000</v>
      </c>
      <c r="K8597" s="6">
        <f t="shared" si="352"/>
        <v>2.2634917017963616</v>
      </c>
    </row>
    <row r="8598" spans="1:11" hidden="1">
      <c r="A8598" s="4">
        <v>2026</v>
      </c>
      <c r="B8598">
        <v>28</v>
      </c>
      <c r="C8598" t="s">
        <v>10</v>
      </c>
      <c r="D8598" t="s">
        <v>11</v>
      </c>
      <c r="E8598" t="s">
        <v>12</v>
      </c>
      <c r="F8598" t="s">
        <v>13</v>
      </c>
      <c r="G8598" t="str">
        <f t="shared" si="351"/>
        <v>002SOMERSET</v>
      </c>
      <c r="H8598" s="5">
        <f>VLOOKUP(G8598,[6]Astroflores!$G$2:$H$110,2,FALSE)</f>
        <v>8440</v>
      </c>
      <c r="I8598" s="6">
        <v>4121.4642855494085</v>
      </c>
      <c r="J8598" s="5">
        <v>31200</v>
      </c>
      <c r="K8598" s="6">
        <f t="shared" si="352"/>
        <v>2.0478158768940813</v>
      </c>
    </row>
    <row r="8599" spans="1:11" hidden="1">
      <c r="A8599" s="4">
        <v>2026</v>
      </c>
      <c r="B8599">
        <v>28</v>
      </c>
      <c r="C8599" t="s">
        <v>10</v>
      </c>
      <c r="D8599" t="s">
        <v>11</v>
      </c>
      <c r="E8599" t="s">
        <v>14</v>
      </c>
      <c r="F8599" t="s">
        <v>15</v>
      </c>
      <c r="G8599" t="str">
        <f t="shared" si="351"/>
        <v>004BELLINA</v>
      </c>
      <c r="H8599" s="5">
        <f>VLOOKUP(G8599,[6]Astroflores!$G$2:$H$110,2,FALSE)</f>
        <v>1965</v>
      </c>
      <c r="I8599" s="6">
        <v>1056.7857142434418</v>
      </c>
      <c r="J8599" s="5">
        <v>8000</v>
      </c>
      <c r="K8599" s="6">
        <f t="shared" si="352"/>
        <v>1.859411963575561</v>
      </c>
    </row>
    <row r="8600" spans="1:11" hidden="1">
      <c r="A8600" s="4">
        <v>2026</v>
      </c>
      <c r="B8600">
        <v>28</v>
      </c>
      <c r="C8600" t="s">
        <v>10</v>
      </c>
      <c r="D8600" t="s">
        <v>11</v>
      </c>
      <c r="E8600" t="s">
        <v>16</v>
      </c>
      <c r="F8600" t="s">
        <v>17</v>
      </c>
      <c r="G8600" t="str">
        <f t="shared" si="351"/>
        <v>005ELBA</v>
      </c>
      <c r="H8600" s="5">
        <f>VLOOKUP(G8600,[6]Astroflores!$G$2:$H$110,2,FALSE)</f>
        <v>5700</v>
      </c>
      <c r="I8600" s="6">
        <v>2641.9642856076484</v>
      </c>
      <c r="J8600" s="5">
        <v>19996</v>
      </c>
      <c r="K8600" s="6">
        <f t="shared" si="352"/>
        <v>2.1574856371266229</v>
      </c>
    </row>
    <row r="8601" spans="1:11" hidden="1">
      <c r="A8601" s="4">
        <v>2026</v>
      </c>
      <c r="B8601">
        <v>28</v>
      </c>
      <c r="C8601" t="s">
        <v>10</v>
      </c>
      <c r="D8601" t="s">
        <v>11</v>
      </c>
      <c r="E8601" t="s">
        <v>16</v>
      </c>
      <c r="F8601" t="s">
        <v>18</v>
      </c>
      <c r="G8601" t="str">
        <f t="shared" si="351"/>
        <v>005HOT BUBBLES</v>
      </c>
      <c r="H8601" s="5">
        <f>VLOOKUP(G8601,[6]Astroflores!$G$2:$H$110,2,FALSE)</f>
        <v>1080</v>
      </c>
      <c r="I8601" s="6">
        <v>528.39285712153003</v>
      </c>
      <c r="J8601" s="5">
        <v>4000</v>
      </c>
      <c r="K8601" s="6">
        <f t="shared" si="352"/>
        <v>2.0439337614883781</v>
      </c>
    </row>
    <row r="8602" spans="1:11" hidden="1">
      <c r="A8602" s="4">
        <v>2026</v>
      </c>
      <c r="B8602">
        <v>28</v>
      </c>
      <c r="C8602" t="s">
        <v>10</v>
      </c>
      <c r="D8602" t="s">
        <v>11</v>
      </c>
      <c r="E8602" t="s">
        <v>16</v>
      </c>
      <c r="F8602" t="s">
        <v>19</v>
      </c>
      <c r="G8602" t="str">
        <f t="shared" si="351"/>
        <v>005SUSPIRO</v>
      </c>
      <c r="H8602" s="5">
        <f>VLOOKUP(G8602,[6]Astroflores!$G$2:$H$110,2,FALSE)</f>
        <v>3090</v>
      </c>
      <c r="I8602" s="6">
        <v>1902.2142856375078</v>
      </c>
      <c r="J8602" s="5">
        <v>14400</v>
      </c>
      <c r="K8602" s="6">
        <f t="shared" si="352"/>
        <v>1.6244226653804241</v>
      </c>
    </row>
    <row r="8603" spans="1:11" hidden="1">
      <c r="A8603" s="4">
        <v>2026</v>
      </c>
      <c r="B8603">
        <v>28</v>
      </c>
      <c r="C8603" t="s">
        <v>10</v>
      </c>
      <c r="D8603" t="s">
        <v>11</v>
      </c>
      <c r="E8603" t="s">
        <v>20</v>
      </c>
      <c r="F8603" t="s">
        <v>21</v>
      </c>
      <c r="G8603" t="str">
        <f t="shared" si="351"/>
        <v>007SNOW BUBBLES</v>
      </c>
      <c r="H8603" s="5">
        <f>VLOOKUP(G8603,[6]Astroflores!$G$2:$H$110,2,FALSE)</f>
        <v>1580</v>
      </c>
      <c r="I8603" s="6">
        <v>634.05652706821195</v>
      </c>
      <c r="J8603" s="5">
        <v>4800</v>
      </c>
      <c r="K8603" s="6">
        <f t="shared" si="352"/>
        <v>2.4918913890938041</v>
      </c>
    </row>
    <row r="8604" spans="1:11" hidden="1">
      <c r="A8604" s="4">
        <v>2026</v>
      </c>
      <c r="B8604">
        <v>28</v>
      </c>
      <c r="C8604" t="s">
        <v>10</v>
      </c>
      <c r="D8604" t="s">
        <v>11</v>
      </c>
      <c r="E8604" t="s">
        <v>22</v>
      </c>
      <c r="F8604" t="s">
        <v>18</v>
      </c>
      <c r="G8604" t="str">
        <f t="shared" si="351"/>
        <v>009HOT BUBBLES</v>
      </c>
      <c r="H8604" s="5">
        <f>VLOOKUP(G8604,[6]Astroflores!$G$2:$H$110,2,FALSE)</f>
        <v>7400</v>
      </c>
      <c r="I8604" s="6">
        <v>4487.9999999102474</v>
      </c>
      <c r="J8604" s="5">
        <v>31740</v>
      </c>
      <c r="K8604" s="6">
        <f t="shared" si="352"/>
        <v>1.6488413547566818</v>
      </c>
    </row>
    <row r="8605" spans="1:11" hidden="1">
      <c r="A8605" s="4">
        <v>2026</v>
      </c>
      <c r="B8605">
        <v>28</v>
      </c>
      <c r="C8605" t="s">
        <v>10</v>
      </c>
      <c r="D8605" t="s">
        <v>11</v>
      </c>
      <c r="E8605" t="s">
        <v>23</v>
      </c>
      <c r="F8605" t="s">
        <v>24</v>
      </c>
      <c r="G8605" t="str">
        <f t="shared" si="351"/>
        <v>014FRUITY BUBBLES</v>
      </c>
      <c r="H8605" s="5">
        <f>VLOOKUP(G8605,[6]Astroflores!$G$2:$H$110,2,FALSE)</f>
        <v>4425</v>
      </c>
      <c r="I8605" s="6">
        <v>1702.8</v>
      </c>
      <c r="J8605" s="5">
        <v>12900</v>
      </c>
      <c r="K8605" s="6">
        <f t="shared" si="352"/>
        <v>2.598661028893587</v>
      </c>
    </row>
    <row r="8606" spans="1:11" hidden="1">
      <c r="A8606" s="4">
        <v>2026</v>
      </c>
      <c r="B8606">
        <v>28</v>
      </c>
      <c r="C8606" t="s">
        <v>10</v>
      </c>
      <c r="D8606" t="s">
        <v>11</v>
      </c>
      <c r="E8606" t="s">
        <v>25</v>
      </c>
      <c r="F8606" t="s">
        <v>26</v>
      </c>
      <c r="G8606" t="str">
        <f t="shared" si="351"/>
        <v>015FELLINI</v>
      </c>
      <c r="H8606" s="5">
        <f>VLOOKUP(G8606,[6]Astroflores!$G$2:$H$110,2,FALSE)</f>
        <v>7680</v>
      </c>
      <c r="I8606" s="6">
        <v>3009.6</v>
      </c>
      <c r="J8606" s="5">
        <v>22800</v>
      </c>
      <c r="K8606" s="6">
        <f t="shared" si="352"/>
        <v>2.5518341307814993</v>
      </c>
    </row>
    <row r="8607" spans="1:11" hidden="1">
      <c r="A8607" s="4">
        <v>2026</v>
      </c>
      <c r="B8607">
        <v>28</v>
      </c>
      <c r="C8607" t="s">
        <v>10</v>
      </c>
      <c r="D8607" t="s">
        <v>11</v>
      </c>
      <c r="E8607" t="s">
        <v>27</v>
      </c>
      <c r="F8607" t="s">
        <v>28</v>
      </c>
      <c r="G8607" t="str">
        <f t="shared" si="351"/>
        <v>016GOOD PEACH</v>
      </c>
      <c r="H8607" s="5">
        <f>VLOOKUP(G8607,[6]Astroflores!$G$2:$H$110,2,FALSE)</f>
        <v>3360</v>
      </c>
      <c r="I8607" s="6">
        <v>1386</v>
      </c>
      <c r="J8607" s="5">
        <v>10500</v>
      </c>
      <c r="K8607" s="6">
        <f t="shared" si="352"/>
        <v>2.4242424242424243</v>
      </c>
    </row>
    <row r="8608" spans="1:11" hidden="1">
      <c r="A8608" s="4">
        <v>2026</v>
      </c>
      <c r="B8608">
        <v>28</v>
      </c>
      <c r="C8608" t="s">
        <v>10</v>
      </c>
      <c r="D8608" t="s">
        <v>11</v>
      </c>
      <c r="E8608" t="s">
        <v>27</v>
      </c>
      <c r="F8608" t="s">
        <v>29</v>
      </c>
      <c r="G8608" t="str">
        <f t="shared" si="351"/>
        <v>016GOOD YELLOW</v>
      </c>
      <c r="H8608" s="5">
        <f>VLOOKUP(G8608,[6]Astroflores!$G$2:$H$110,2,FALSE)</f>
        <v>4680</v>
      </c>
      <c r="I8608" s="6">
        <v>1386</v>
      </c>
      <c r="J8608" s="5">
        <v>10500</v>
      </c>
      <c r="K8608" s="6">
        <f t="shared" si="352"/>
        <v>3.3766233766233764</v>
      </c>
    </row>
    <row r="8609" spans="1:11" hidden="1">
      <c r="A8609" s="4">
        <v>2026</v>
      </c>
      <c r="B8609">
        <v>28</v>
      </c>
      <c r="C8609" t="s">
        <v>10</v>
      </c>
      <c r="D8609" t="s">
        <v>11</v>
      </c>
      <c r="E8609" t="s">
        <v>30</v>
      </c>
      <c r="F8609" t="s">
        <v>31</v>
      </c>
      <c r="G8609" t="str">
        <f t="shared" si="351"/>
        <v>017ORANGE STAR</v>
      </c>
      <c r="H8609" s="5">
        <f>VLOOKUP(G8609,[6]Astroflores!$G$2:$H$110,2,FALSE)</f>
        <v>1800</v>
      </c>
      <c r="I8609" s="6">
        <v>1029.5999999999999</v>
      </c>
      <c r="J8609" s="5">
        <v>7800</v>
      </c>
      <c r="K8609" s="6">
        <f t="shared" si="352"/>
        <v>1.7482517482517483</v>
      </c>
    </row>
    <row r="8610" spans="1:11" hidden="1">
      <c r="A8610" s="4">
        <v>2026</v>
      </c>
      <c r="B8610">
        <v>28</v>
      </c>
      <c r="C8610" t="s">
        <v>10</v>
      </c>
      <c r="D8610" t="s">
        <v>11</v>
      </c>
      <c r="E8610" t="s">
        <v>32</v>
      </c>
      <c r="F8610" t="s">
        <v>33</v>
      </c>
      <c r="G8610" t="str">
        <f t="shared" si="351"/>
        <v>018COSMO</v>
      </c>
      <c r="H8610" s="5">
        <f>VLOOKUP(G8610,[6]Astroflores!$G$2:$H$110,2,FALSE)</f>
        <v>5275</v>
      </c>
      <c r="I8610" s="6">
        <v>2653.2</v>
      </c>
      <c r="J8610" s="5">
        <v>20100</v>
      </c>
      <c r="K8610" s="6">
        <f t="shared" si="352"/>
        <v>1.9881652344338914</v>
      </c>
    </row>
    <row r="8611" spans="1:11" hidden="1">
      <c r="A8611" s="4">
        <v>2026</v>
      </c>
      <c r="B8611">
        <v>28</v>
      </c>
      <c r="C8611" t="s">
        <v>10</v>
      </c>
      <c r="D8611" t="s">
        <v>11</v>
      </c>
      <c r="E8611" t="s">
        <v>32</v>
      </c>
      <c r="F8611" t="s">
        <v>34</v>
      </c>
      <c r="G8611" t="str">
        <f t="shared" si="351"/>
        <v>018RUBICON</v>
      </c>
      <c r="H8611" s="5">
        <f>VLOOKUP(G8611,[6]Astroflores!$G$2:$H$110,2,FALSE)</f>
        <v>3540</v>
      </c>
      <c r="I8611" s="6">
        <v>1768.8</v>
      </c>
      <c r="J8611" s="5">
        <v>13400</v>
      </c>
      <c r="K8611" s="6">
        <f t="shared" si="352"/>
        <v>2.0013568521031209</v>
      </c>
    </row>
    <row r="8612" spans="1:11" hidden="1">
      <c r="A8612" s="4">
        <v>2026</v>
      </c>
      <c r="B8612">
        <v>28</v>
      </c>
      <c r="C8612" t="s">
        <v>10</v>
      </c>
      <c r="D8612" t="s">
        <v>11</v>
      </c>
      <c r="E8612" t="s">
        <v>35</v>
      </c>
      <c r="F8612" t="s">
        <v>15</v>
      </c>
      <c r="G8612" t="str">
        <f t="shared" si="351"/>
        <v>019BELLINA</v>
      </c>
      <c r="H8612" s="5">
        <f>VLOOKUP(G8612,[6]Astroflores!$G$2:$H$110,2,FALSE)</f>
        <v>1740</v>
      </c>
      <c r="I8612" s="6">
        <v>1029.5999999999999</v>
      </c>
      <c r="J8612" s="5">
        <v>7800</v>
      </c>
      <c r="K8612" s="6">
        <f t="shared" si="352"/>
        <v>1.6899766899766901</v>
      </c>
    </row>
    <row r="8613" spans="1:11" hidden="1">
      <c r="A8613" s="4">
        <v>2026</v>
      </c>
      <c r="B8613">
        <v>28</v>
      </c>
      <c r="C8613" t="s">
        <v>10</v>
      </c>
      <c r="D8613" t="s">
        <v>11</v>
      </c>
      <c r="E8613" t="s">
        <v>36</v>
      </c>
      <c r="F8613" t="s">
        <v>37</v>
      </c>
      <c r="G8613" t="str">
        <f t="shared" si="351"/>
        <v>020SUMMER DANCE</v>
      </c>
      <c r="H8613" s="5">
        <f>VLOOKUP(G8613,[6]Astroflores!$G$2:$H$110,2,FALSE)</f>
        <v>3675</v>
      </c>
      <c r="I8613" s="6">
        <v>1346.4</v>
      </c>
      <c r="J8613" s="5">
        <v>10200</v>
      </c>
      <c r="K8613" s="6">
        <f t="shared" si="352"/>
        <v>2.7295008912655971</v>
      </c>
    </row>
    <row r="8614" spans="1:11" hidden="1">
      <c r="A8614" s="4">
        <v>2026</v>
      </c>
      <c r="B8614">
        <v>28</v>
      </c>
      <c r="C8614" t="s">
        <v>10</v>
      </c>
      <c r="D8614" t="s">
        <v>11</v>
      </c>
      <c r="E8614" t="s">
        <v>38</v>
      </c>
      <c r="F8614" t="s">
        <v>39</v>
      </c>
      <c r="G8614" t="str">
        <f t="shared" si="351"/>
        <v>021ELEGANT ROSEVER</v>
      </c>
      <c r="H8614" s="5">
        <f>VLOOKUP(G8614,[6]Astroflores!$G$2:$H$110,2,FALSE)</f>
        <v>540</v>
      </c>
      <c r="I8614" s="6">
        <v>440.18999062500001</v>
      </c>
      <c r="J8614" s="5">
        <v>3200</v>
      </c>
      <c r="K8614" s="6">
        <f t="shared" si="352"/>
        <v>1.2267430234687653</v>
      </c>
    </row>
    <row r="8615" spans="1:11" hidden="1">
      <c r="A8615" s="4">
        <v>2026</v>
      </c>
      <c r="B8615">
        <v>28</v>
      </c>
      <c r="C8615" t="s">
        <v>10</v>
      </c>
      <c r="D8615" t="s">
        <v>11</v>
      </c>
      <c r="E8615" t="s">
        <v>38</v>
      </c>
      <c r="F8615" t="s">
        <v>40</v>
      </c>
      <c r="G8615" t="str">
        <f t="shared" si="351"/>
        <v>021FLAME CLUB</v>
      </c>
      <c r="H8615" s="5">
        <f>VLOOKUP(G8615,[6]Astroflores!$G$2:$H$110,2,FALSE)</f>
        <v>1450</v>
      </c>
      <c r="I8615" s="6">
        <v>880.38</v>
      </c>
      <c r="J8615" s="5">
        <v>6400</v>
      </c>
      <c r="K8615" s="6">
        <f t="shared" si="352"/>
        <v>1.6470160612462801</v>
      </c>
    </row>
    <row r="8616" spans="1:11" hidden="1">
      <c r="A8616" s="4">
        <v>2026</v>
      </c>
      <c r="B8616">
        <v>28</v>
      </c>
      <c r="C8616" t="s">
        <v>10</v>
      </c>
      <c r="D8616" t="s">
        <v>11</v>
      </c>
      <c r="E8616" t="s">
        <v>38</v>
      </c>
      <c r="F8616" t="s">
        <v>41</v>
      </c>
      <c r="G8616" t="str">
        <f t="shared" si="351"/>
        <v>021KELLY</v>
      </c>
      <c r="H8616" s="5">
        <f>VLOOKUP(G8616,[6]Astroflores!$G$2:$H$110,2,FALSE)</f>
        <v>450</v>
      </c>
      <c r="I8616" s="6">
        <v>330.14249999999998</v>
      </c>
      <c r="J8616" s="5">
        <v>2400</v>
      </c>
      <c r="K8616" s="6">
        <f t="shared" si="352"/>
        <v>1.3630477748245076</v>
      </c>
    </row>
    <row r="8617" spans="1:11" hidden="1">
      <c r="A8617" s="4">
        <v>2026</v>
      </c>
      <c r="B8617">
        <v>28</v>
      </c>
      <c r="C8617" t="s">
        <v>10</v>
      </c>
      <c r="D8617" t="s">
        <v>11</v>
      </c>
      <c r="E8617" t="s">
        <v>38</v>
      </c>
      <c r="F8617" t="s">
        <v>42</v>
      </c>
      <c r="G8617" t="str">
        <f t="shared" si="351"/>
        <v>021LEILA</v>
      </c>
      <c r="H8617" s="5">
        <f>VLOOKUP(G8617,[6]Astroflores!$G$2:$H$110,2,FALSE)</f>
        <v>700</v>
      </c>
      <c r="I8617" s="6">
        <v>1650.7125000000001</v>
      </c>
      <c r="J8617" s="5">
        <v>12000</v>
      </c>
      <c r="K8617" s="6">
        <f t="shared" si="352"/>
        <v>0.42405930772318012</v>
      </c>
    </row>
    <row r="8618" spans="1:11" hidden="1">
      <c r="A8618" s="4">
        <v>2026</v>
      </c>
      <c r="B8618">
        <v>28</v>
      </c>
      <c r="C8618" t="s">
        <v>10</v>
      </c>
      <c r="D8618" t="s">
        <v>11</v>
      </c>
      <c r="E8618" t="s">
        <v>38</v>
      </c>
      <c r="F8618" t="s">
        <v>21</v>
      </c>
      <c r="G8618" t="str">
        <f t="shared" si="351"/>
        <v>021SNOW BUBBLES</v>
      </c>
      <c r="H8618" s="5">
        <f>VLOOKUP(G8618,[6]Astroflores!$G$2:$H$110,2,FALSE)</f>
        <v>2440</v>
      </c>
      <c r="I8618" s="6">
        <v>1287.0000000000018</v>
      </c>
      <c r="J8618" s="5">
        <v>9400</v>
      </c>
      <c r="K8618" s="6">
        <f t="shared" si="352"/>
        <v>1.8958818958818933</v>
      </c>
    </row>
    <row r="8619" spans="1:11" hidden="1">
      <c r="A8619" s="4">
        <v>2026</v>
      </c>
      <c r="B8619">
        <v>28</v>
      </c>
      <c r="C8619" t="s">
        <v>10</v>
      </c>
      <c r="D8619" t="s">
        <v>11</v>
      </c>
      <c r="E8619" t="s">
        <v>43</v>
      </c>
      <c r="F8619" t="s">
        <v>24</v>
      </c>
      <c r="G8619" t="str">
        <f t="shared" si="351"/>
        <v>022FRUITY BUBBLES</v>
      </c>
      <c r="H8619" s="5">
        <f>VLOOKUP(G8619,[6]Astroflores!$G$2:$H$110,2,FALSE)</f>
        <v>4650</v>
      </c>
      <c r="I8619" s="6">
        <v>2641.14</v>
      </c>
      <c r="J8619" s="5">
        <v>19200</v>
      </c>
      <c r="K8619" s="6">
        <f t="shared" si="352"/>
        <v>1.760603375814989</v>
      </c>
    </row>
    <row r="8620" spans="1:11" hidden="1">
      <c r="A8620" s="4">
        <v>2026</v>
      </c>
      <c r="B8620">
        <v>28</v>
      </c>
      <c r="C8620" t="s">
        <v>10</v>
      </c>
      <c r="D8620" t="s">
        <v>11</v>
      </c>
      <c r="E8620" t="s">
        <v>43</v>
      </c>
      <c r="F8620" t="s">
        <v>28</v>
      </c>
      <c r="G8620" t="str">
        <f t="shared" si="351"/>
        <v>022GOOD PEACH</v>
      </c>
      <c r="H8620" s="5">
        <f>VLOOKUP(G8620,[6]Astroflores!$G$2:$H$110,2,FALSE)</f>
        <v>2070</v>
      </c>
      <c r="I8620" s="6">
        <v>880.38</v>
      </c>
      <c r="J8620" s="5">
        <v>6400</v>
      </c>
      <c r="K8620" s="6">
        <f t="shared" si="352"/>
        <v>2.3512574115722757</v>
      </c>
    </row>
    <row r="8621" spans="1:11" hidden="1">
      <c r="A8621" s="4">
        <v>2026</v>
      </c>
      <c r="B8621">
        <v>28</v>
      </c>
      <c r="C8621" t="s">
        <v>10</v>
      </c>
      <c r="D8621" t="s">
        <v>11</v>
      </c>
      <c r="E8621" t="s">
        <v>43</v>
      </c>
      <c r="F8621" t="s">
        <v>44</v>
      </c>
      <c r="G8621" t="str">
        <f t="shared" ref="G8621:G8678" si="353">+E8621&amp;F8621</f>
        <v>022MIRABEL</v>
      </c>
      <c r="H8621" s="5">
        <f>VLOOKUP(G8621,[6]Astroflores!$G$2:$H$110,2,FALSE)</f>
        <v>2180</v>
      </c>
      <c r="I8621" s="6">
        <v>880.38</v>
      </c>
      <c r="J8621" s="5">
        <v>6400</v>
      </c>
      <c r="K8621" s="6">
        <f t="shared" si="352"/>
        <v>2.4762034575978555</v>
      </c>
    </row>
    <row r="8622" spans="1:11" hidden="1">
      <c r="A8622" s="4">
        <v>2026</v>
      </c>
      <c r="B8622">
        <v>28</v>
      </c>
      <c r="C8622" t="s">
        <v>10</v>
      </c>
      <c r="D8622" t="s">
        <v>11</v>
      </c>
      <c r="E8622" t="s">
        <v>47</v>
      </c>
      <c r="F8622" t="s">
        <v>44</v>
      </c>
      <c r="G8622" t="str">
        <f t="shared" si="353"/>
        <v>030MIRABEL</v>
      </c>
      <c r="H8622" s="5">
        <f>VLOOKUP(G8622,[6]Astroflores!$G$2:$H$110,2,FALSE)</f>
        <v>4980</v>
      </c>
      <c r="I8622" s="6">
        <v>2413.6749943750001</v>
      </c>
      <c r="J8622" s="5">
        <v>17600</v>
      </c>
      <c r="K8622" s="6">
        <f t="shared" si="352"/>
        <v>2.0632438135232567</v>
      </c>
    </row>
    <row r="8623" spans="1:11" hidden="1">
      <c r="A8623" s="4">
        <v>2026</v>
      </c>
      <c r="B8623">
        <v>28</v>
      </c>
      <c r="C8623" t="s">
        <v>10</v>
      </c>
      <c r="D8623" t="s">
        <v>11</v>
      </c>
      <c r="E8623" t="s">
        <v>47</v>
      </c>
      <c r="F8623" t="s">
        <v>13</v>
      </c>
      <c r="G8623" t="str">
        <f t="shared" si="353"/>
        <v>030SOMERSET</v>
      </c>
      <c r="H8623" s="5">
        <f>VLOOKUP(G8623,[6]Astroflores!$G$2:$H$110,2,FALSE)</f>
        <v>4000</v>
      </c>
      <c r="I8623" s="6">
        <v>1645.6875</v>
      </c>
      <c r="J8623" s="5">
        <v>12000</v>
      </c>
      <c r="K8623" s="6">
        <f t="shared" si="352"/>
        <v>2.4305951160229387</v>
      </c>
    </row>
    <row r="8624" spans="1:11" hidden="1">
      <c r="A8624" s="4">
        <v>2026</v>
      </c>
      <c r="B8624">
        <v>28</v>
      </c>
      <c r="C8624" t="s">
        <v>10</v>
      </c>
      <c r="D8624" t="s">
        <v>11</v>
      </c>
      <c r="E8624" t="s">
        <v>48</v>
      </c>
      <c r="F8624" t="s">
        <v>49</v>
      </c>
      <c r="G8624" t="str">
        <f t="shared" si="353"/>
        <v>03182989</v>
      </c>
      <c r="H8624" s="5">
        <f>VLOOKUP(G8624,[6]Astroflores!$G$2:$H$110,2,FALSE)</f>
        <v>780</v>
      </c>
      <c r="I8624" s="6">
        <v>726.32013058333712</v>
      </c>
      <c r="J8624" s="5">
        <v>5712</v>
      </c>
      <c r="K8624" s="6">
        <f t="shared" si="352"/>
        <v>1.0739066248563844</v>
      </c>
    </row>
    <row r="8625" spans="1:11" hidden="1">
      <c r="A8625" s="4">
        <v>2026</v>
      </c>
      <c r="B8625">
        <v>28</v>
      </c>
      <c r="C8625" t="s">
        <v>10</v>
      </c>
      <c r="D8625" t="s">
        <v>11</v>
      </c>
      <c r="E8625" t="s">
        <v>48</v>
      </c>
      <c r="F8625" t="s">
        <v>34</v>
      </c>
      <c r="G8625" t="str">
        <f t="shared" si="353"/>
        <v>031RUBICON</v>
      </c>
      <c r="H8625" s="5">
        <f>VLOOKUP(G8625,[6]Astroflores!$G$2:$H$110,2,FALSE)</f>
        <v>2700</v>
      </c>
      <c r="I8625" s="6">
        <v>924.39958333667107</v>
      </c>
      <c r="J8625" s="5">
        <v>6720</v>
      </c>
      <c r="K8625" s="6">
        <f t="shared" si="352"/>
        <v>2.9208148171748429</v>
      </c>
    </row>
    <row r="8626" spans="1:11" hidden="1">
      <c r="A8626" s="4">
        <v>2026</v>
      </c>
      <c r="B8626">
        <v>28</v>
      </c>
      <c r="C8626" t="s">
        <v>10</v>
      </c>
      <c r="D8626" t="s">
        <v>11</v>
      </c>
      <c r="E8626" t="s">
        <v>48</v>
      </c>
      <c r="F8626" t="s">
        <v>13</v>
      </c>
      <c r="G8626" t="str">
        <f t="shared" si="353"/>
        <v>031SOMERSET</v>
      </c>
      <c r="H8626" s="5">
        <f>VLOOKUP(G8626,[6]Astroflores!$G$2:$H$110,2,FALSE)</f>
        <v>960</v>
      </c>
      <c r="I8626" s="6">
        <v>1122.485208333339</v>
      </c>
      <c r="J8626" s="5">
        <v>8160</v>
      </c>
      <c r="K8626" s="6">
        <f t="shared" si="352"/>
        <v>0.8552451229405541</v>
      </c>
    </row>
    <row r="8627" spans="1:11" hidden="1">
      <c r="A8627" s="4">
        <v>2026</v>
      </c>
      <c r="B8627">
        <v>28</v>
      </c>
      <c r="C8627" t="s">
        <v>10</v>
      </c>
      <c r="D8627" t="s">
        <v>11</v>
      </c>
      <c r="E8627" t="s">
        <v>48</v>
      </c>
      <c r="F8627" t="s">
        <v>50</v>
      </c>
      <c r="G8627" t="str">
        <f t="shared" si="353"/>
        <v>031VELVET BLOSSOMS</v>
      </c>
      <c r="H8627" s="5">
        <f>VLOOKUP(G8627,[6]Astroflores!$G$2:$H$110,2,FALSE)</f>
        <v>760</v>
      </c>
      <c r="I8627" s="6">
        <v>396.17125000000198</v>
      </c>
      <c r="J8627" s="5">
        <v>2880</v>
      </c>
      <c r="K8627" s="6">
        <f t="shared" si="352"/>
        <v>1.9183623243736041</v>
      </c>
    </row>
    <row r="8628" spans="1:11" hidden="1">
      <c r="A8628" s="4">
        <v>2026</v>
      </c>
      <c r="B8628">
        <v>28</v>
      </c>
      <c r="C8628" t="s">
        <v>10</v>
      </c>
      <c r="D8628" t="s">
        <v>11</v>
      </c>
      <c r="E8628" t="s">
        <v>51</v>
      </c>
      <c r="F8628" t="s">
        <v>17</v>
      </c>
      <c r="G8628" t="str">
        <f t="shared" si="353"/>
        <v>032ELBA</v>
      </c>
      <c r="H8628" s="5">
        <f>VLOOKUP(G8628,[6]Astroflores!$G$2:$H$110,2,FALSE)</f>
        <v>3090</v>
      </c>
      <c r="I8628" s="6">
        <v>1535.9749999999999</v>
      </c>
      <c r="J8628" s="5">
        <v>11200</v>
      </c>
      <c r="K8628" s="6">
        <f t="shared" si="352"/>
        <v>2.0117514933511287</v>
      </c>
    </row>
    <row r="8629" spans="1:11" hidden="1">
      <c r="A8629" s="4">
        <v>2026</v>
      </c>
      <c r="B8629">
        <v>28</v>
      </c>
      <c r="C8629" t="s">
        <v>10</v>
      </c>
      <c r="D8629" t="s">
        <v>11</v>
      </c>
      <c r="E8629" t="s">
        <v>51</v>
      </c>
      <c r="F8629" t="s">
        <v>44</v>
      </c>
      <c r="G8629" t="str">
        <f t="shared" si="353"/>
        <v>032MIRABEL</v>
      </c>
      <c r="H8629" s="5">
        <f>VLOOKUP(G8629,[6]Astroflores!$G$2:$H$110,2,FALSE)</f>
        <v>1880</v>
      </c>
      <c r="I8629" s="6">
        <v>1535.9749999999999</v>
      </c>
      <c r="J8629" s="5">
        <v>11200</v>
      </c>
      <c r="K8629" s="6">
        <f t="shared" si="352"/>
        <v>1.2239782548544085</v>
      </c>
    </row>
    <row r="8630" spans="1:11" hidden="1">
      <c r="A8630" s="4">
        <v>2026</v>
      </c>
      <c r="B8630">
        <v>28</v>
      </c>
      <c r="C8630" t="s">
        <v>10</v>
      </c>
      <c r="D8630" t="s">
        <v>11</v>
      </c>
      <c r="E8630" t="s">
        <v>52</v>
      </c>
      <c r="F8630" t="s">
        <v>53</v>
      </c>
      <c r="G8630" t="str">
        <f t="shared" si="353"/>
        <v>033CREAMY FOLIES</v>
      </c>
      <c r="H8630" s="5">
        <f>VLOOKUP(G8630,[6]Astroflores!$G$2:$H$110,2,FALSE)</f>
        <v>780</v>
      </c>
      <c r="I8630" s="6">
        <v>594.25687500000299</v>
      </c>
      <c r="J8630" s="5">
        <v>4320</v>
      </c>
      <c r="K8630" s="6">
        <f t="shared" si="352"/>
        <v>1.312563695624045</v>
      </c>
    </row>
    <row r="8631" spans="1:11" hidden="1">
      <c r="A8631" s="4">
        <v>2026</v>
      </c>
      <c r="B8631">
        <v>28</v>
      </c>
      <c r="C8631" t="s">
        <v>10</v>
      </c>
      <c r="D8631" t="s">
        <v>11</v>
      </c>
      <c r="E8631" t="s">
        <v>52</v>
      </c>
      <c r="F8631" t="s">
        <v>18</v>
      </c>
      <c r="G8631" t="str">
        <f t="shared" si="353"/>
        <v>033HOT BUBBLES</v>
      </c>
      <c r="H8631" s="5">
        <f>VLOOKUP(G8631,[6]Astroflores!$G$2:$H$110,2,FALSE)</f>
        <v>5780</v>
      </c>
      <c r="I8631" s="6">
        <v>2575.1131250013459</v>
      </c>
      <c r="J8631" s="5">
        <v>18720</v>
      </c>
      <c r="K8631" s="6">
        <f t="shared" si="352"/>
        <v>2.24456158600682</v>
      </c>
    </row>
    <row r="8632" spans="1:11" hidden="1">
      <c r="A8632" s="4">
        <v>2026</v>
      </c>
      <c r="B8632">
        <v>28</v>
      </c>
      <c r="C8632" t="s">
        <v>54</v>
      </c>
      <c r="D8632" t="s">
        <v>11</v>
      </c>
      <c r="E8632" t="s">
        <v>55</v>
      </c>
      <c r="F8632" t="s">
        <v>56</v>
      </c>
      <c r="G8632" t="str">
        <f t="shared" si="353"/>
        <v>001BELIEVE IN PINK</v>
      </c>
      <c r="H8632" s="5">
        <f>VLOOKUP(G8632,[6]Astroflores!$G$2:$H$110,2,FALSE)</f>
        <v>1350</v>
      </c>
      <c r="I8632" s="6">
        <v>528.37931032368999</v>
      </c>
      <c r="J8632" s="5">
        <v>4000</v>
      </c>
      <c r="K8632" s="6">
        <f t="shared" ref="K8632:K8637" si="354">IFERROR(H8632/I8632,"")</f>
        <v>2.5549827058386856</v>
      </c>
    </row>
    <row r="8633" spans="1:11" hidden="1">
      <c r="A8633" s="4">
        <v>2026</v>
      </c>
      <c r="B8633">
        <v>28</v>
      </c>
      <c r="C8633" t="s">
        <v>54</v>
      </c>
      <c r="D8633" t="s">
        <v>11</v>
      </c>
      <c r="E8633" t="s">
        <v>55</v>
      </c>
      <c r="F8633" t="s">
        <v>57</v>
      </c>
      <c r="G8633" t="str">
        <f t="shared" si="353"/>
        <v>001EXPLORER</v>
      </c>
      <c r="H8633" s="5">
        <f>VLOOKUP(G8633,[6]Astroflores!$G$2:$H$110,2,FALSE)</f>
        <v>4000</v>
      </c>
      <c r="I8633" s="6">
        <v>2272.0310343918732</v>
      </c>
      <c r="J8633" s="5">
        <v>17200</v>
      </c>
      <c r="K8633" s="6">
        <f t="shared" si="354"/>
        <v>1.7605393321885814</v>
      </c>
    </row>
    <row r="8634" spans="1:11" hidden="1">
      <c r="A8634" s="4">
        <v>2026</v>
      </c>
      <c r="B8634">
        <v>28</v>
      </c>
      <c r="C8634" t="s">
        <v>54</v>
      </c>
      <c r="D8634" t="s">
        <v>11</v>
      </c>
      <c r="E8634" t="s">
        <v>55</v>
      </c>
      <c r="F8634" t="s">
        <v>58</v>
      </c>
      <c r="G8634" t="str">
        <f t="shared" si="353"/>
        <v>001GRACE KELLY</v>
      </c>
      <c r="H8634" s="5">
        <f>VLOOKUP(G8634,[6]Astroflores!$G$2:$H$110,2,FALSE)</f>
        <v>2430</v>
      </c>
      <c r="I8634" s="6">
        <v>1162.4344827121224</v>
      </c>
      <c r="J8634" s="5">
        <v>8800</v>
      </c>
      <c r="K8634" s="6">
        <f t="shared" si="354"/>
        <v>2.0904403956861892</v>
      </c>
    </row>
    <row r="8635" spans="1:11" hidden="1">
      <c r="A8635" s="4">
        <v>2026</v>
      </c>
      <c r="B8635">
        <v>28</v>
      </c>
      <c r="C8635" t="s">
        <v>54</v>
      </c>
      <c r="D8635" t="s">
        <v>11</v>
      </c>
      <c r="E8635" t="s">
        <v>55</v>
      </c>
      <c r="F8635" t="s">
        <v>60</v>
      </c>
      <c r="G8635" t="str">
        <f t="shared" si="353"/>
        <v>001LIGHT HOUSE</v>
      </c>
      <c r="H8635" s="5">
        <f>VLOOKUP(G8635,[6]Astroflores!$G$2:$H$110,2,FALSE)</f>
        <v>2850</v>
      </c>
      <c r="I8635" s="6">
        <v>1056.7586206473827</v>
      </c>
      <c r="J8635" s="5">
        <v>8000</v>
      </c>
      <c r="K8635" s="6">
        <f t="shared" si="354"/>
        <v>2.6969261894963834</v>
      </c>
    </row>
    <row r="8636" spans="1:11" hidden="1">
      <c r="A8636" s="4">
        <v>2026</v>
      </c>
      <c r="B8636">
        <v>28</v>
      </c>
      <c r="C8636" t="s">
        <v>54</v>
      </c>
      <c r="D8636" t="s">
        <v>11</v>
      </c>
      <c r="E8636" t="s">
        <v>55</v>
      </c>
      <c r="F8636" t="s">
        <v>61</v>
      </c>
      <c r="G8636" t="str">
        <f t="shared" si="353"/>
        <v>001LUMIA</v>
      </c>
      <c r="H8636" s="5">
        <f>VLOOKUP(G8636,[6]Astroflores!$G$2:$H$110,2,FALSE)</f>
        <v>3300</v>
      </c>
      <c r="I8636" s="6">
        <v>1109.596551679753</v>
      </c>
      <c r="J8636" s="5">
        <v>8400</v>
      </c>
      <c r="K8636" s="6">
        <f t="shared" si="354"/>
        <v>2.9740539433042792</v>
      </c>
    </row>
    <row r="8637" spans="1:11" hidden="1">
      <c r="A8637" s="4">
        <v>2026</v>
      </c>
      <c r="B8637">
        <v>28</v>
      </c>
      <c r="C8637" t="s">
        <v>54</v>
      </c>
      <c r="D8637" t="s">
        <v>11</v>
      </c>
      <c r="E8637" t="s">
        <v>55</v>
      </c>
      <c r="F8637" t="s">
        <v>62</v>
      </c>
      <c r="G8637" t="str">
        <f t="shared" si="353"/>
        <v>001MOMENTUM</v>
      </c>
      <c r="H8637" s="5">
        <f>VLOOKUP(G8637,[6]Astroflores!$G$2:$H$110,2,FALSE)</f>
        <v>5275</v>
      </c>
      <c r="I8637" s="6">
        <v>1902.1655171652881</v>
      </c>
      <c r="J8637" s="5">
        <v>14400</v>
      </c>
      <c r="K8637" s="6">
        <f t="shared" si="354"/>
        <v>2.773155097386633</v>
      </c>
    </row>
    <row r="8638" spans="1:11" hidden="1">
      <c r="A8638" s="4">
        <v>2026</v>
      </c>
      <c r="B8638">
        <v>28</v>
      </c>
      <c r="C8638" t="s">
        <v>54</v>
      </c>
      <c r="D8638" t="s">
        <v>11</v>
      </c>
      <c r="E8638" t="s">
        <v>12</v>
      </c>
      <c r="F8638" t="s">
        <v>63</v>
      </c>
      <c r="G8638" t="str">
        <f t="shared" si="353"/>
        <v>002SUMMER ROMANCE</v>
      </c>
      <c r="H8638" s="5">
        <f>VLOOKUP(G8638,[6]Astroflores!$G$2:$H$110,2,FALSE)</f>
        <v>1275</v>
      </c>
      <c r="I8638" s="6">
        <v>951.10714281909407</v>
      </c>
      <c r="J8638" s="5">
        <v>7200</v>
      </c>
      <c r="K8638" s="6">
        <f t="shared" ref="K8638:K8697" si="355">+H8638/I8638</f>
        <v>1.3405429762843366</v>
      </c>
    </row>
    <row r="8639" spans="1:11" hidden="1">
      <c r="A8639" s="4">
        <v>2026</v>
      </c>
      <c r="B8639">
        <v>28</v>
      </c>
      <c r="C8639" t="s">
        <v>54</v>
      </c>
      <c r="D8639" t="s">
        <v>11</v>
      </c>
      <c r="E8639" t="s">
        <v>12</v>
      </c>
      <c r="F8639" t="s">
        <v>64</v>
      </c>
      <c r="G8639" t="str">
        <f t="shared" si="353"/>
        <v>002SWEETNESS</v>
      </c>
      <c r="H8639" s="5">
        <f>VLOOKUP(G8639,[6]Astroflores!$G$2:$H$110,2,FALSE)</f>
        <v>6870</v>
      </c>
      <c r="I8639" s="6">
        <v>3804.4285712763772</v>
      </c>
      <c r="J8639" s="5">
        <v>28800</v>
      </c>
      <c r="K8639" s="6">
        <f t="shared" si="355"/>
        <v>1.8057902445241942</v>
      </c>
    </row>
    <row r="8640" spans="1:11" hidden="1">
      <c r="A8640" s="4">
        <v>2026</v>
      </c>
      <c r="B8640">
        <v>28</v>
      </c>
      <c r="C8640" t="s">
        <v>54</v>
      </c>
      <c r="D8640" t="s">
        <v>11</v>
      </c>
      <c r="E8640" t="s">
        <v>65</v>
      </c>
      <c r="F8640" t="s">
        <v>66</v>
      </c>
      <c r="G8640" t="str">
        <f t="shared" si="353"/>
        <v>003CABARET</v>
      </c>
      <c r="H8640" s="5">
        <f>VLOOKUP(G8640,[6]Astroflores!$G$2:$H$110,2,FALSE)</f>
        <v>6870</v>
      </c>
      <c r="I8640" s="6">
        <v>2641.8965516184649</v>
      </c>
      <c r="J8640" s="5">
        <v>20000</v>
      </c>
      <c r="K8640" s="6">
        <f t="shared" si="355"/>
        <v>2.6004046206091362</v>
      </c>
    </row>
    <row r="8641" spans="1:11" hidden="1">
      <c r="A8641" s="4">
        <v>2026</v>
      </c>
      <c r="B8641">
        <v>28</v>
      </c>
      <c r="C8641" t="s">
        <v>54</v>
      </c>
      <c r="D8641" t="s">
        <v>11</v>
      </c>
      <c r="E8641" t="s">
        <v>65</v>
      </c>
      <c r="F8641" t="s">
        <v>67</v>
      </c>
      <c r="G8641" t="str">
        <f t="shared" si="353"/>
        <v>003DEEP PURPLE</v>
      </c>
      <c r="H8641" s="5">
        <f>VLOOKUP(G8641,[6]Astroflores!$G$2:$H$110,2,FALSE)</f>
        <v>8820</v>
      </c>
      <c r="I8641" s="6">
        <v>3592.9793102010913</v>
      </c>
      <c r="J8641" s="5">
        <v>26044</v>
      </c>
      <c r="K8641" s="6">
        <f t="shared" si="355"/>
        <v>2.454787305609718</v>
      </c>
    </row>
    <row r="8642" spans="1:11" hidden="1">
      <c r="A8642" s="4">
        <v>2026</v>
      </c>
      <c r="B8642">
        <v>28</v>
      </c>
      <c r="C8642" t="s">
        <v>54</v>
      </c>
      <c r="D8642" t="s">
        <v>11</v>
      </c>
      <c r="E8642" t="s">
        <v>65</v>
      </c>
      <c r="F8642" t="s">
        <v>57</v>
      </c>
      <c r="G8642" t="str">
        <f t="shared" si="353"/>
        <v>003EXPLORER</v>
      </c>
      <c r="H8642" s="5">
        <f>VLOOKUP(G8642,[6]Astroflores!$G$2:$H$110,2,FALSE)</f>
        <v>2125</v>
      </c>
      <c r="I8642" s="6">
        <v>1268.1103447768633</v>
      </c>
      <c r="J8642" s="5">
        <v>9600</v>
      </c>
      <c r="K8642" s="6">
        <f t="shared" si="355"/>
        <v>1.675721682070116</v>
      </c>
    </row>
    <row r="8643" spans="1:11" hidden="1">
      <c r="A8643" s="4">
        <v>2026</v>
      </c>
      <c r="B8643">
        <v>28</v>
      </c>
      <c r="C8643" t="s">
        <v>54</v>
      </c>
      <c r="D8643" t="s">
        <v>11</v>
      </c>
      <c r="E8643" t="s">
        <v>65</v>
      </c>
      <c r="F8643" t="s">
        <v>68</v>
      </c>
      <c r="G8643" t="str">
        <f t="shared" si="353"/>
        <v>003JOCKER</v>
      </c>
      <c r="H8643" s="5">
        <f>VLOOKUP(G8643,[6]Astroflores!$G$2:$H$110,2,FALSE)</f>
        <v>1125</v>
      </c>
      <c r="I8643" s="6">
        <v>528.37931032368999</v>
      </c>
      <c r="J8643" s="5">
        <v>4000</v>
      </c>
      <c r="K8643" s="6">
        <f t="shared" si="355"/>
        <v>2.1291522548655712</v>
      </c>
    </row>
    <row r="8644" spans="1:11" hidden="1">
      <c r="A8644" s="4">
        <v>2026</v>
      </c>
      <c r="B8644">
        <v>28</v>
      </c>
      <c r="C8644" t="s">
        <v>54</v>
      </c>
      <c r="D8644" t="s">
        <v>11</v>
      </c>
      <c r="E8644" t="s">
        <v>65</v>
      </c>
      <c r="F8644" t="s">
        <v>69</v>
      </c>
      <c r="G8644" t="str">
        <f t="shared" si="353"/>
        <v>003QUICKSAND</v>
      </c>
      <c r="H8644" s="5">
        <f>VLOOKUP(G8644,[6]Astroflores!$G$2:$H$110,2,FALSE)</f>
        <v>1860</v>
      </c>
      <c r="I8644" s="6">
        <v>1162.4344827121247</v>
      </c>
      <c r="J8644" s="5">
        <v>8800</v>
      </c>
      <c r="K8644" s="6">
        <f t="shared" si="355"/>
        <v>1.6000901794141171</v>
      </c>
    </row>
    <row r="8645" spans="1:11" hidden="1">
      <c r="A8645" s="4">
        <v>2026</v>
      </c>
      <c r="B8645">
        <v>28</v>
      </c>
      <c r="C8645" t="s">
        <v>54</v>
      </c>
      <c r="D8645" t="s">
        <v>11</v>
      </c>
      <c r="E8645" t="s">
        <v>14</v>
      </c>
      <c r="F8645" t="s">
        <v>70</v>
      </c>
      <c r="G8645" t="str">
        <f t="shared" si="353"/>
        <v>004COTOPAXI</v>
      </c>
      <c r="H8645" s="5">
        <f>VLOOKUP(G8645,[6]Astroflores!$G$2:$H$110,2,FALSE)</f>
        <v>900</v>
      </c>
      <c r="I8645" s="6">
        <v>528.3915024419166</v>
      </c>
      <c r="J8645" s="5">
        <v>4000</v>
      </c>
      <c r="K8645" s="6">
        <f t="shared" si="355"/>
        <v>1.7032825014042168</v>
      </c>
    </row>
    <row r="8646" spans="1:11" hidden="1">
      <c r="A8646" s="4">
        <v>2026</v>
      </c>
      <c r="B8646">
        <v>28</v>
      </c>
      <c r="C8646" t="s">
        <v>54</v>
      </c>
      <c r="D8646" t="s">
        <v>11</v>
      </c>
      <c r="E8646" t="s">
        <v>14</v>
      </c>
      <c r="F8646" t="s">
        <v>67</v>
      </c>
      <c r="G8646" t="str">
        <f t="shared" si="353"/>
        <v>004DEEP PURPLE</v>
      </c>
      <c r="H8646" s="5">
        <f>VLOOKUP(G8646,[6]Astroflores!$G$2:$H$110,2,FALSE)</f>
        <v>12060</v>
      </c>
      <c r="I8646" s="6">
        <v>3910.1071427007282</v>
      </c>
      <c r="J8646" s="5">
        <v>29260</v>
      </c>
      <c r="K8646" s="6">
        <f t="shared" si="355"/>
        <v>3.0843144599025245</v>
      </c>
    </row>
    <row r="8647" spans="1:11" hidden="1">
      <c r="A8647" s="4">
        <v>2026</v>
      </c>
      <c r="B8647">
        <v>28</v>
      </c>
      <c r="C8647" t="s">
        <v>54</v>
      </c>
      <c r="D8647" t="s">
        <v>11</v>
      </c>
      <c r="E8647" t="s">
        <v>14</v>
      </c>
      <c r="F8647" t="s">
        <v>71</v>
      </c>
      <c r="G8647" t="str">
        <f t="shared" si="353"/>
        <v>004HOT EXPLORER</v>
      </c>
      <c r="H8647" s="5">
        <f>VLOOKUP(G8647,[6]Astroflores!$G$2:$H$110,2,FALSE)</f>
        <v>1675</v>
      </c>
      <c r="I8647" s="6">
        <v>1902.2142856381945</v>
      </c>
      <c r="J8647" s="5">
        <v>14400</v>
      </c>
      <c r="K8647" s="6">
        <f t="shared" si="355"/>
        <v>0.88055273932402212</v>
      </c>
    </row>
    <row r="8648" spans="1:11" hidden="1">
      <c r="A8648" s="4">
        <v>2026</v>
      </c>
      <c r="B8648">
        <v>28</v>
      </c>
      <c r="C8648" t="s">
        <v>54</v>
      </c>
      <c r="D8648" t="s">
        <v>11</v>
      </c>
      <c r="E8648" t="s">
        <v>14</v>
      </c>
      <c r="F8648" t="s">
        <v>72</v>
      </c>
      <c r="G8648" t="str">
        <f t="shared" si="353"/>
        <v>004HOT MERENGUE</v>
      </c>
      <c r="H8648" s="5">
        <f>VLOOKUP(G8648,[6]Astroflores!$G$2:$H$110,2,FALSE)</f>
        <v>2610</v>
      </c>
      <c r="I8648" s="6">
        <v>1162.4642856677858</v>
      </c>
      <c r="J8648" s="5">
        <v>8800</v>
      </c>
      <c r="K8648" s="6">
        <f t="shared" si="355"/>
        <v>2.2452302683008165</v>
      </c>
    </row>
    <row r="8649" spans="1:11" hidden="1">
      <c r="A8649" s="4">
        <v>2026</v>
      </c>
      <c r="B8649">
        <v>28</v>
      </c>
      <c r="C8649" t="s">
        <v>54</v>
      </c>
      <c r="D8649" t="s">
        <v>11</v>
      </c>
      <c r="E8649" t="s">
        <v>14</v>
      </c>
      <c r="F8649" t="s">
        <v>64</v>
      </c>
      <c r="G8649" t="str">
        <f t="shared" si="353"/>
        <v>004SWEETNESS</v>
      </c>
      <c r="H8649" s="5">
        <f>VLOOKUP(G8649,[6]Astroflores!$G$2:$H$110,2,FALSE)</f>
        <v>540</v>
      </c>
      <c r="I8649" s="6">
        <v>317.03571427303262</v>
      </c>
      <c r="J8649" s="5">
        <v>2400</v>
      </c>
      <c r="K8649" s="6">
        <f t="shared" si="355"/>
        <v>1.7032781345730328</v>
      </c>
    </row>
    <row r="8650" spans="1:11" hidden="1">
      <c r="A8650" s="4">
        <v>2026</v>
      </c>
      <c r="B8650">
        <v>28</v>
      </c>
      <c r="C8650" t="s">
        <v>54</v>
      </c>
      <c r="D8650" t="s">
        <v>11</v>
      </c>
      <c r="E8650" t="s">
        <v>16</v>
      </c>
      <c r="F8650" t="s">
        <v>57</v>
      </c>
      <c r="G8650" t="str">
        <f t="shared" si="353"/>
        <v>005EXPLORER</v>
      </c>
      <c r="H8650" s="5">
        <f>VLOOKUP(G8650,[6]Astroflores!$G$2:$H$110,2,FALSE)</f>
        <v>1425</v>
      </c>
      <c r="I8650" s="6">
        <v>951.10714281875391</v>
      </c>
      <c r="J8650" s="5">
        <v>7200</v>
      </c>
      <c r="K8650" s="6">
        <f t="shared" si="355"/>
        <v>1.498253914671265</v>
      </c>
    </row>
    <row r="8651" spans="1:11" hidden="1">
      <c r="A8651" s="4">
        <v>2026</v>
      </c>
      <c r="B8651">
        <v>28</v>
      </c>
      <c r="C8651" t="s">
        <v>54</v>
      </c>
      <c r="D8651" t="s">
        <v>11</v>
      </c>
      <c r="E8651" t="s">
        <v>16</v>
      </c>
      <c r="F8651" t="s">
        <v>73</v>
      </c>
      <c r="G8651" t="str">
        <f t="shared" si="353"/>
        <v>005GOLDFINCH</v>
      </c>
      <c r="H8651" s="5">
        <f>VLOOKUP(G8651,[6]Astroflores!$G$2:$H$110,2,FALSE)</f>
        <v>900</v>
      </c>
      <c r="I8651" s="6">
        <v>898.26785710660101</v>
      </c>
      <c r="J8651" s="5">
        <v>6800</v>
      </c>
      <c r="K8651" s="6">
        <f t="shared" si="355"/>
        <v>1.0019283144550872</v>
      </c>
    </row>
    <row r="8652" spans="1:11" hidden="1">
      <c r="A8652" s="4">
        <v>2026</v>
      </c>
      <c r="B8652">
        <v>28</v>
      </c>
      <c r="C8652" t="s">
        <v>54</v>
      </c>
      <c r="D8652" t="s">
        <v>11</v>
      </c>
      <c r="E8652" t="s">
        <v>16</v>
      </c>
      <c r="F8652" t="s">
        <v>68</v>
      </c>
      <c r="G8652" t="str">
        <f t="shared" si="353"/>
        <v>005JOCKER</v>
      </c>
      <c r="H8652" s="5">
        <f>VLOOKUP(G8652,[6]Astroflores!$G$2:$H$110,2,FALSE)</f>
        <v>2375</v>
      </c>
      <c r="I8652" s="6">
        <v>1162.4642856673661</v>
      </c>
      <c r="J8652" s="5">
        <v>8800</v>
      </c>
      <c r="K8652" s="6">
        <f t="shared" si="355"/>
        <v>2.0430735200062702</v>
      </c>
    </row>
    <row r="8653" spans="1:11" hidden="1">
      <c r="A8653" s="4">
        <v>2026</v>
      </c>
      <c r="B8653">
        <v>28</v>
      </c>
      <c r="C8653" t="s">
        <v>54</v>
      </c>
      <c r="D8653" t="s">
        <v>11</v>
      </c>
      <c r="E8653" t="s">
        <v>16</v>
      </c>
      <c r="F8653" t="s">
        <v>74</v>
      </c>
      <c r="G8653" t="str">
        <f t="shared" si="353"/>
        <v>005VENDELA</v>
      </c>
      <c r="H8653" s="5">
        <f>VLOOKUP(G8653,[6]Astroflores!$G$2:$H$110,2,FALSE)</f>
        <v>1710</v>
      </c>
      <c r="I8653" s="6">
        <v>686.91071425798896</v>
      </c>
      <c r="J8653" s="5">
        <v>5200</v>
      </c>
      <c r="K8653" s="6">
        <f t="shared" si="355"/>
        <v>2.4894065043768712</v>
      </c>
    </row>
    <row r="8654" spans="1:11" hidden="1">
      <c r="A8654" s="4">
        <v>2026</v>
      </c>
      <c r="B8654">
        <v>28</v>
      </c>
      <c r="C8654" t="s">
        <v>54</v>
      </c>
      <c r="D8654" t="s">
        <v>11</v>
      </c>
      <c r="E8654" t="s">
        <v>75</v>
      </c>
      <c r="F8654" t="s">
        <v>76</v>
      </c>
      <c r="G8654" t="str">
        <f t="shared" si="353"/>
        <v>006ATOMIC</v>
      </c>
      <c r="H8654" s="5">
        <f>VLOOKUP(G8654,[6]Astroflores!$G$2:$H$110,2,FALSE)</f>
        <v>950</v>
      </c>
      <c r="I8654" s="6">
        <v>845.428571394752</v>
      </c>
      <c r="J8654" s="5">
        <v>6400</v>
      </c>
      <c r="K8654" s="6">
        <f t="shared" si="355"/>
        <v>1.1236904360030446</v>
      </c>
    </row>
    <row r="8655" spans="1:11" hidden="1">
      <c r="A8655" s="4">
        <v>2026</v>
      </c>
      <c r="B8655">
        <v>28</v>
      </c>
      <c r="C8655" t="s">
        <v>54</v>
      </c>
      <c r="D8655" t="s">
        <v>11</v>
      </c>
      <c r="E8655" t="s">
        <v>75</v>
      </c>
      <c r="F8655" t="s">
        <v>57</v>
      </c>
      <c r="G8655" t="str">
        <f t="shared" si="353"/>
        <v>006EXPLORER</v>
      </c>
      <c r="H8655" s="5">
        <f>VLOOKUP(G8655,[6]Astroflores!$G$2:$H$110,2,FALSE)</f>
        <v>5100</v>
      </c>
      <c r="I8655" s="6">
        <v>3910.1071427007355</v>
      </c>
      <c r="J8655" s="5">
        <v>29600</v>
      </c>
      <c r="K8655" s="6">
        <f t="shared" si="355"/>
        <v>1.3043120850334036</v>
      </c>
    </row>
    <row r="8656" spans="1:11" hidden="1">
      <c r="A8656" s="4">
        <v>2026</v>
      </c>
      <c r="B8656">
        <v>28</v>
      </c>
      <c r="C8656" t="s">
        <v>54</v>
      </c>
      <c r="D8656" t="s">
        <v>11</v>
      </c>
      <c r="E8656" t="s">
        <v>75</v>
      </c>
      <c r="F8656" t="s">
        <v>77</v>
      </c>
      <c r="G8656" t="str">
        <f t="shared" si="353"/>
        <v>006MONDIAL</v>
      </c>
      <c r="H8656" s="5">
        <f>VLOOKUP(G8656,[6]Astroflores!$G$2:$H$110,2,FALSE)</f>
        <v>9500</v>
      </c>
      <c r="I8656" s="6">
        <v>4015.7857141250793</v>
      </c>
      <c r="J8656" s="5">
        <v>30400</v>
      </c>
      <c r="K8656" s="6">
        <f t="shared" si="355"/>
        <v>2.3656640757958791</v>
      </c>
    </row>
    <row r="8657" spans="1:11" hidden="1">
      <c r="A8657" s="4">
        <v>2026</v>
      </c>
      <c r="B8657">
        <v>28</v>
      </c>
      <c r="C8657" t="s">
        <v>54</v>
      </c>
      <c r="D8657" t="s">
        <v>11</v>
      </c>
      <c r="E8657" t="s">
        <v>20</v>
      </c>
      <c r="F8657" t="s">
        <v>70</v>
      </c>
      <c r="G8657" t="str">
        <f t="shared" si="353"/>
        <v>007COTOPAXI</v>
      </c>
      <c r="H8657" s="5">
        <f>VLOOKUP(G8657,[6]Astroflores!$G$2:$H$110,2,FALSE)</f>
        <v>5850</v>
      </c>
      <c r="I8657" s="6">
        <v>2747.5751230427709</v>
      </c>
      <c r="J8657" s="5">
        <v>20800</v>
      </c>
      <c r="K8657" s="6">
        <f t="shared" si="355"/>
        <v>2.1291501553273213</v>
      </c>
    </row>
    <row r="8658" spans="1:11" hidden="1">
      <c r="A8658" s="4">
        <v>2026</v>
      </c>
      <c r="B8658">
        <v>28</v>
      </c>
      <c r="C8658" t="s">
        <v>54</v>
      </c>
      <c r="D8658" t="s">
        <v>11</v>
      </c>
      <c r="E8658" t="s">
        <v>20</v>
      </c>
      <c r="F8658" t="s">
        <v>78</v>
      </c>
      <c r="G8658" t="str">
        <f t="shared" si="353"/>
        <v>007REDIANT</v>
      </c>
      <c r="H8658" s="5">
        <f>VLOOKUP(G8658,[6]Astroflores!$G$2:$H$110,2,FALSE)</f>
        <v>2160</v>
      </c>
      <c r="I8658" s="6">
        <v>1056.75862064738</v>
      </c>
      <c r="J8658" s="5">
        <v>9600</v>
      </c>
      <c r="K8658" s="6">
        <f t="shared" si="355"/>
        <v>2.0439861646709483</v>
      </c>
    </row>
    <row r="8659" spans="1:11" hidden="1">
      <c r="A8659" s="4">
        <v>2026</v>
      </c>
      <c r="B8659">
        <v>28</v>
      </c>
      <c r="C8659" t="s">
        <v>54</v>
      </c>
      <c r="D8659" t="s">
        <v>11</v>
      </c>
      <c r="E8659" t="s">
        <v>20</v>
      </c>
      <c r="F8659" t="s">
        <v>74</v>
      </c>
      <c r="G8659" t="str">
        <f t="shared" si="353"/>
        <v>007VENDELA</v>
      </c>
      <c r="H8659" s="5">
        <f>VLOOKUP(G8659,[6]Astroflores!$G$2:$H$110,2,FALSE)</f>
        <v>10650</v>
      </c>
      <c r="I8659" s="6">
        <v>3592.9793102011122</v>
      </c>
      <c r="J8659" s="5">
        <v>27820</v>
      </c>
      <c r="K8659" s="6">
        <f t="shared" si="355"/>
        <v>2.9641139234402885</v>
      </c>
    </row>
    <row r="8660" spans="1:11" hidden="1">
      <c r="A8660" s="4">
        <v>2026</v>
      </c>
      <c r="B8660">
        <v>28</v>
      </c>
      <c r="C8660" t="s">
        <v>54</v>
      </c>
      <c r="D8660" t="s">
        <v>11</v>
      </c>
      <c r="E8660" t="s">
        <v>79</v>
      </c>
      <c r="F8660" t="s">
        <v>67</v>
      </c>
      <c r="G8660" t="str">
        <f t="shared" si="353"/>
        <v>008DEEP PURPLE</v>
      </c>
      <c r="H8660" s="5">
        <f>VLOOKUP(G8660,[6]Astroflores!$G$2:$H$110,2,FALSE)</f>
        <v>5670</v>
      </c>
      <c r="I8660" s="6">
        <v>1585.2222221588099</v>
      </c>
      <c r="J8660" s="5">
        <v>11490</v>
      </c>
      <c r="K8660" s="6">
        <f t="shared" si="355"/>
        <v>3.5767855892648286</v>
      </c>
    </row>
    <row r="8661" spans="1:11" hidden="1">
      <c r="A8661" s="4">
        <v>2026</v>
      </c>
      <c r="B8661">
        <v>28</v>
      </c>
      <c r="C8661" t="s">
        <v>54</v>
      </c>
      <c r="D8661" t="s">
        <v>11</v>
      </c>
      <c r="E8661" t="s">
        <v>79</v>
      </c>
      <c r="F8661" t="s">
        <v>81</v>
      </c>
      <c r="G8661" t="str">
        <f t="shared" si="353"/>
        <v>008FREEDOM</v>
      </c>
      <c r="H8661" s="5">
        <f>VLOOKUP(G8661,[6]Astroflores!$G$2:$H$110,2,FALSE)</f>
        <v>2610</v>
      </c>
      <c r="I8661" s="6">
        <v>2219.311111022334</v>
      </c>
      <c r="J8661" s="5">
        <v>16800</v>
      </c>
      <c r="K8661" s="6">
        <f t="shared" si="355"/>
        <v>1.1760406132503405</v>
      </c>
    </row>
    <row r="8662" spans="1:11" hidden="1">
      <c r="A8662" s="4">
        <v>2026</v>
      </c>
      <c r="B8662">
        <v>28</v>
      </c>
      <c r="C8662" t="s">
        <v>54</v>
      </c>
      <c r="D8662" t="s">
        <v>11</v>
      </c>
      <c r="E8662" t="s">
        <v>79</v>
      </c>
      <c r="F8662" t="s">
        <v>68</v>
      </c>
      <c r="G8662" t="str">
        <f t="shared" si="353"/>
        <v>008JOCKER</v>
      </c>
      <c r="H8662" s="5">
        <f>VLOOKUP(G8662,[6]Astroflores!$G$2:$H$110,2,FALSE)</f>
        <v>5750</v>
      </c>
      <c r="I8662" s="6">
        <v>2959.0814813631118</v>
      </c>
      <c r="J8662" s="5">
        <v>22400</v>
      </c>
      <c r="K8662" s="6">
        <f t="shared" si="355"/>
        <v>1.9431705535027177</v>
      </c>
    </row>
    <row r="8663" spans="1:11" hidden="1">
      <c r="A8663" s="4">
        <v>2026</v>
      </c>
      <c r="B8663">
        <v>28</v>
      </c>
      <c r="C8663" t="s">
        <v>54</v>
      </c>
      <c r="D8663" t="s">
        <v>11</v>
      </c>
      <c r="E8663" t="s">
        <v>82</v>
      </c>
      <c r="F8663" t="s">
        <v>83</v>
      </c>
      <c r="G8663" t="str">
        <f t="shared" si="353"/>
        <v>010COOLDOWN</v>
      </c>
      <c r="H8663" s="5">
        <f>VLOOKUP(G8663,[6]Astroflores!$G$2:$H$110,2,FALSE)</f>
        <v>3825</v>
      </c>
      <c r="I8663" s="6">
        <v>1912.3542857142861</v>
      </c>
      <c r="J8663" s="5">
        <v>16320</v>
      </c>
      <c r="K8663" s="6">
        <f t="shared" si="355"/>
        <v>2.0001523925632423</v>
      </c>
    </row>
    <row r="8664" spans="1:11" hidden="1">
      <c r="A8664" s="4">
        <v>2026</v>
      </c>
      <c r="B8664">
        <v>28</v>
      </c>
      <c r="C8664" t="s">
        <v>54</v>
      </c>
      <c r="D8664" t="s">
        <v>11</v>
      </c>
      <c r="E8664" t="s">
        <v>82</v>
      </c>
      <c r="F8664" t="s">
        <v>84</v>
      </c>
      <c r="G8664" t="str">
        <f t="shared" si="353"/>
        <v>010VIOLET HILL</v>
      </c>
      <c r="H8664" s="5">
        <f>VLOOKUP(G8664,[6]Astroflores!$G$2:$H$110,2,FALSE)</f>
        <v>5850</v>
      </c>
      <c r="I8664" s="6">
        <v>2812.2857142428579</v>
      </c>
      <c r="J8664" s="5">
        <v>20000</v>
      </c>
      <c r="K8664" s="6">
        <f t="shared" si="355"/>
        <v>2.0801584882974722</v>
      </c>
    </row>
    <row r="8665" spans="1:11" hidden="1">
      <c r="A8665" s="4">
        <v>2026</v>
      </c>
      <c r="B8665">
        <v>28</v>
      </c>
      <c r="C8665" t="s">
        <v>54</v>
      </c>
      <c r="D8665" t="s">
        <v>11</v>
      </c>
      <c r="E8665" t="s">
        <v>85</v>
      </c>
      <c r="F8665" t="s">
        <v>86</v>
      </c>
      <c r="G8665" t="str">
        <f t="shared" si="353"/>
        <v>011BRIGHTON</v>
      </c>
      <c r="H8665" s="5">
        <f>VLOOKUP(G8665,[6]Astroflores!$G$2:$H$110,2,FALSE)</f>
        <v>3550</v>
      </c>
      <c r="I8665" s="6">
        <v>1768.8376470588223</v>
      </c>
      <c r="J8665" s="5">
        <v>12800</v>
      </c>
      <c r="K8665" s="6">
        <f t="shared" si="355"/>
        <v>2.0069676863237556</v>
      </c>
    </row>
    <row r="8666" spans="1:11" hidden="1">
      <c r="A8666" s="4">
        <v>2026</v>
      </c>
      <c r="B8666">
        <v>28</v>
      </c>
      <c r="C8666" t="s">
        <v>54</v>
      </c>
      <c r="D8666" t="s">
        <v>11</v>
      </c>
      <c r="E8666" t="s">
        <v>85</v>
      </c>
      <c r="F8666" t="s">
        <v>87</v>
      </c>
      <c r="G8666" t="str">
        <f t="shared" si="353"/>
        <v>011CANDLELIGHT</v>
      </c>
      <c r="H8666" s="5">
        <f>VLOOKUP(G8666,[6]Astroflores!$G$2:$H$110,2,FALSE)</f>
        <v>4640</v>
      </c>
      <c r="I8666" s="6">
        <v>2263.7999998868127</v>
      </c>
      <c r="J8666" s="5">
        <v>17920</v>
      </c>
      <c r="K8666" s="6">
        <f t="shared" si="355"/>
        <v>2.049651029345346</v>
      </c>
    </row>
    <row r="8667" spans="1:11" hidden="1">
      <c r="A8667" s="4">
        <v>2026</v>
      </c>
      <c r="B8667">
        <v>28</v>
      </c>
      <c r="C8667" t="s">
        <v>54</v>
      </c>
      <c r="D8667" t="s">
        <v>11</v>
      </c>
      <c r="E8667" t="s">
        <v>85</v>
      </c>
      <c r="F8667" t="s">
        <v>88</v>
      </c>
      <c r="G8667" t="str">
        <f t="shared" si="353"/>
        <v>011CAYENNE</v>
      </c>
      <c r="H8667" s="5">
        <f>VLOOKUP(G8667,[6]Astroflores!$G$2:$H$110,2,FALSE)</f>
        <v>1530</v>
      </c>
      <c r="I8667" s="6">
        <v>994.97117647058747</v>
      </c>
      <c r="J8667" s="5">
        <v>7200</v>
      </c>
      <c r="K8667" s="6">
        <f t="shared" si="355"/>
        <v>1.5377329878311592</v>
      </c>
    </row>
    <row r="8668" spans="1:11" hidden="1">
      <c r="A8668" s="4">
        <v>2026</v>
      </c>
      <c r="B8668">
        <v>28</v>
      </c>
      <c r="C8668" t="s">
        <v>54</v>
      </c>
      <c r="D8668" t="s">
        <v>11</v>
      </c>
      <c r="E8668" t="s">
        <v>85</v>
      </c>
      <c r="F8668" t="s">
        <v>61</v>
      </c>
      <c r="G8668" t="str">
        <f t="shared" si="353"/>
        <v>011LUMIA</v>
      </c>
      <c r="H8668" s="5">
        <f>VLOOKUP(G8668,[6]Astroflores!$G$2:$H$110,2,FALSE)</f>
        <v>2640</v>
      </c>
      <c r="I8668" s="6">
        <v>994.97117647058747</v>
      </c>
      <c r="J8668" s="5">
        <v>7920</v>
      </c>
      <c r="K8668" s="6">
        <f t="shared" si="355"/>
        <v>2.6533431946890591</v>
      </c>
    </row>
    <row r="8669" spans="1:11" hidden="1">
      <c r="A8669" s="4">
        <v>2026</v>
      </c>
      <c r="B8669">
        <v>28</v>
      </c>
      <c r="C8669" t="s">
        <v>54</v>
      </c>
      <c r="D8669" t="s">
        <v>11</v>
      </c>
      <c r="E8669" t="s">
        <v>85</v>
      </c>
      <c r="F8669" t="s">
        <v>89</v>
      </c>
      <c r="G8669" t="str">
        <f t="shared" si="353"/>
        <v>011STARDUST</v>
      </c>
      <c r="H8669" s="5">
        <f>VLOOKUP(G8669,[6]Astroflores!$G$2:$H$110,2,FALSE)</f>
        <v>4525</v>
      </c>
      <c r="I8669" s="6">
        <v>2263.7999998868127</v>
      </c>
      <c r="J8669" s="5">
        <v>17920</v>
      </c>
      <c r="K8669" s="6">
        <f t="shared" si="355"/>
        <v>1.9988514887473472</v>
      </c>
    </row>
    <row r="8670" spans="1:11" hidden="1">
      <c r="A8670" s="4">
        <v>2026</v>
      </c>
      <c r="B8670">
        <v>28</v>
      </c>
      <c r="C8670" t="s">
        <v>54</v>
      </c>
      <c r="D8670" t="s">
        <v>11</v>
      </c>
      <c r="E8670" t="s">
        <v>90</v>
      </c>
      <c r="F8670" t="s">
        <v>67</v>
      </c>
      <c r="G8670" t="str">
        <f t="shared" si="353"/>
        <v>012DEEP PURPLE</v>
      </c>
      <c r="H8670" s="5">
        <f>VLOOKUP(G8670,[6]Astroflores!$G$2:$H$110,2,FALSE)</f>
        <v>19410</v>
      </c>
      <c r="I8670" s="6">
        <v>6727.0499997982479</v>
      </c>
      <c r="J8670" s="5">
        <v>49210</v>
      </c>
      <c r="K8670" s="6">
        <f t="shared" si="355"/>
        <v>2.8853657993596196</v>
      </c>
    </row>
    <row r="8671" spans="1:11" hidden="1">
      <c r="A8671" s="4">
        <v>2026</v>
      </c>
      <c r="B8671">
        <v>28</v>
      </c>
      <c r="C8671" t="s">
        <v>54</v>
      </c>
      <c r="D8671" t="s">
        <v>11</v>
      </c>
      <c r="E8671" t="s">
        <v>90</v>
      </c>
      <c r="F8671" t="s">
        <v>60</v>
      </c>
      <c r="G8671" t="str">
        <f t="shared" si="353"/>
        <v>012LIGHT HOUSE</v>
      </c>
      <c r="H8671" s="5">
        <f>VLOOKUP(G8671,[6]Astroflores!$G$2:$H$110,2,FALSE)</f>
        <v>2100</v>
      </c>
      <c r="I8671" s="6">
        <v>994.95</v>
      </c>
      <c r="J8671" s="5">
        <v>7200</v>
      </c>
      <c r="K8671" s="6">
        <f t="shared" si="355"/>
        <v>2.1106588270767372</v>
      </c>
    </row>
    <row r="8672" spans="1:11" hidden="1">
      <c r="A8672" s="4">
        <v>2026</v>
      </c>
      <c r="B8672">
        <v>28</v>
      </c>
      <c r="C8672" t="s">
        <v>54</v>
      </c>
      <c r="D8672" t="s">
        <v>11</v>
      </c>
      <c r="E8672" t="s">
        <v>91</v>
      </c>
      <c r="F8672" t="s">
        <v>92</v>
      </c>
      <c r="G8672" t="str">
        <f t="shared" si="353"/>
        <v>013COUNTRY BLUES</v>
      </c>
      <c r="H8672" s="5">
        <f>VLOOKUP(G8672,[6]Astroflores!$G$2:$H$110,2,FALSE)</f>
        <v>1400</v>
      </c>
      <c r="I8672" s="6">
        <v>831.6</v>
      </c>
      <c r="J8672" s="5">
        <v>6300</v>
      </c>
      <c r="K8672" s="6">
        <f t="shared" si="355"/>
        <v>1.6835016835016834</v>
      </c>
    </row>
    <row r="8673" spans="1:11" hidden="1">
      <c r="A8673" s="4">
        <v>2026</v>
      </c>
      <c r="B8673">
        <v>28</v>
      </c>
      <c r="C8673" t="s">
        <v>54</v>
      </c>
      <c r="D8673" t="s">
        <v>11</v>
      </c>
      <c r="E8673" t="s">
        <v>91</v>
      </c>
      <c r="F8673" t="s">
        <v>93</v>
      </c>
      <c r="G8673" t="str">
        <f t="shared" si="353"/>
        <v>013LORRAINE</v>
      </c>
      <c r="H8673" s="5">
        <f>VLOOKUP(G8673,[6]Astroflores!$G$2:$H$110,2,FALSE)</f>
        <v>4025</v>
      </c>
      <c r="I8673" s="6">
        <v>1267.2</v>
      </c>
      <c r="J8673" s="5">
        <v>9600</v>
      </c>
      <c r="K8673" s="6">
        <f t="shared" si="355"/>
        <v>3.1762941919191916</v>
      </c>
    </row>
    <row r="8674" spans="1:11" hidden="1">
      <c r="A8674" s="4">
        <v>2026</v>
      </c>
      <c r="B8674">
        <v>28</v>
      </c>
      <c r="C8674" t="s">
        <v>54</v>
      </c>
      <c r="D8674" t="s">
        <v>11</v>
      </c>
      <c r="E8674" t="s">
        <v>91</v>
      </c>
      <c r="F8674" t="s">
        <v>61</v>
      </c>
      <c r="G8674" t="str">
        <f t="shared" si="353"/>
        <v>013LUMIA</v>
      </c>
      <c r="H8674" s="5">
        <f>VLOOKUP(G8674,[6]Astroflores!$G$2:$H$110,2,FALSE)</f>
        <v>960</v>
      </c>
      <c r="I8674" s="6">
        <v>316.8</v>
      </c>
      <c r="J8674" s="5">
        <v>2400</v>
      </c>
      <c r="K8674" s="6">
        <f t="shared" si="355"/>
        <v>3.0303030303030303</v>
      </c>
    </row>
    <row r="8675" spans="1:11" hidden="1">
      <c r="A8675" s="4">
        <v>2026</v>
      </c>
      <c r="B8675">
        <v>28</v>
      </c>
      <c r="C8675" t="s">
        <v>54</v>
      </c>
      <c r="D8675" t="s">
        <v>11</v>
      </c>
      <c r="E8675" t="s">
        <v>91</v>
      </c>
      <c r="F8675" t="s">
        <v>74</v>
      </c>
      <c r="G8675" t="str">
        <f t="shared" si="353"/>
        <v>013VENDELA</v>
      </c>
      <c r="H8675" s="5">
        <f>VLOOKUP(G8675,[6]Astroflores!$G$2:$H$110,2,FALSE)</f>
        <v>12150</v>
      </c>
      <c r="I8675" s="6">
        <v>3603.6</v>
      </c>
      <c r="J8675" s="5">
        <v>27296</v>
      </c>
      <c r="K8675" s="6">
        <f t="shared" si="355"/>
        <v>3.3716283716283719</v>
      </c>
    </row>
    <row r="8676" spans="1:11" hidden="1">
      <c r="A8676" s="4">
        <v>2026</v>
      </c>
      <c r="B8676">
        <v>28</v>
      </c>
      <c r="C8676" t="s">
        <v>54</v>
      </c>
      <c r="D8676" t="s">
        <v>11</v>
      </c>
      <c r="E8676" t="s">
        <v>23</v>
      </c>
      <c r="F8676" t="s">
        <v>89</v>
      </c>
      <c r="G8676" t="str">
        <f t="shared" si="353"/>
        <v>014STARDUST</v>
      </c>
      <c r="H8676" s="5">
        <f>VLOOKUP(G8676,[6]Astroflores!$G$2:$H$110,2,FALSE)</f>
        <v>8575</v>
      </c>
      <c r="I8676" s="6">
        <v>3682.8</v>
      </c>
      <c r="J8676" s="5">
        <v>27900</v>
      </c>
      <c r="K8676" s="6">
        <f t="shared" si="355"/>
        <v>2.3283914412946669</v>
      </c>
    </row>
    <row r="8677" spans="1:11" hidden="1">
      <c r="A8677" s="4">
        <v>2026</v>
      </c>
      <c r="B8677">
        <v>28</v>
      </c>
      <c r="C8677" t="s">
        <v>54</v>
      </c>
      <c r="D8677" t="s">
        <v>11</v>
      </c>
      <c r="E8677" t="s">
        <v>25</v>
      </c>
      <c r="F8677" t="s">
        <v>68</v>
      </c>
      <c r="G8677" t="str">
        <f t="shared" si="353"/>
        <v>015JOCKER</v>
      </c>
      <c r="H8677" s="5">
        <f>VLOOKUP(G8677,[6]Astroflores!$G$2:$H$110,2,FALSE)</f>
        <v>6750</v>
      </c>
      <c r="I8677" s="6">
        <v>2376</v>
      </c>
      <c r="J8677" s="5">
        <v>18000</v>
      </c>
      <c r="K8677" s="6">
        <f t="shared" si="355"/>
        <v>2.8409090909090908</v>
      </c>
    </row>
    <row r="8678" spans="1:11" hidden="1">
      <c r="A8678" s="4">
        <v>2026</v>
      </c>
      <c r="B8678">
        <v>28</v>
      </c>
      <c r="C8678" t="s">
        <v>54</v>
      </c>
      <c r="D8678" t="s">
        <v>11</v>
      </c>
      <c r="E8678" t="s">
        <v>27</v>
      </c>
      <c r="F8678" t="s">
        <v>94</v>
      </c>
      <c r="G8678" t="str">
        <f t="shared" si="353"/>
        <v>016DREAM IN PEACH</v>
      </c>
      <c r="H8678" s="5">
        <f>VLOOKUP(G8678,[6]Astroflores!$G$2:$H$110,2,FALSE)</f>
        <v>1800</v>
      </c>
      <c r="I8678" s="6">
        <v>950.4</v>
      </c>
      <c r="J8678" s="5">
        <v>7200</v>
      </c>
      <c r="K8678" s="6">
        <f t="shared" si="355"/>
        <v>1.893939393939394</v>
      </c>
    </row>
    <row r="8679" spans="1:11" hidden="1">
      <c r="A8679" s="4">
        <v>2026</v>
      </c>
      <c r="B8679">
        <v>28</v>
      </c>
      <c r="C8679" t="s">
        <v>54</v>
      </c>
      <c r="D8679" t="s">
        <v>11</v>
      </c>
      <c r="E8679" t="s">
        <v>27</v>
      </c>
      <c r="F8679" t="s">
        <v>95</v>
      </c>
      <c r="G8679" t="str">
        <f t="shared" ref="G8679:G8741" si="356">+E8679&amp;F8679</f>
        <v>016NINA</v>
      </c>
      <c r="H8679" s="5">
        <f>VLOOKUP(G8679,[6]Astroflores!$G$2:$H$110,2,FALSE)</f>
        <v>3300</v>
      </c>
      <c r="I8679" s="6">
        <v>1346.4</v>
      </c>
      <c r="J8679" s="5">
        <v>10200</v>
      </c>
      <c r="K8679" s="6">
        <f t="shared" si="355"/>
        <v>2.4509803921568625</v>
      </c>
    </row>
    <row r="8680" spans="1:11" hidden="1">
      <c r="A8680" s="4">
        <v>2026</v>
      </c>
      <c r="B8680">
        <v>28</v>
      </c>
      <c r="C8680" t="s">
        <v>54</v>
      </c>
      <c r="D8680" t="s">
        <v>11</v>
      </c>
      <c r="E8680" t="s">
        <v>30</v>
      </c>
      <c r="F8680" t="s">
        <v>81</v>
      </c>
      <c r="G8680" t="str">
        <f t="shared" si="356"/>
        <v>017FREEDOM</v>
      </c>
      <c r="H8680" s="5">
        <f>VLOOKUP(G8680,[6]Astroflores!$G$2:$H$110,2,FALSE)</f>
        <v>5400</v>
      </c>
      <c r="I8680" s="6">
        <v>2851.2</v>
      </c>
      <c r="J8680" s="5">
        <v>21600</v>
      </c>
      <c r="K8680" s="6">
        <f t="shared" si="355"/>
        <v>1.893939393939394</v>
      </c>
    </row>
    <row r="8681" spans="1:11" hidden="1">
      <c r="A8681" s="4">
        <v>2026</v>
      </c>
      <c r="B8681">
        <v>28</v>
      </c>
      <c r="C8681" t="s">
        <v>54</v>
      </c>
      <c r="D8681" t="s">
        <v>11</v>
      </c>
      <c r="E8681" t="s">
        <v>30</v>
      </c>
      <c r="F8681" t="s">
        <v>73</v>
      </c>
      <c r="G8681" t="str">
        <f t="shared" si="356"/>
        <v>017GOLDFINCH</v>
      </c>
      <c r="H8681" s="5">
        <f>VLOOKUP(G8681,[6]Astroflores!$G$2:$H$110,2,FALSE)</f>
        <v>3725</v>
      </c>
      <c r="I8681" s="6">
        <v>2138.4</v>
      </c>
      <c r="J8681" s="5">
        <v>16200</v>
      </c>
      <c r="K8681" s="6">
        <f t="shared" si="355"/>
        <v>1.741956603067714</v>
      </c>
    </row>
    <row r="8682" spans="1:11" hidden="1">
      <c r="A8682" s="4">
        <v>2026</v>
      </c>
      <c r="B8682">
        <v>28</v>
      </c>
      <c r="C8682" t="s">
        <v>54</v>
      </c>
      <c r="D8682" t="s">
        <v>11</v>
      </c>
      <c r="E8682" t="s">
        <v>32</v>
      </c>
      <c r="F8682" t="s">
        <v>86</v>
      </c>
      <c r="G8682" t="str">
        <f t="shared" si="356"/>
        <v>018BRIGHTON</v>
      </c>
      <c r="H8682" s="5">
        <f>VLOOKUP(G8682,[6]Astroflores!$G$2:$H$110,2,FALSE)</f>
        <v>2475</v>
      </c>
      <c r="I8682" s="6">
        <v>963.6</v>
      </c>
      <c r="J8682" s="5">
        <v>7570</v>
      </c>
      <c r="K8682" s="6">
        <f t="shared" si="355"/>
        <v>2.5684931506849313</v>
      </c>
    </row>
    <row r="8683" spans="1:11" hidden="1">
      <c r="A8683" s="4">
        <v>2026</v>
      </c>
      <c r="B8683">
        <v>28</v>
      </c>
      <c r="C8683" t="s">
        <v>54</v>
      </c>
      <c r="D8683" t="s">
        <v>11</v>
      </c>
      <c r="E8683" t="s">
        <v>35</v>
      </c>
      <c r="F8683" t="s">
        <v>86</v>
      </c>
      <c r="G8683" t="str">
        <f t="shared" si="356"/>
        <v>019BRIGHTON</v>
      </c>
      <c r="H8683" s="5">
        <f>VLOOKUP(G8683,[6]Astroflores!$G$2:$H$110,2,FALSE)</f>
        <v>9375</v>
      </c>
      <c r="I8683" s="6">
        <v>3168</v>
      </c>
      <c r="J8683" s="5">
        <v>24000</v>
      </c>
      <c r="K8683" s="6">
        <f t="shared" si="355"/>
        <v>2.9592803030303032</v>
      </c>
    </row>
    <row r="8684" spans="1:11" hidden="1">
      <c r="A8684" s="4">
        <v>2026</v>
      </c>
      <c r="B8684">
        <v>28</v>
      </c>
      <c r="C8684" t="s">
        <v>54</v>
      </c>
      <c r="D8684" t="s">
        <v>11</v>
      </c>
      <c r="E8684" t="s">
        <v>35</v>
      </c>
      <c r="F8684" t="s">
        <v>96</v>
      </c>
      <c r="G8684" t="str">
        <f t="shared" si="356"/>
        <v>019TABATHA</v>
      </c>
      <c r="H8684" s="5">
        <f>VLOOKUP(G8684,[6]Astroflores!$G$2:$H$110,2,FALSE)</f>
        <v>2490</v>
      </c>
      <c r="I8684" s="6">
        <v>1188</v>
      </c>
      <c r="J8684" s="5">
        <v>9000</v>
      </c>
      <c r="K8684" s="6">
        <f t="shared" si="355"/>
        <v>2.095959595959596</v>
      </c>
    </row>
    <row r="8685" spans="1:11" hidden="1">
      <c r="A8685" s="4">
        <v>2026</v>
      </c>
      <c r="B8685">
        <v>28</v>
      </c>
      <c r="C8685" t="s">
        <v>54</v>
      </c>
      <c r="D8685" t="s">
        <v>11</v>
      </c>
      <c r="E8685" t="s">
        <v>36</v>
      </c>
      <c r="F8685" t="s">
        <v>86</v>
      </c>
      <c r="G8685" t="str">
        <f t="shared" si="356"/>
        <v>020BRIGHTON</v>
      </c>
      <c r="H8685" s="5">
        <f>VLOOKUP(G8685,[6]Astroflores!$G$2:$H$110,2,FALSE)</f>
        <v>5500</v>
      </c>
      <c r="I8685" s="6">
        <v>2732.4</v>
      </c>
      <c r="J8685" s="5">
        <v>20700</v>
      </c>
      <c r="K8685" s="6">
        <f t="shared" si="355"/>
        <v>2.0128824476650564</v>
      </c>
    </row>
    <row r="8686" spans="1:11" hidden="1">
      <c r="A8686" s="4">
        <v>2026</v>
      </c>
      <c r="B8686">
        <v>28</v>
      </c>
      <c r="C8686" t="s">
        <v>54</v>
      </c>
      <c r="D8686" t="s">
        <v>11</v>
      </c>
      <c r="E8686" t="s">
        <v>36</v>
      </c>
      <c r="F8686" t="s">
        <v>97</v>
      </c>
      <c r="G8686" t="str">
        <f t="shared" si="356"/>
        <v>020TYCOON</v>
      </c>
      <c r="H8686" s="5">
        <f>VLOOKUP(G8686,[6]Astroflores!$G$2:$H$110,2,FALSE)</f>
        <v>1350</v>
      </c>
      <c r="I8686" s="6">
        <v>673.2</v>
      </c>
      <c r="J8686" s="5">
        <v>5100</v>
      </c>
      <c r="K8686" s="6">
        <f t="shared" si="355"/>
        <v>2.0053475935828877</v>
      </c>
    </row>
    <row r="8687" spans="1:11" hidden="1">
      <c r="A8687" s="4">
        <v>2026</v>
      </c>
      <c r="B8687">
        <v>28</v>
      </c>
      <c r="C8687" t="s">
        <v>54</v>
      </c>
      <c r="D8687" t="s">
        <v>11</v>
      </c>
      <c r="E8687" t="s">
        <v>38</v>
      </c>
      <c r="F8687" t="s">
        <v>98</v>
      </c>
      <c r="G8687" t="str">
        <f t="shared" si="356"/>
        <v>021SHOW GIRL</v>
      </c>
      <c r="H8687" s="5">
        <f>VLOOKUP(G8687,[6]Astroflores!$G$2:$H$110,2,FALSE)</f>
        <v>1200</v>
      </c>
      <c r="I8687" s="6">
        <v>1100.4749999999999</v>
      </c>
      <c r="J8687" s="5">
        <v>8000</v>
      </c>
      <c r="K8687" s="6">
        <f t="shared" si="355"/>
        <v>1.0904382198596061</v>
      </c>
    </row>
    <row r="8688" spans="1:11" hidden="1">
      <c r="A8688" s="4">
        <v>2026</v>
      </c>
      <c r="B8688">
        <v>28</v>
      </c>
      <c r="C8688" t="s">
        <v>54</v>
      </c>
      <c r="D8688" t="s">
        <v>11</v>
      </c>
      <c r="E8688" t="s">
        <v>43</v>
      </c>
      <c r="F8688" t="s">
        <v>99</v>
      </c>
      <c r="G8688" t="str">
        <f t="shared" si="356"/>
        <v>022CORAL REEF</v>
      </c>
      <c r="H8688" s="5">
        <f>VLOOKUP(G8688,[6]Astroflores!$G$2:$H$110,2,FALSE)</f>
        <v>2375</v>
      </c>
      <c r="I8688" s="6">
        <v>1287</v>
      </c>
      <c r="J8688" s="5">
        <v>9400</v>
      </c>
      <c r="K8688" s="6">
        <f t="shared" si="355"/>
        <v>1.8453768453768453</v>
      </c>
    </row>
    <row r="8689" spans="1:11" hidden="1">
      <c r="A8689" s="4">
        <v>2026</v>
      </c>
      <c r="B8689">
        <v>28</v>
      </c>
      <c r="C8689" t="s">
        <v>54</v>
      </c>
      <c r="D8689" t="s">
        <v>11</v>
      </c>
      <c r="E8689" t="s">
        <v>100</v>
      </c>
      <c r="F8689" t="s">
        <v>70</v>
      </c>
      <c r="G8689" t="str">
        <f t="shared" si="356"/>
        <v>023COTOPAXI</v>
      </c>
      <c r="H8689" s="5">
        <f>VLOOKUP(G8689,[6]Astroflores!$G$2:$H$110,2,FALSE)</f>
        <v>6330</v>
      </c>
      <c r="I8689" s="6">
        <v>2641.14</v>
      </c>
      <c r="J8689" s="5">
        <v>19200</v>
      </c>
      <c r="K8689" s="6">
        <f t="shared" si="355"/>
        <v>2.3966923373997595</v>
      </c>
    </row>
    <row r="8690" spans="1:11" hidden="1">
      <c r="A8690" s="4">
        <v>2026</v>
      </c>
      <c r="B8690">
        <v>28</v>
      </c>
      <c r="C8690" t="s">
        <v>54</v>
      </c>
      <c r="D8690" t="s">
        <v>11</v>
      </c>
      <c r="E8690" t="s">
        <v>100</v>
      </c>
      <c r="F8690" t="s">
        <v>101</v>
      </c>
      <c r="G8690" t="str">
        <f t="shared" si="356"/>
        <v>023FRUTTETO</v>
      </c>
      <c r="H8690" s="5">
        <f>VLOOKUP(G8690,[6]Astroflores!$G$2:$H$110,2,FALSE)</f>
        <v>6960</v>
      </c>
      <c r="I8690" s="6">
        <v>2641.14</v>
      </c>
      <c r="J8690" s="5">
        <v>19200</v>
      </c>
      <c r="K8690" s="6">
        <f t="shared" si="355"/>
        <v>2.635225697994048</v>
      </c>
    </row>
    <row r="8691" spans="1:11" hidden="1">
      <c r="A8691" s="4">
        <v>2026</v>
      </c>
      <c r="B8691">
        <v>28</v>
      </c>
      <c r="C8691" t="s">
        <v>54</v>
      </c>
      <c r="D8691" t="s">
        <v>11</v>
      </c>
      <c r="E8691" t="s">
        <v>102</v>
      </c>
      <c r="F8691" t="s">
        <v>70</v>
      </c>
      <c r="G8691" t="str">
        <f t="shared" si="356"/>
        <v>024COTOPAXI</v>
      </c>
      <c r="H8691" s="5">
        <f>VLOOKUP(G8691,[6]Astroflores!$G$2:$H$110,2,FALSE)</f>
        <v>4440</v>
      </c>
      <c r="I8691" s="6">
        <v>1430.6174906250001</v>
      </c>
      <c r="J8691" s="5">
        <v>10400</v>
      </c>
      <c r="K8691" s="6">
        <f t="shared" si="355"/>
        <v>3.1035549537845215</v>
      </c>
    </row>
    <row r="8692" spans="1:11" hidden="1">
      <c r="A8692" s="4">
        <v>2026</v>
      </c>
      <c r="B8692">
        <v>28</v>
      </c>
      <c r="C8692" t="s">
        <v>54</v>
      </c>
      <c r="D8692" t="s">
        <v>11</v>
      </c>
      <c r="E8692" t="s">
        <v>102</v>
      </c>
      <c r="F8692" t="s">
        <v>64</v>
      </c>
      <c r="G8692" t="str">
        <f t="shared" si="356"/>
        <v>024SWEETNESS</v>
      </c>
      <c r="H8692" s="5">
        <f>VLOOKUP(G8692,[6]Astroflores!$G$2:$H$110,2,FALSE)</f>
        <v>2220</v>
      </c>
      <c r="I8692" s="6">
        <v>1430.6175000000001</v>
      </c>
      <c r="J8692" s="5">
        <v>10400</v>
      </c>
      <c r="K8692" s="6">
        <f t="shared" si="355"/>
        <v>1.5517774667232855</v>
      </c>
    </row>
    <row r="8693" spans="1:11" hidden="1">
      <c r="A8693" s="4">
        <v>2026</v>
      </c>
      <c r="B8693">
        <v>28</v>
      </c>
      <c r="C8693" t="s">
        <v>54</v>
      </c>
      <c r="D8693" t="s">
        <v>11</v>
      </c>
      <c r="E8693" t="s">
        <v>102</v>
      </c>
      <c r="F8693" t="s">
        <v>97</v>
      </c>
      <c r="G8693" t="str">
        <f t="shared" si="356"/>
        <v>024TYCOON</v>
      </c>
      <c r="H8693" s="5">
        <f>VLOOKUP(G8693,[6]Astroflores!$G$2:$H$110,2,FALSE)</f>
        <v>5070</v>
      </c>
      <c r="I8693" s="6">
        <v>2861.2350000000001</v>
      </c>
      <c r="J8693" s="5">
        <v>20800</v>
      </c>
      <c r="K8693" s="6">
        <f t="shared" si="355"/>
        <v>1.7719621072718599</v>
      </c>
    </row>
    <row r="8694" spans="1:11" hidden="1">
      <c r="A8694" s="4">
        <v>2026</v>
      </c>
      <c r="B8694">
        <v>28</v>
      </c>
      <c r="C8694" t="s">
        <v>54</v>
      </c>
      <c r="D8694" t="s">
        <v>11</v>
      </c>
      <c r="E8694" t="s">
        <v>103</v>
      </c>
      <c r="F8694" t="s">
        <v>104</v>
      </c>
      <c r="G8694" t="str">
        <f t="shared" si="356"/>
        <v>025PINK MONDIAL</v>
      </c>
      <c r="H8694" s="5">
        <f>VLOOKUP(G8694,[6]Astroflores!$G$2:$H$110,2,FALSE)</f>
        <v>7400</v>
      </c>
      <c r="I8694" s="6">
        <v>3071.9505625000002</v>
      </c>
      <c r="J8694" s="5">
        <v>22400</v>
      </c>
      <c r="K8694" s="6">
        <f t="shared" si="355"/>
        <v>2.4088929328269422</v>
      </c>
    </row>
    <row r="8695" spans="1:11" hidden="1">
      <c r="A8695" s="4">
        <v>2026</v>
      </c>
      <c r="B8695">
        <v>28</v>
      </c>
      <c r="C8695" t="s">
        <v>54</v>
      </c>
      <c r="D8695" t="s">
        <v>11</v>
      </c>
      <c r="E8695" t="s">
        <v>45</v>
      </c>
      <c r="F8695" t="s">
        <v>105</v>
      </c>
      <c r="G8695" t="str">
        <f t="shared" si="356"/>
        <v>026LOLA</v>
      </c>
      <c r="H8695" s="5">
        <f>VLOOKUP(G8695,[6]Astroflores!$G$2:$H$110,2,FALSE)</f>
        <v>3400</v>
      </c>
      <c r="I8695" s="6">
        <v>1097.125</v>
      </c>
      <c r="J8695" s="5">
        <v>8000</v>
      </c>
      <c r="K8695" s="6">
        <f t="shared" si="355"/>
        <v>3.0990087729292468</v>
      </c>
    </row>
    <row r="8696" spans="1:11" hidden="1">
      <c r="A8696" s="4">
        <v>2026</v>
      </c>
      <c r="B8696">
        <v>28</v>
      </c>
      <c r="C8696" t="s">
        <v>54</v>
      </c>
      <c r="D8696" t="s">
        <v>11</v>
      </c>
      <c r="E8696" t="s">
        <v>45</v>
      </c>
      <c r="F8696" t="s">
        <v>106</v>
      </c>
      <c r="G8696" t="str">
        <f t="shared" si="356"/>
        <v>026PALOMA</v>
      </c>
      <c r="H8696" s="5">
        <f>VLOOKUP(G8696,[6]Astroflores!$G$2:$H$110,2,FALSE)</f>
        <v>4675</v>
      </c>
      <c r="I8696" s="6">
        <v>2852.5250000000001</v>
      </c>
      <c r="J8696" s="5">
        <v>20800</v>
      </c>
      <c r="K8696" s="6">
        <f t="shared" si="355"/>
        <v>1.638898870299121</v>
      </c>
    </row>
    <row r="8697" spans="1:11" hidden="1">
      <c r="A8697" s="4">
        <v>2026</v>
      </c>
      <c r="B8697">
        <v>28</v>
      </c>
      <c r="C8697" t="s">
        <v>54</v>
      </c>
      <c r="D8697" t="s">
        <v>11</v>
      </c>
      <c r="E8697" t="s">
        <v>107</v>
      </c>
      <c r="F8697" t="s">
        <v>108</v>
      </c>
      <c r="G8697" t="str">
        <f t="shared" si="356"/>
        <v>027SATISFACTION</v>
      </c>
      <c r="H8697" s="5">
        <f>VLOOKUP(G8697,[6]Astroflores!$G$2:$H$110,2,FALSE)</f>
        <v>7230</v>
      </c>
      <c r="I8697" s="6">
        <v>2633.1</v>
      </c>
      <c r="J8697" s="5">
        <v>19200</v>
      </c>
      <c r="K8697" s="6">
        <f t="shared" si="355"/>
        <v>2.7458129201321637</v>
      </c>
    </row>
    <row r="8698" spans="1:11" hidden="1">
      <c r="A8698" s="4">
        <v>2026</v>
      </c>
      <c r="B8698">
        <v>28</v>
      </c>
      <c r="C8698" t="s">
        <v>54</v>
      </c>
      <c r="D8698" t="s">
        <v>11</v>
      </c>
      <c r="E8698" t="s">
        <v>107</v>
      </c>
      <c r="F8698" t="s">
        <v>109</v>
      </c>
      <c r="G8698" t="str">
        <f t="shared" si="356"/>
        <v>027TIFFANY</v>
      </c>
      <c r="H8698" s="5">
        <f>VLOOKUP(G8698,[6]Astroflores!$G$2:$H$110,2,FALSE)</f>
        <v>6360</v>
      </c>
      <c r="I8698" s="6">
        <v>2633.1</v>
      </c>
      <c r="J8698" s="5">
        <v>19200</v>
      </c>
      <c r="K8698" s="6">
        <f t="shared" ref="K8698:K8737" si="357">+H8698/I8698</f>
        <v>2.4154038965477955</v>
      </c>
    </row>
    <row r="8699" spans="1:11" hidden="1">
      <c r="A8699" s="4">
        <v>2026</v>
      </c>
      <c r="B8699">
        <v>28</v>
      </c>
      <c r="C8699" t="s">
        <v>54</v>
      </c>
      <c r="D8699" t="s">
        <v>11</v>
      </c>
      <c r="E8699" t="s">
        <v>110</v>
      </c>
      <c r="F8699" t="s">
        <v>70</v>
      </c>
      <c r="G8699" t="str">
        <f t="shared" si="356"/>
        <v>028COTOPAXI</v>
      </c>
      <c r="H8699" s="5">
        <f>VLOOKUP(G8699,[6]Astroflores!$G$2:$H$110,2,FALSE)</f>
        <v>5010</v>
      </c>
      <c r="I8699" s="6">
        <v>2852.5250000000001</v>
      </c>
      <c r="J8699" s="5">
        <v>20800</v>
      </c>
      <c r="K8699" s="6">
        <f t="shared" si="357"/>
        <v>1.7563386823954215</v>
      </c>
    </row>
    <row r="8700" spans="1:11" hidden="1">
      <c r="A8700" s="4">
        <v>2026</v>
      </c>
      <c r="B8700">
        <v>28</v>
      </c>
      <c r="C8700" t="s">
        <v>54</v>
      </c>
      <c r="D8700" t="s">
        <v>11</v>
      </c>
      <c r="E8700" t="s">
        <v>110</v>
      </c>
      <c r="F8700" t="s">
        <v>67</v>
      </c>
      <c r="G8700" t="str">
        <f t="shared" si="356"/>
        <v>028DEEP PURPLE</v>
      </c>
      <c r="H8700" s="5">
        <f>VLOOKUP(G8700,[6]Astroflores!$G$2:$H$110,2,FALSE)</f>
        <v>7260</v>
      </c>
      <c r="I8700" s="6">
        <v>2852.5250000000001</v>
      </c>
      <c r="J8700" s="5">
        <v>20800</v>
      </c>
      <c r="K8700" s="6">
        <f t="shared" si="357"/>
        <v>2.5451135397586349</v>
      </c>
    </row>
    <row r="8701" spans="1:11" hidden="1">
      <c r="A8701" s="4">
        <v>2026</v>
      </c>
      <c r="B8701">
        <v>28</v>
      </c>
      <c r="C8701" t="s">
        <v>54</v>
      </c>
      <c r="D8701" t="s">
        <v>11</v>
      </c>
      <c r="E8701" t="s">
        <v>111</v>
      </c>
      <c r="F8701" t="s">
        <v>112</v>
      </c>
      <c r="G8701" t="str">
        <f t="shared" si="356"/>
        <v>029PINK FLOYD</v>
      </c>
      <c r="H8701" s="5">
        <f>VLOOKUP(G8701,[6]Astroflores!$G$2:$H$110,2,FALSE)</f>
        <v>4350</v>
      </c>
      <c r="I8701" s="6">
        <v>3071.95</v>
      </c>
      <c r="J8701" s="5">
        <v>22400</v>
      </c>
      <c r="K8701" s="6">
        <f t="shared" si="357"/>
        <v>1.4160386725044354</v>
      </c>
    </row>
    <row r="8702" spans="1:11" hidden="1">
      <c r="A8702" s="4">
        <v>2026</v>
      </c>
      <c r="B8702">
        <v>28</v>
      </c>
      <c r="C8702" t="s">
        <v>54</v>
      </c>
      <c r="D8702" t="s">
        <v>11</v>
      </c>
      <c r="E8702" t="s">
        <v>47</v>
      </c>
      <c r="F8702" t="s">
        <v>57</v>
      </c>
      <c r="G8702" t="str">
        <f t="shared" si="356"/>
        <v>030EXPLORER</v>
      </c>
      <c r="H8702" s="5">
        <f>VLOOKUP(G8702,[6]Astroflores!$G$2:$H$110,2,FALSE)</f>
        <v>2600</v>
      </c>
      <c r="I8702" s="6">
        <v>1645.6875</v>
      </c>
      <c r="J8702" s="5">
        <v>12000</v>
      </c>
      <c r="K8702" s="6">
        <f t="shared" si="357"/>
        <v>1.5798868254149101</v>
      </c>
    </row>
    <row r="8703" spans="1:11" hidden="1">
      <c r="A8703" s="4">
        <v>2026</v>
      </c>
      <c r="B8703">
        <v>29</v>
      </c>
      <c r="C8703" t="s">
        <v>10</v>
      </c>
      <c r="D8703" t="s">
        <v>11</v>
      </c>
      <c r="E8703" t="s">
        <v>12</v>
      </c>
      <c r="F8703" t="s">
        <v>13</v>
      </c>
      <c r="G8703" t="str">
        <f t="shared" si="356"/>
        <v>002SOMERSET</v>
      </c>
      <c r="H8703" s="5">
        <v>5340</v>
      </c>
      <c r="I8703" s="6">
        <v>4121.4642855494085</v>
      </c>
      <c r="J8703" s="5">
        <v>31200</v>
      </c>
      <c r="K8703" s="6">
        <f t="shared" si="357"/>
        <v>1.29565601689744</v>
      </c>
    </row>
    <row r="8704" spans="1:11" hidden="1">
      <c r="A8704" s="4">
        <v>2026</v>
      </c>
      <c r="B8704">
        <v>29</v>
      </c>
      <c r="C8704" t="s">
        <v>10</v>
      </c>
      <c r="D8704" t="s">
        <v>11</v>
      </c>
      <c r="E8704" t="s">
        <v>14</v>
      </c>
      <c r="F8704" t="s">
        <v>15</v>
      </c>
      <c r="G8704" t="str">
        <f t="shared" si="356"/>
        <v>004BELLINA</v>
      </c>
      <c r="H8704" s="5">
        <v>1605</v>
      </c>
      <c r="I8704" s="6">
        <v>1056.7857142434418</v>
      </c>
      <c r="J8704" s="5">
        <v>8000</v>
      </c>
      <c r="K8704" s="6">
        <f t="shared" si="357"/>
        <v>1.5187563366609544</v>
      </c>
    </row>
    <row r="8705" spans="1:11" hidden="1">
      <c r="A8705" s="4">
        <v>2026</v>
      </c>
      <c r="B8705">
        <v>29</v>
      </c>
      <c r="C8705" t="s">
        <v>10</v>
      </c>
      <c r="D8705" t="s">
        <v>11</v>
      </c>
      <c r="E8705" t="s">
        <v>16</v>
      </c>
      <c r="F8705" t="s">
        <v>17</v>
      </c>
      <c r="G8705" t="str">
        <f t="shared" si="356"/>
        <v>005ELBA</v>
      </c>
      <c r="H8705" s="5">
        <v>4770</v>
      </c>
      <c r="I8705" s="6">
        <v>2641.9642856076484</v>
      </c>
      <c r="J8705" s="5">
        <v>19996</v>
      </c>
      <c r="K8705" s="6">
        <f t="shared" si="357"/>
        <v>1.8054748226480686</v>
      </c>
    </row>
    <row r="8706" spans="1:11" hidden="1">
      <c r="A8706" s="4">
        <v>2026</v>
      </c>
      <c r="B8706">
        <v>29</v>
      </c>
      <c r="C8706" t="s">
        <v>10</v>
      </c>
      <c r="D8706" t="s">
        <v>11</v>
      </c>
      <c r="E8706" t="s">
        <v>16</v>
      </c>
      <c r="F8706" t="s">
        <v>18</v>
      </c>
      <c r="G8706" t="str">
        <f t="shared" si="356"/>
        <v>005HOT BUBBLES</v>
      </c>
      <c r="H8706" s="5">
        <v>980</v>
      </c>
      <c r="I8706" s="6">
        <v>528.39285712153003</v>
      </c>
      <c r="J8706" s="5">
        <v>4000</v>
      </c>
      <c r="K8706" s="6">
        <f t="shared" si="357"/>
        <v>1.8546806354246395</v>
      </c>
    </row>
    <row r="8707" spans="1:11" hidden="1">
      <c r="A8707" s="4">
        <v>2026</v>
      </c>
      <c r="B8707">
        <v>29</v>
      </c>
      <c r="C8707" t="s">
        <v>10</v>
      </c>
      <c r="D8707" t="s">
        <v>11</v>
      </c>
      <c r="E8707" t="s">
        <v>16</v>
      </c>
      <c r="F8707" t="s">
        <v>19</v>
      </c>
      <c r="G8707" t="str">
        <f t="shared" si="356"/>
        <v>005SUSPIRO</v>
      </c>
      <c r="H8707" s="5">
        <v>3120</v>
      </c>
      <c r="I8707" s="6">
        <v>1902.2142856375078</v>
      </c>
      <c r="J8707" s="5">
        <v>14400</v>
      </c>
      <c r="K8707" s="6">
        <f t="shared" si="357"/>
        <v>1.6401937592190692</v>
      </c>
    </row>
    <row r="8708" spans="1:11" hidden="1">
      <c r="A8708" s="4">
        <v>2026</v>
      </c>
      <c r="B8708">
        <v>29</v>
      </c>
      <c r="C8708" t="s">
        <v>10</v>
      </c>
      <c r="D8708" t="s">
        <v>11</v>
      </c>
      <c r="E8708" t="s">
        <v>20</v>
      </c>
      <c r="F8708" t="s">
        <v>21</v>
      </c>
      <c r="G8708" t="str">
        <f t="shared" si="356"/>
        <v>007SNOW BUBBLES</v>
      </c>
      <c r="H8708" s="5">
        <v>600</v>
      </c>
      <c r="I8708" s="6">
        <v>634.05652706821195</v>
      </c>
      <c r="J8708" s="5">
        <v>4800</v>
      </c>
      <c r="K8708" s="6">
        <f t="shared" si="357"/>
        <v>0.94628786927612818</v>
      </c>
    </row>
    <row r="8709" spans="1:11" hidden="1">
      <c r="A8709" s="4">
        <v>2026</v>
      </c>
      <c r="B8709">
        <v>29</v>
      </c>
      <c r="C8709" t="s">
        <v>10</v>
      </c>
      <c r="D8709" t="s">
        <v>11</v>
      </c>
      <c r="E8709" t="s">
        <v>22</v>
      </c>
      <c r="F8709" t="s">
        <v>18</v>
      </c>
      <c r="G8709" t="str">
        <f t="shared" si="356"/>
        <v>009HOT BUBBLES</v>
      </c>
      <c r="H8709" s="5">
        <v>5860</v>
      </c>
      <c r="I8709" s="6">
        <v>4487.9999999102474</v>
      </c>
      <c r="J8709" s="5">
        <v>31740</v>
      </c>
      <c r="K8709" s="6">
        <f t="shared" si="357"/>
        <v>1.3057040998478588</v>
      </c>
    </row>
    <row r="8710" spans="1:11" hidden="1">
      <c r="A8710" s="4">
        <v>2026</v>
      </c>
      <c r="B8710">
        <v>29</v>
      </c>
      <c r="C8710" t="s">
        <v>10</v>
      </c>
      <c r="D8710" t="s">
        <v>11</v>
      </c>
      <c r="E8710" t="s">
        <v>23</v>
      </c>
      <c r="F8710" t="s">
        <v>24</v>
      </c>
      <c r="G8710" t="str">
        <f t="shared" si="356"/>
        <v>014FRUITY BUBBLES</v>
      </c>
      <c r="H8710" s="5">
        <v>3700</v>
      </c>
      <c r="I8710" s="6">
        <v>1702.8</v>
      </c>
      <c r="J8710" s="5">
        <v>12900</v>
      </c>
      <c r="K8710" s="6">
        <f t="shared" si="357"/>
        <v>2.1728917077754288</v>
      </c>
    </row>
    <row r="8711" spans="1:11" hidden="1">
      <c r="A8711" s="4">
        <v>2026</v>
      </c>
      <c r="B8711">
        <v>29</v>
      </c>
      <c r="C8711" t="s">
        <v>10</v>
      </c>
      <c r="D8711" t="s">
        <v>11</v>
      </c>
      <c r="E8711" t="s">
        <v>25</v>
      </c>
      <c r="F8711" t="s">
        <v>26</v>
      </c>
      <c r="G8711" t="str">
        <f t="shared" si="356"/>
        <v>015FELLINI</v>
      </c>
      <c r="H8711" s="5">
        <v>4520</v>
      </c>
      <c r="I8711" s="6">
        <v>3009.6</v>
      </c>
      <c r="J8711" s="5">
        <v>22800</v>
      </c>
      <c r="K8711" s="6">
        <f t="shared" si="357"/>
        <v>1.5018607123870282</v>
      </c>
    </row>
    <row r="8712" spans="1:11" hidden="1">
      <c r="A8712" s="4">
        <v>2026</v>
      </c>
      <c r="B8712">
        <v>29</v>
      </c>
      <c r="C8712" t="s">
        <v>10</v>
      </c>
      <c r="D8712" t="s">
        <v>11</v>
      </c>
      <c r="E8712" t="s">
        <v>27</v>
      </c>
      <c r="F8712" t="s">
        <v>28</v>
      </c>
      <c r="G8712" t="str">
        <f t="shared" si="356"/>
        <v>016GOOD PEACH</v>
      </c>
      <c r="H8712" s="5">
        <v>2250</v>
      </c>
      <c r="I8712" s="6">
        <v>1386</v>
      </c>
      <c r="J8712" s="5">
        <v>10500</v>
      </c>
      <c r="K8712" s="6">
        <f t="shared" si="357"/>
        <v>1.6233766233766234</v>
      </c>
    </row>
    <row r="8713" spans="1:11" hidden="1">
      <c r="A8713" s="4">
        <v>2026</v>
      </c>
      <c r="B8713">
        <v>29</v>
      </c>
      <c r="C8713" t="s">
        <v>10</v>
      </c>
      <c r="D8713" t="s">
        <v>11</v>
      </c>
      <c r="E8713" t="s">
        <v>27</v>
      </c>
      <c r="F8713" t="s">
        <v>29</v>
      </c>
      <c r="G8713" t="str">
        <f t="shared" si="356"/>
        <v>016GOOD YELLOW</v>
      </c>
      <c r="H8713" s="5">
        <v>2280</v>
      </c>
      <c r="I8713" s="6">
        <v>1386</v>
      </c>
      <c r="J8713" s="5">
        <v>10500</v>
      </c>
      <c r="K8713" s="6">
        <f t="shared" si="357"/>
        <v>1.6450216450216451</v>
      </c>
    </row>
    <row r="8714" spans="1:11" hidden="1">
      <c r="A8714" s="4">
        <v>2026</v>
      </c>
      <c r="B8714">
        <v>29</v>
      </c>
      <c r="C8714" t="s">
        <v>10</v>
      </c>
      <c r="D8714" t="s">
        <v>11</v>
      </c>
      <c r="E8714" t="s">
        <v>30</v>
      </c>
      <c r="F8714" t="s">
        <v>31</v>
      </c>
      <c r="G8714" t="str">
        <f t="shared" si="356"/>
        <v>017ORANGE STAR</v>
      </c>
      <c r="H8714" s="5">
        <v>2000</v>
      </c>
      <c r="I8714" s="6">
        <v>1029.5999999999999</v>
      </c>
      <c r="J8714" s="5">
        <v>7800</v>
      </c>
      <c r="K8714" s="6">
        <f t="shared" si="357"/>
        <v>1.9425019425019427</v>
      </c>
    </row>
    <row r="8715" spans="1:11" hidden="1">
      <c r="A8715" s="4">
        <v>2026</v>
      </c>
      <c r="B8715">
        <v>29</v>
      </c>
      <c r="C8715" t="s">
        <v>10</v>
      </c>
      <c r="D8715" t="s">
        <v>11</v>
      </c>
      <c r="E8715" t="s">
        <v>32</v>
      </c>
      <c r="F8715" t="s">
        <v>33</v>
      </c>
      <c r="G8715" t="str">
        <f t="shared" si="356"/>
        <v>018COSMO</v>
      </c>
      <c r="H8715" s="5">
        <v>4400</v>
      </c>
      <c r="I8715" s="6">
        <v>2653.2</v>
      </c>
      <c r="J8715" s="5">
        <v>20100</v>
      </c>
      <c r="K8715" s="6">
        <f t="shared" si="357"/>
        <v>1.6583747927031511</v>
      </c>
    </row>
    <row r="8716" spans="1:11" hidden="1">
      <c r="A8716" s="4">
        <v>2026</v>
      </c>
      <c r="B8716">
        <v>29</v>
      </c>
      <c r="C8716" t="s">
        <v>10</v>
      </c>
      <c r="D8716" t="s">
        <v>11</v>
      </c>
      <c r="E8716" t="s">
        <v>32</v>
      </c>
      <c r="F8716" t="s">
        <v>34</v>
      </c>
      <c r="G8716" t="str">
        <f t="shared" si="356"/>
        <v>018RUBICON</v>
      </c>
      <c r="H8716" s="5">
        <v>3330</v>
      </c>
      <c r="I8716" s="6">
        <v>1768.8</v>
      </c>
      <c r="J8716" s="5">
        <v>13400</v>
      </c>
      <c r="K8716" s="6">
        <f t="shared" si="357"/>
        <v>1.8826322930800543</v>
      </c>
    </row>
    <row r="8717" spans="1:11" hidden="1">
      <c r="A8717" s="4">
        <v>2026</v>
      </c>
      <c r="B8717">
        <v>29</v>
      </c>
      <c r="C8717" t="s">
        <v>10</v>
      </c>
      <c r="D8717" t="s">
        <v>11</v>
      </c>
      <c r="E8717" t="s">
        <v>35</v>
      </c>
      <c r="F8717" t="s">
        <v>15</v>
      </c>
      <c r="G8717" t="str">
        <f t="shared" si="356"/>
        <v>019BELLINA</v>
      </c>
      <c r="H8717" s="5">
        <v>1395</v>
      </c>
      <c r="I8717" s="6">
        <v>1029.5999999999999</v>
      </c>
      <c r="J8717" s="5">
        <v>7800</v>
      </c>
      <c r="K8717" s="6">
        <f t="shared" si="357"/>
        <v>1.354895104895105</v>
      </c>
    </row>
    <row r="8718" spans="1:11" hidden="1">
      <c r="A8718" s="4">
        <v>2026</v>
      </c>
      <c r="B8718">
        <v>29</v>
      </c>
      <c r="C8718" t="s">
        <v>10</v>
      </c>
      <c r="D8718" t="s">
        <v>11</v>
      </c>
      <c r="E8718" t="s">
        <v>36</v>
      </c>
      <c r="F8718" t="s">
        <v>37</v>
      </c>
      <c r="G8718" t="str">
        <f t="shared" si="356"/>
        <v>020SUMMER DANCE</v>
      </c>
      <c r="H8718" s="5">
        <v>3175</v>
      </c>
      <c r="I8718" s="6">
        <v>1346.4</v>
      </c>
      <c r="J8718" s="5">
        <v>10200</v>
      </c>
      <c r="K8718" s="6">
        <f t="shared" si="357"/>
        <v>2.3581402257872845</v>
      </c>
    </row>
    <row r="8719" spans="1:11" hidden="1">
      <c r="A8719" s="4">
        <v>2026</v>
      </c>
      <c r="B8719">
        <v>29</v>
      </c>
      <c r="C8719" t="s">
        <v>10</v>
      </c>
      <c r="D8719" t="s">
        <v>11</v>
      </c>
      <c r="E8719" t="s">
        <v>38</v>
      </c>
      <c r="F8719" t="s">
        <v>39</v>
      </c>
      <c r="G8719" t="str">
        <f t="shared" si="356"/>
        <v>021ELEGANT ROSEVER</v>
      </c>
      <c r="H8719" s="5">
        <v>330</v>
      </c>
      <c r="I8719" s="6">
        <v>440.18999062500001</v>
      </c>
      <c r="J8719" s="5">
        <v>3200</v>
      </c>
      <c r="K8719" s="6">
        <f t="shared" si="357"/>
        <v>0.74967629211980102</v>
      </c>
    </row>
    <row r="8720" spans="1:11" hidden="1">
      <c r="A8720" s="4">
        <v>2026</v>
      </c>
      <c r="B8720">
        <v>29</v>
      </c>
      <c r="C8720" t="s">
        <v>10</v>
      </c>
      <c r="D8720" t="s">
        <v>11</v>
      </c>
      <c r="E8720" t="s">
        <v>38</v>
      </c>
      <c r="F8720" t="s">
        <v>40</v>
      </c>
      <c r="G8720" t="str">
        <f t="shared" si="356"/>
        <v>021FLAME CLUB</v>
      </c>
      <c r="H8720" s="5">
        <v>1600</v>
      </c>
      <c r="I8720" s="6">
        <v>880.38</v>
      </c>
      <c r="J8720" s="5">
        <v>6400</v>
      </c>
      <c r="K8720" s="6">
        <f t="shared" si="357"/>
        <v>1.8173970330993434</v>
      </c>
    </row>
    <row r="8721" spans="1:11" hidden="1">
      <c r="A8721" s="4">
        <v>2026</v>
      </c>
      <c r="B8721">
        <v>29</v>
      </c>
      <c r="C8721" t="s">
        <v>10</v>
      </c>
      <c r="D8721" t="s">
        <v>11</v>
      </c>
      <c r="E8721" t="s">
        <v>38</v>
      </c>
      <c r="F8721" t="s">
        <v>41</v>
      </c>
      <c r="G8721" t="str">
        <f t="shared" si="356"/>
        <v>021KELLY</v>
      </c>
      <c r="H8721" s="5">
        <v>650</v>
      </c>
      <c r="I8721" s="6">
        <v>330.14249999999998</v>
      </c>
      <c r="J8721" s="5">
        <v>2400</v>
      </c>
      <c r="K8721" s="6">
        <f t="shared" si="357"/>
        <v>1.9688467858576222</v>
      </c>
    </row>
    <row r="8722" spans="1:11" hidden="1">
      <c r="A8722" s="4">
        <v>2026</v>
      </c>
      <c r="B8722">
        <v>29</v>
      </c>
      <c r="C8722" t="s">
        <v>10</v>
      </c>
      <c r="D8722" t="s">
        <v>11</v>
      </c>
      <c r="E8722" t="s">
        <v>38</v>
      </c>
      <c r="F8722" t="s">
        <v>42</v>
      </c>
      <c r="G8722" t="str">
        <f t="shared" si="356"/>
        <v>021LEILA</v>
      </c>
      <c r="H8722" s="5">
        <v>2900</v>
      </c>
      <c r="I8722" s="6">
        <v>1650.7125000000001</v>
      </c>
      <c r="J8722" s="5">
        <v>12000</v>
      </c>
      <c r="K8722" s="6">
        <f t="shared" si="357"/>
        <v>1.756817131996032</v>
      </c>
    </row>
    <row r="8723" spans="1:11" hidden="1">
      <c r="A8723" s="4">
        <v>2026</v>
      </c>
      <c r="B8723">
        <v>29</v>
      </c>
      <c r="C8723" t="s">
        <v>10</v>
      </c>
      <c r="D8723" t="s">
        <v>11</v>
      </c>
      <c r="E8723" t="s">
        <v>38</v>
      </c>
      <c r="F8723" t="s">
        <v>21</v>
      </c>
      <c r="G8723" t="str">
        <f t="shared" si="356"/>
        <v>021SNOW BUBBLES</v>
      </c>
      <c r="H8723" s="5">
        <v>1260</v>
      </c>
      <c r="I8723" s="6">
        <v>1287.0000000000018</v>
      </c>
      <c r="J8723" s="5">
        <v>9400</v>
      </c>
      <c r="K8723" s="6">
        <f t="shared" si="357"/>
        <v>0.97902097902097762</v>
      </c>
    </row>
    <row r="8724" spans="1:11" hidden="1">
      <c r="A8724" s="4">
        <v>2026</v>
      </c>
      <c r="B8724">
        <v>29</v>
      </c>
      <c r="C8724" t="s">
        <v>10</v>
      </c>
      <c r="D8724" t="s">
        <v>11</v>
      </c>
      <c r="E8724" t="s">
        <v>43</v>
      </c>
      <c r="F8724" t="s">
        <v>24</v>
      </c>
      <c r="G8724" t="str">
        <f t="shared" si="356"/>
        <v>022FRUITY BUBBLES</v>
      </c>
      <c r="H8724" s="5">
        <v>3150</v>
      </c>
      <c r="I8724" s="6">
        <v>2641.14</v>
      </c>
      <c r="J8724" s="5">
        <v>19200</v>
      </c>
      <c r="K8724" s="6">
        <f t="shared" si="357"/>
        <v>1.1926668029714442</v>
      </c>
    </row>
    <row r="8725" spans="1:11" hidden="1">
      <c r="A8725" s="4">
        <v>2026</v>
      </c>
      <c r="B8725">
        <v>29</v>
      </c>
      <c r="C8725" t="s">
        <v>10</v>
      </c>
      <c r="D8725" t="s">
        <v>11</v>
      </c>
      <c r="E8725" t="s">
        <v>43</v>
      </c>
      <c r="F8725" t="s">
        <v>28</v>
      </c>
      <c r="G8725" t="str">
        <f t="shared" si="356"/>
        <v>022GOOD PEACH</v>
      </c>
      <c r="H8725" s="5">
        <v>1770</v>
      </c>
      <c r="I8725" s="6">
        <v>880.38</v>
      </c>
      <c r="J8725" s="5">
        <v>6400</v>
      </c>
      <c r="K8725" s="6">
        <f t="shared" si="357"/>
        <v>2.0104954678661486</v>
      </c>
    </row>
    <row r="8726" spans="1:11" hidden="1">
      <c r="A8726" s="4">
        <v>2026</v>
      </c>
      <c r="B8726">
        <v>29</v>
      </c>
      <c r="C8726" t="s">
        <v>10</v>
      </c>
      <c r="D8726" t="s">
        <v>11</v>
      </c>
      <c r="E8726" t="s">
        <v>43</v>
      </c>
      <c r="F8726" t="s">
        <v>44</v>
      </c>
      <c r="G8726" t="str">
        <f t="shared" si="356"/>
        <v>022MIRABEL</v>
      </c>
      <c r="H8726" s="5">
        <v>1340</v>
      </c>
      <c r="I8726" s="6">
        <v>880.38</v>
      </c>
      <c r="J8726" s="5">
        <v>6400</v>
      </c>
      <c r="K8726" s="6">
        <f t="shared" si="357"/>
        <v>1.5220700152207001</v>
      </c>
    </row>
    <row r="8727" spans="1:11" hidden="1">
      <c r="A8727" s="4">
        <v>2026</v>
      </c>
      <c r="B8727">
        <v>29</v>
      </c>
      <c r="C8727" t="s">
        <v>10</v>
      </c>
      <c r="D8727" t="s">
        <v>11</v>
      </c>
      <c r="E8727" t="s">
        <v>45</v>
      </c>
      <c r="F8727" t="s">
        <v>46</v>
      </c>
      <c r="G8727" t="str">
        <f t="shared" si="356"/>
        <v>026PURPLE BUBBLY</v>
      </c>
      <c r="H8727" s="5">
        <v>770</v>
      </c>
      <c r="I8727" s="6">
        <v>1755.4</v>
      </c>
      <c r="J8727" s="5">
        <v>12800</v>
      </c>
      <c r="K8727" s="6">
        <f t="shared" si="357"/>
        <v>0.43864646234476468</v>
      </c>
    </row>
    <row r="8728" spans="1:11" hidden="1">
      <c r="A8728" s="4">
        <v>2026</v>
      </c>
      <c r="B8728">
        <v>29</v>
      </c>
      <c r="C8728" t="s">
        <v>10</v>
      </c>
      <c r="D8728" t="s">
        <v>11</v>
      </c>
      <c r="E8728" t="s">
        <v>47</v>
      </c>
      <c r="F8728" t="s">
        <v>44</v>
      </c>
      <c r="G8728" t="str">
        <f t="shared" si="356"/>
        <v>030MIRABEL</v>
      </c>
      <c r="H8728" s="5">
        <v>2540</v>
      </c>
      <c r="I8728" s="6">
        <v>2413.6749943750001</v>
      </c>
      <c r="J8728" s="5">
        <v>17600</v>
      </c>
      <c r="K8728" s="6">
        <f t="shared" si="357"/>
        <v>1.0523372060941911</v>
      </c>
    </row>
    <row r="8729" spans="1:11" hidden="1">
      <c r="A8729" s="4">
        <v>2026</v>
      </c>
      <c r="B8729">
        <v>29</v>
      </c>
      <c r="C8729" t="s">
        <v>10</v>
      </c>
      <c r="D8729" t="s">
        <v>11</v>
      </c>
      <c r="E8729" t="s">
        <v>47</v>
      </c>
      <c r="F8729" t="s">
        <v>13</v>
      </c>
      <c r="G8729" t="str">
        <f t="shared" si="356"/>
        <v>030SOMERSET</v>
      </c>
      <c r="H8729" s="5">
        <v>3380</v>
      </c>
      <c r="I8729" s="6">
        <v>1645.6875</v>
      </c>
      <c r="J8729" s="5">
        <v>12000</v>
      </c>
      <c r="K8729" s="6">
        <f t="shared" si="357"/>
        <v>2.053852873039383</v>
      </c>
    </row>
    <row r="8730" spans="1:11" hidden="1">
      <c r="A8730" s="4">
        <v>2026</v>
      </c>
      <c r="B8730">
        <v>29</v>
      </c>
      <c r="C8730" t="s">
        <v>10</v>
      </c>
      <c r="D8730" t="s">
        <v>11</v>
      </c>
      <c r="E8730" t="s">
        <v>48</v>
      </c>
      <c r="F8730" t="s">
        <v>49</v>
      </c>
      <c r="G8730" t="str">
        <f t="shared" si="356"/>
        <v>03182989</v>
      </c>
      <c r="H8730" s="5">
        <v>500</v>
      </c>
      <c r="I8730" s="6">
        <v>726.32013058333712</v>
      </c>
      <c r="J8730" s="5">
        <v>5712</v>
      </c>
      <c r="K8730" s="6">
        <f t="shared" si="357"/>
        <v>0.68840168260024648</v>
      </c>
    </row>
    <row r="8731" spans="1:11" hidden="1">
      <c r="A8731" s="4">
        <v>2026</v>
      </c>
      <c r="B8731">
        <v>29</v>
      </c>
      <c r="C8731" t="s">
        <v>10</v>
      </c>
      <c r="D8731" t="s">
        <v>11</v>
      </c>
      <c r="E8731" t="s">
        <v>48</v>
      </c>
      <c r="F8731" t="s">
        <v>34</v>
      </c>
      <c r="G8731" t="str">
        <f t="shared" si="356"/>
        <v>031RUBICON</v>
      </c>
      <c r="H8731" s="5">
        <v>2580</v>
      </c>
      <c r="I8731" s="6">
        <v>924.39958333667107</v>
      </c>
      <c r="J8731" s="5">
        <v>6720</v>
      </c>
      <c r="K8731" s="6">
        <f t="shared" si="357"/>
        <v>2.7910008253004057</v>
      </c>
    </row>
    <row r="8732" spans="1:11" hidden="1">
      <c r="A8732" s="4">
        <v>2026</v>
      </c>
      <c r="B8732">
        <v>29</v>
      </c>
      <c r="C8732" t="s">
        <v>10</v>
      </c>
      <c r="D8732" t="s">
        <v>11</v>
      </c>
      <c r="E8732" t="s">
        <v>48</v>
      </c>
      <c r="F8732" t="s">
        <v>13</v>
      </c>
      <c r="G8732" t="str">
        <f t="shared" si="356"/>
        <v>031SOMERSET</v>
      </c>
      <c r="H8732" s="5">
        <v>200</v>
      </c>
      <c r="I8732" s="6">
        <v>1122.485208333339</v>
      </c>
      <c r="J8732" s="5">
        <v>8160</v>
      </c>
      <c r="K8732" s="6">
        <f t="shared" si="357"/>
        <v>0.17817606727928212</v>
      </c>
    </row>
    <row r="8733" spans="1:11" hidden="1">
      <c r="A8733" s="4">
        <v>2026</v>
      </c>
      <c r="B8733">
        <v>29</v>
      </c>
      <c r="C8733" t="s">
        <v>10</v>
      </c>
      <c r="D8733" t="s">
        <v>11</v>
      </c>
      <c r="E8733" t="s">
        <v>48</v>
      </c>
      <c r="F8733" t="s">
        <v>50</v>
      </c>
      <c r="G8733" t="str">
        <f t="shared" si="356"/>
        <v>031VELVET BLOSSOMS</v>
      </c>
      <c r="H8733" s="5">
        <v>260</v>
      </c>
      <c r="I8733" s="6">
        <v>396.17125000000198</v>
      </c>
      <c r="J8733" s="5">
        <v>2880</v>
      </c>
      <c r="K8733" s="6">
        <f t="shared" si="357"/>
        <v>0.65628184781202248</v>
      </c>
    </row>
    <row r="8734" spans="1:11" hidden="1">
      <c r="A8734" s="4">
        <v>2026</v>
      </c>
      <c r="B8734">
        <v>29</v>
      </c>
      <c r="C8734" t="s">
        <v>10</v>
      </c>
      <c r="D8734" t="s">
        <v>11</v>
      </c>
      <c r="E8734" t="s">
        <v>51</v>
      </c>
      <c r="F8734" t="s">
        <v>17</v>
      </c>
      <c r="G8734" t="str">
        <f t="shared" si="356"/>
        <v>032ELBA</v>
      </c>
      <c r="H8734" s="5">
        <v>2040</v>
      </c>
      <c r="I8734" s="6">
        <v>1535.9749999999999</v>
      </c>
      <c r="J8734" s="5">
        <v>11200</v>
      </c>
      <c r="K8734" s="6">
        <f t="shared" si="357"/>
        <v>1.3281466169696774</v>
      </c>
    </row>
    <row r="8735" spans="1:11" hidden="1">
      <c r="A8735" s="4">
        <v>2026</v>
      </c>
      <c r="B8735">
        <v>29</v>
      </c>
      <c r="C8735" t="s">
        <v>10</v>
      </c>
      <c r="D8735" t="s">
        <v>11</v>
      </c>
      <c r="E8735" t="s">
        <v>51</v>
      </c>
      <c r="F8735" t="s">
        <v>44</v>
      </c>
      <c r="G8735" t="str">
        <f t="shared" si="356"/>
        <v>032MIRABEL</v>
      </c>
      <c r="H8735" s="5">
        <v>1700</v>
      </c>
      <c r="I8735" s="6">
        <v>1535.9749999999999</v>
      </c>
      <c r="J8735" s="5">
        <v>11200</v>
      </c>
      <c r="K8735" s="6">
        <f t="shared" si="357"/>
        <v>1.1067888474747312</v>
      </c>
    </row>
    <row r="8736" spans="1:11" hidden="1">
      <c r="A8736" s="4">
        <v>2026</v>
      </c>
      <c r="B8736">
        <v>29</v>
      </c>
      <c r="C8736" t="s">
        <v>10</v>
      </c>
      <c r="D8736" t="s">
        <v>11</v>
      </c>
      <c r="E8736" t="s">
        <v>52</v>
      </c>
      <c r="F8736" t="s">
        <v>53</v>
      </c>
      <c r="G8736" t="str">
        <f t="shared" si="356"/>
        <v>033CREAMY FOLIES</v>
      </c>
      <c r="H8736" s="5">
        <v>810</v>
      </c>
      <c r="I8736" s="6">
        <v>594.25687500000299</v>
      </c>
      <c r="J8736" s="5">
        <v>4320</v>
      </c>
      <c r="K8736" s="6">
        <f t="shared" si="357"/>
        <v>1.3630469146865081</v>
      </c>
    </row>
    <row r="8737" spans="1:11" hidden="1">
      <c r="A8737" s="4">
        <v>2026</v>
      </c>
      <c r="B8737">
        <v>29</v>
      </c>
      <c r="C8737" t="s">
        <v>10</v>
      </c>
      <c r="D8737" t="s">
        <v>11</v>
      </c>
      <c r="E8737" t="s">
        <v>52</v>
      </c>
      <c r="F8737" t="s">
        <v>18</v>
      </c>
      <c r="G8737" t="str">
        <f t="shared" si="356"/>
        <v>033HOT BUBBLES</v>
      </c>
      <c r="H8737" s="5">
        <v>2620</v>
      </c>
      <c r="I8737" s="6">
        <v>2575.1131250013459</v>
      </c>
      <c r="J8737" s="5">
        <v>18720</v>
      </c>
      <c r="K8737" s="6">
        <f t="shared" si="357"/>
        <v>1.0174310303352714</v>
      </c>
    </row>
    <row r="8738" spans="1:11" hidden="1">
      <c r="A8738" s="4">
        <v>2026</v>
      </c>
      <c r="B8738">
        <v>29</v>
      </c>
      <c r="C8738" t="s">
        <v>54</v>
      </c>
      <c r="D8738" t="s">
        <v>11</v>
      </c>
      <c r="E8738" t="s">
        <v>55</v>
      </c>
      <c r="F8738" t="s">
        <v>56</v>
      </c>
      <c r="G8738" t="str">
        <f t="shared" si="356"/>
        <v>001BELIEVE IN PINK</v>
      </c>
      <c r="H8738" s="5">
        <v>1800</v>
      </c>
      <c r="I8738" s="6">
        <v>528.37931032368999</v>
      </c>
      <c r="J8738" s="5">
        <v>4000</v>
      </c>
      <c r="K8738" s="6">
        <f t="shared" ref="K8738:K8743" si="358">IFERROR(H8738/I8738,"")</f>
        <v>3.4066436077849143</v>
      </c>
    </row>
    <row r="8739" spans="1:11" hidden="1">
      <c r="A8739" s="4">
        <v>2026</v>
      </c>
      <c r="B8739">
        <v>29</v>
      </c>
      <c r="C8739" t="s">
        <v>54</v>
      </c>
      <c r="D8739" t="s">
        <v>11</v>
      </c>
      <c r="E8739" t="s">
        <v>55</v>
      </c>
      <c r="F8739" t="s">
        <v>57</v>
      </c>
      <c r="G8739" t="str">
        <f t="shared" si="356"/>
        <v>001EXPLORER</v>
      </c>
      <c r="H8739" s="5">
        <v>3000</v>
      </c>
      <c r="I8739" s="6">
        <v>2272.0310343918732</v>
      </c>
      <c r="J8739" s="5">
        <v>17200</v>
      </c>
      <c r="K8739" s="6">
        <f t="shared" si="358"/>
        <v>1.3204044991414361</v>
      </c>
    </row>
    <row r="8740" spans="1:11" hidden="1">
      <c r="A8740" s="4">
        <v>2026</v>
      </c>
      <c r="B8740">
        <v>29</v>
      </c>
      <c r="C8740" t="s">
        <v>54</v>
      </c>
      <c r="D8740" t="s">
        <v>11</v>
      </c>
      <c r="E8740" t="s">
        <v>55</v>
      </c>
      <c r="F8740" t="s">
        <v>58</v>
      </c>
      <c r="G8740" t="str">
        <f t="shared" si="356"/>
        <v>001GRACE KELLY</v>
      </c>
      <c r="H8740" s="5">
        <v>1830</v>
      </c>
      <c r="I8740" s="6">
        <v>1162.4344827121224</v>
      </c>
      <c r="J8740" s="5">
        <v>8800</v>
      </c>
      <c r="K8740" s="6">
        <f t="shared" si="358"/>
        <v>1.5742822732945376</v>
      </c>
    </row>
    <row r="8741" spans="1:11" hidden="1">
      <c r="A8741" s="4">
        <v>2026</v>
      </c>
      <c r="B8741">
        <v>29</v>
      </c>
      <c r="C8741" t="s">
        <v>54</v>
      </c>
      <c r="D8741" t="s">
        <v>11</v>
      </c>
      <c r="E8741" t="s">
        <v>55</v>
      </c>
      <c r="F8741" t="s">
        <v>60</v>
      </c>
      <c r="G8741" t="str">
        <f t="shared" si="356"/>
        <v>001LIGHT HOUSE</v>
      </c>
      <c r="H8741" s="5">
        <v>1920</v>
      </c>
      <c r="I8741" s="6">
        <v>1056.7586206473827</v>
      </c>
      <c r="J8741" s="5">
        <v>8000</v>
      </c>
      <c r="K8741" s="6">
        <f t="shared" si="358"/>
        <v>1.8168765908186162</v>
      </c>
    </row>
    <row r="8742" spans="1:11" hidden="1">
      <c r="A8742" s="4">
        <v>2026</v>
      </c>
      <c r="B8742">
        <v>29</v>
      </c>
      <c r="C8742" t="s">
        <v>54</v>
      </c>
      <c r="D8742" t="s">
        <v>11</v>
      </c>
      <c r="E8742" t="s">
        <v>55</v>
      </c>
      <c r="F8742" t="s">
        <v>61</v>
      </c>
      <c r="G8742" t="str">
        <f t="shared" ref="G8742:G8801" si="359">+E8742&amp;F8742</f>
        <v>001LUMIA</v>
      </c>
      <c r="H8742" s="5">
        <v>1920</v>
      </c>
      <c r="I8742" s="6">
        <v>1109.596551679753</v>
      </c>
      <c r="J8742" s="5">
        <v>8400</v>
      </c>
      <c r="K8742" s="6">
        <f t="shared" si="358"/>
        <v>1.7303586579224897</v>
      </c>
    </row>
    <row r="8743" spans="1:11" hidden="1">
      <c r="A8743" s="4">
        <v>2026</v>
      </c>
      <c r="B8743">
        <v>29</v>
      </c>
      <c r="C8743" t="s">
        <v>54</v>
      </c>
      <c r="D8743" t="s">
        <v>11</v>
      </c>
      <c r="E8743" t="s">
        <v>55</v>
      </c>
      <c r="F8743" t="s">
        <v>62</v>
      </c>
      <c r="G8743" t="str">
        <f t="shared" si="359"/>
        <v>001MOMENTUM</v>
      </c>
      <c r="H8743" s="5">
        <v>3175</v>
      </c>
      <c r="I8743" s="6">
        <v>1902.1655171652881</v>
      </c>
      <c r="J8743" s="5">
        <v>14400</v>
      </c>
      <c r="K8743" s="6">
        <f t="shared" si="358"/>
        <v>1.6691502244933765</v>
      </c>
    </row>
    <row r="8744" spans="1:11" hidden="1">
      <c r="A8744" s="4">
        <v>2026</v>
      </c>
      <c r="B8744">
        <v>29</v>
      </c>
      <c r="C8744" t="s">
        <v>54</v>
      </c>
      <c r="D8744" t="s">
        <v>11</v>
      </c>
      <c r="E8744" t="s">
        <v>12</v>
      </c>
      <c r="F8744" t="s">
        <v>63</v>
      </c>
      <c r="G8744" t="str">
        <f t="shared" si="359"/>
        <v>002SUMMER ROMANCE</v>
      </c>
      <c r="H8744" s="5">
        <v>700</v>
      </c>
      <c r="I8744" s="6">
        <v>951.10714281909407</v>
      </c>
      <c r="J8744" s="5">
        <v>7200</v>
      </c>
      <c r="K8744" s="6">
        <f t="shared" ref="K8744:K8803" si="360">+H8744/I8744</f>
        <v>0.7359843791364985</v>
      </c>
    </row>
    <row r="8745" spans="1:11" hidden="1">
      <c r="A8745" s="4">
        <v>2026</v>
      </c>
      <c r="B8745">
        <v>29</v>
      </c>
      <c r="C8745" t="s">
        <v>54</v>
      </c>
      <c r="D8745" t="s">
        <v>11</v>
      </c>
      <c r="E8745" t="s">
        <v>12</v>
      </c>
      <c r="F8745" t="s">
        <v>64</v>
      </c>
      <c r="G8745" t="str">
        <f t="shared" si="359"/>
        <v>002SWEETNESS</v>
      </c>
      <c r="H8745" s="5">
        <v>5550</v>
      </c>
      <c r="I8745" s="6">
        <v>3804.4285712763772</v>
      </c>
      <c r="J8745" s="5">
        <v>28800</v>
      </c>
      <c r="K8745" s="6">
        <f t="shared" si="360"/>
        <v>1.4588261800741307</v>
      </c>
    </row>
    <row r="8746" spans="1:11" hidden="1">
      <c r="A8746" s="4">
        <v>2026</v>
      </c>
      <c r="B8746">
        <v>29</v>
      </c>
      <c r="C8746" t="s">
        <v>54</v>
      </c>
      <c r="D8746" t="s">
        <v>11</v>
      </c>
      <c r="E8746" t="s">
        <v>65</v>
      </c>
      <c r="F8746" t="s">
        <v>66</v>
      </c>
      <c r="G8746" t="str">
        <f t="shared" si="359"/>
        <v>003CABARET</v>
      </c>
      <c r="H8746" s="5">
        <v>8760</v>
      </c>
      <c r="I8746" s="6">
        <v>2641.8965516184649</v>
      </c>
      <c r="J8746" s="5">
        <v>20000</v>
      </c>
      <c r="K8746" s="6">
        <f t="shared" si="360"/>
        <v>3.3157997782439645</v>
      </c>
    </row>
    <row r="8747" spans="1:11" hidden="1">
      <c r="A8747" s="4">
        <v>2026</v>
      </c>
      <c r="B8747">
        <v>29</v>
      </c>
      <c r="C8747" t="s">
        <v>54</v>
      </c>
      <c r="D8747" t="s">
        <v>11</v>
      </c>
      <c r="E8747" t="s">
        <v>65</v>
      </c>
      <c r="F8747" t="s">
        <v>67</v>
      </c>
      <c r="G8747" t="str">
        <f t="shared" si="359"/>
        <v>003DEEP PURPLE</v>
      </c>
      <c r="H8747" s="5">
        <v>16530</v>
      </c>
      <c r="I8747" s="6">
        <v>3592.9793102010913</v>
      </c>
      <c r="J8747" s="5">
        <v>26044</v>
      </c>
      <c r="K8747" s="6">
        <f t="shared" si="360"/>
        <v>4.6006387938467848</v>
      </c>
    </row>
    <row r="8748" spans="1:11" hidden="1">
      <c r="A8748" s="4">
        <v>2026</v>
      </c>
      <c r="B8748">
        <v>29</v>
      </c>
      <c r="C8748" t="s">
        <v>54</v>
      </c>
      <c r="D8748" t="s">
        <v>11</v>
      </c>
      <c r="E8748" t="s">
        <v>65</v>
      </c>
      <c r="F8748" t="s">
        <v>57</v>
      </c>
      <c r="G8748" t="str">
        <f t="shared" si="359"/>
        <v>003EXPLORER</v>
      </c>
      <c r="H8748" s="5">
        <v>1725</v>
      </c>
      <c r="I8748" s="6">
        <v>1268.1103447768633</v>
      </c>
      <c r="J8748" s="5">
        <v>9600</v>
      </c>
      <c r="K8748" s="6">
        <f t="shared" si="360"/>
        <v>1.3602917183863295</v>
      </c>
    </row>
    <row r="8749" spans="1:11" hidden="1">
      <c r="A8749" s="4">
        <v>2026</v>
      </c>
      <c r="B8749">
        <v>29</v>
      </c>
      <c r="C8749" t="s">
        <v>54</v>
      </c>
      <c r="D8749" t="s">
        <v>11</v>
      </c>
      <c r="E8749" t="s">
        <v>65</v>
      </c>
      <c r="F8749" t="s">
        <v>68</v>
      </c>
      <c r="G8749" t="str">
        <f t="shared" si="359"/>
        <v>003JOCKER</v>
      </c>
      <c r="H8749" s="5">
        <v>725</v>
      </c>
      <c r="I8749" s="6">
        <v>528.37931032368999</v>
      </c>
      <c r="J8749" s="5">
        <v>4000</v>
      </c>
      <c r="K8749" s="6">
        <f t="shared" si="360"/>
        <v>1.3721203420244794</v>
      </c>
    </row>
    <row r="8750" spans="1:11" hidden="1">
      <c r="A8750" s="4">
        <v>2026</v>
      </c>
      <c r="B8750">
        <v>29</v>
      </c>
      <c r="C8750" t="s">
        <v>54</v>
      </c>
      <c r="D8750" t="s">
        <v>11</v>
      </c>
      <c r="E8750" t="s">
        <v>65</v>
      </c>
      <c r="F8750" t="s">
        <v>69</v>
      </c>
      <c r="G8750" t="str">
        <f t="shared" si="359"/>
        <v>003QUICKSAND</v>
      </c>
      <c r="H8750" s="5">
        <v>1560</v>
      </c>
      <c r="I8750" s="6">
        <v>1162.4344827121247</v>
      </c>
      <c r="J8750" s="5">
        <v>8800</v>
      </c>
      <c r="K8750" s="6">
        <f t="shared" si="360"/>
        <v>1.3420111182182917</v>
      </c>
    </row>
    <row r="8751" spans="1:11" hidden="1">
      <c r="A8751" s="4">
        <v>2026</v>
      </c>
      <c r="B8751">
        <v>29</v>
      </c>
      <c r="C8751" t="s">
        <v>54</v>
      </c>
      <c r="D8751" t="s">
        <v>11</v>
      </c>
      <c r="E8751" t="s">
        <v>14</v>
      </c>
      <c r="F8751" t="s">
        <v>70</v>
      </c>
      <c r="G8751" t="str">
        <f t="shared" si="359"/>
        <v>004COTOPAXI</v>
      </c>
      <c r="H8751" s="5">
        <v>870</v>
      </c>
      <c r="I8751" s="6">
        <v>528.3915024419166</v>
      </c>
      <c r="J8751" s="5">
        <v>4000</v>
      </c>
      <c r="K8751" s="6">
        <f t="shared" si="360"/>
        <v>1.6465064180240763</v>
      </c>
    </row>
    <row r="8752" spans="1:11" hidden="1">
      <c r="A8752" s="4">
        <v>2026</v>
      </c>
      <c r="B8752">
        <v>29</v>
      </c>
      <c r="C8752" t="s">
        <v>54</v>
      </c>
      <c r="D8752" t="s">
        <v>11</v>
      </c>
      <c r="E8752" t="s">
        <v>14</v>
      </c>
      <c r="F8752" t="s">
        <v>67</v>
      </c>
      <c r="G8752" t="str">
        <f t="shared" si="359"/>
        <v>004DEEP PURPLE</v>
      </c>
      <c r="H8752" s="5">
        <v>20940</v>
      </c>
      <c r="I8752" s="6">
        <v>3910.1071427007282</v>
      </c>
      <c r="J8752" s="5">
        <v>29260</v>
      </c>
      <c r="K8752" s="6">
        <f t="shared" si="360"/>
        <v>5.3553519726665728</v>
      </c>
    </row>
    <row r="8753" spans="1:11" hidden="1">
      <c r="A8753" s="4">
        <v>2026</v>
      </c>
      <c r="B8753">
        <v>29</v>
      </c>
      <c r="C8753" t="s">
        <v>54</v>
      </c>
      <c r="D8753" t="s">
        <v>11</v>
      </c>
      <c r="E8753" t="s">
        <v>14</v>
      </c>
      <c r="F8753" t="s">
        <v>71</v>
      </c>
      <c r="G8753" t="str">
        <f t="shared" si="359"/>
        <v>004HOT EXPLORER</v>
      </c>
      <c r="H8753" s="5">
        <v>1775</v>
      </c>
      <c r="I8753" s="6">
        <v>1902.2142856381945</v>
      </c>
      <c r="J8753" s="5">
        <v>14400</v>
      </c>
      <c r="K8753" s="6">
        <f t="shared" si="360"/>
        <v>0.9331230521194861</v>
      </c>
    </row>
    <row r="8754" spans="1:11" hidden="1">
      <c r="A8754" s="4">
        <v>2026</v>
      </c>
      <c r="B8754">
        <v>29</v>
      </c>
      <c r="C8754" t="s">
        <v>54</v>
      </c>
      <c r="D8754" t="s">
        <v>11</v>
      </c>
      <c r="E8754" t="s">
        <v>14</v>
      </c>
      <c r="F8754" t="s">
        <v>72</v>
      </c>
      <c r="G8754" t="str">
        <f t="shared" si="359"/>
        <v>004HOT MERENGUE</v>
      </c>
      <c r="H8754" s="5">
        <v>3090</v>
      </c>
      <c r="I8754" s="6">
        <v>1162.4642856677858</v>
      </c>
      <c r="J8754" s="5">
        <v>8800</v>
      </c>
      <c r="K8754" s="6">
        <f t="shared" si="360"/>
        <v>2.6581461797124613</v>
      </c>
    </row>
    <row r="8755" spans="1:11" hidden="1">
      <c r="A8755" s="4">
        <v>2026</v>
      </c>
      <c r="B8755">
        <v>29</v>
      </c>
      <c r="C8755" t="s">
        <v>54</v>
      </c>
      <c r="D8755" t="s">
        <v>11</v>
      </c>
      <c r="E8755" t="s">
        <v>14</v>
      </c>
      <c r="F8755" t="s">
        <v>64</v>
      </c>
      <c r="G8755" t="str">
        <f t="shared" si="359"/>
        <v>004SWEETNESS</v>
      </c>
      <c r="H8755" s="5">
        <v>810</v>
      </c>
      <c r="I8755" s="6">
        <v>317.03571427303262</v>
      </c>
      <c r="J8755" s="5">
        <v>2400</v>
      </c>
      <c r="K8755" s="6">
        <f t="shared" si="360"/>
        <v>2.5549172018595492</v>
      </c>
    </row>
    <row r="8756" spans="1:11" hidden="1">
      <c r="A8756" s="4">
        <v>2026</v>
      </c>
      <c r="B8756">
        <v>29</v>
      </c>
      <c r="C8756" t="s">
        <v>54</v>
      </c>
      <c r="D8756" t="s">
        <v>11</v>
      </c>
      <c r="E8756" t="s">
        <v>16</v>
      </c>
      <c r="F8756" t="s">
        <v>57</v>
      </c>
      <c r="G8756" t="str">
        <f t="shared" si="359"/>
        <v>005EXPLORER</v>
      </c>
      <c r="H8756" s="5">
        <v>1025</v>
      </c>
      <c r="I8756" s="6">
        <v>951.10714281875391</v>
      </c>
      <c r="J8756" s="5">
        <v>7200</v>
      </c>
      <c r="K8756" s="6">
        <f t="shared" si="360"/>
        <v>1.0776914123074011</v>
      </c>
    </row>
    <row r="8757" spans="1:11" hidden="1">
      <c r="A8757" s="4">
        <v>2026</v>
      </c>
      <c r="B8757">
        <v>29</v>
      </c>
      <c r="C8757" t="s">
        <v>54</v>
      </c>
      <c r="D8757" t="s">
        <v>11</v>
      </c>
      <c r="E8757" t="s">
        <v>16</v>
      </c>
      <c r="F8757" t="s">
        <v>73</v>
      </c>
      <c r="G8757" t="str">
        <f t="shared" si="359"/>
        <v>005GOLDFINCH</v>
      </c>
      <c r="H8757" s="5">
        <v>1225</v>
      </c>
      <c r="I8757" s="6">
        <v>898.26785710660101</v>
      </c>
      <c r="J8757" s="5">
        <v>6800</v>
      </c>
      <c r="K8757" s="6">
        <f t="shared" si="360"/>
        <v>1.3637357613416468</v>
      </c>
    </row>
    <row r="8758" spans="1:11" hidden="1">
      <c r="A8758" s="4">
        <v>2026</v>
      </c>
      <c r="B8758">
        <v>29</v>
      </c>
      <c r="C8758" t="s">
        <v>54</v>
      </c>
      <c r="D8758" t="s">
        <v>11</v>
      </c>
      <c r="E8758" t="s">
        <v>16</v>
      </c>
      <c r="F8758" t="s">
        <v>68</v>
      </c>
      <c r="G8758" t="str">
        <f t="shared" si="359"/>
        <v>005JOCKER</v>
      </c>
      <c r="H8758" s="5">
        <v>1900</v>
      </c>
      <c r="I8758" s="6">
        <v>1162.4642856673661</v>
      </c>
      <c r="J8758" s="5">
        <v>8800</v>
      </c>
      <c r="K8758" s="6">
        <f t="shared" si="360"/>
        <v>1.6344588160050162</v>
      </c>
    </row>
    <row r="8759" spans="1:11" hidden="1">
      <c r="A8759" s="4">
        <v>2026</v>
      </c>
      <c r="B8759">
        <v>29</v>
      </c>
      <c r="C8759" t="s">
        <v>54</v>
      </c>
      <c r="D8759" t="s">
        <v>11</v>
      </c>
      <c r="E8759" t="s">
        <v>16</v>
      </c>
      <c r="F8759" t="s">
        <v>74</v>
      </c>
      <c r="G8759" t="str">
        <f t="shared" si="359"/>
        <v>005VENDELA</v>
      </c>
      <c r="H8759" s="5">
        <v>1320</v>
      </c>
      <c r="I8759" s="6">
        <v>686.91071425798896</v>
      </c>
      <c r="J8759" s="5">
        <v>5200</v>
      </c>
      <c r="K8759" s="6">
        <f t="shared" si="360"/>
        <v>1.9216471261856549</v>
      </c>
    </row>
    <row r="8760" spans="1:11" hidden="1">
      <c r="A8760" s="4">
        <v>2026</v>
      </c>
      <c r="B8760">
        <v>29</v>
      </c>
      <c r="C8760" t="s">
        <v>54</v>
      </c>
      <c r="D8760" t="s">
        <v>11</v>
      </c>
      <c r="E8760" t="s">
        <v>75</v>
      </c>
      <c r="F8760" t="s">
        <v>76</v>
      </c>
      <c r="G8760" t="str">
        <f t="shared" si="359"/>
        <v>006ATOMIC</v>
      </c>
      <c r="H8760" s="5">
        <v>2075</v>
      </c>
      <c r="I8760" s="6">
        <v>845.428571394752</v>
      </c>
      <c r="J8760" s="5">
        <v>6400</v>
      </c>
      <c r="K8760" s="6">
        <f t="shared" si="360"/>
        <v>2.4543764786382289</v>
      </c>
    </row>
    <row r="8761" spans="1:11" hidden="1">
      <c r="A8761" s="4">
        <v>2026</v>
      </c>
      <c r="B8761">
        <v>29</v>
      </c>
      <c r="C8761" t="s">
        <v>54</v>
      </c>
      <c r="D8761" t="s">
        <v>11</v>
      </c>
      <c r="E8761" t="s">
        <v>75</v>
      </c>
      <c r="F8761" t="s">
        <v>57</v>
      </c>
      <c r="G8761" t="str">
        <f t="shared" si="359"/>
        <v>006EXPLORER</v>
      </c>
      <c r="H8761" s="5">
        <v>5625</v>
      </c>
      <c r="I8761" s="6">
        <v>3910.1071427007355</v>
      </c>
      <c r="J8761" s="5">
        <v>29600</v>
      </c>
      <c r="K8761" s="6">
        <f t="shared" si="360"/>
        <v>1.438579505551548</v>
      </c>
    </row>
    <row r="8762" spans="1:11" hidden="1">
      <c r="A8762" s="4">
        <v>2026</v>
      </c>
      <c r="B8762">
        <v>29</v>
      </c>
      <c r="C8762" t="s">
        <v>54</v>
      </c>
      <c r="D8762" t="s">
        <v>11</v>
      </c>
      <c r="E8762" t="s">
        <v>75</v>
      </c>
      <c r="F8762" t="s">
        <v>77</v>
      </c>
      <c r="G8762" t="str">
        <f t="shared" si="359"/>
        <v>006MONDIAL</v>
      </c>
      <c r="H8762" s="5">
        <v>5625</v>
      </c>
      <c r="I8762" s="6">
        <v>4015.7857141250793</v>
      </c>
      <c r="J8762" s="5">
        <v>30400</v>
      </c>
      <c r="K8762" s="6">
        <f t="shared" si="360"/>
        <v>1.4007221501422968</v>
      </c>
    </row>
    <row r="8763" spans="1:11" hidden="1">
      <c r="A8763" s="4">
        <v>2026</v>
      </c>
      <c r="B8763">
        <v>29</v>
      </c>
      <c r="C8763" t="s">
        <v>54</v>
      </c>
      <c r="D8763" t="s">
        <v>11</v>
      </c>
      <c r="E8763" t="s">
        <v>20</v>
      </c>
      <c r="F8763" t="s">
        <v>70</v>
      </c>
      <c r="G8763" t="str">
        <f t="shared" si="359"/>
        <v>007COTOPAXI</v>
      </c>
      <c r="H8763" s="5">
        <v>6870</v>
      </c>
      <c r="I8763" s="6">
        <v>2747.5751230427709</v>
      </c>
      <c r="J8763" s="5">
        <v>20800</v>
      </c>
      <c r="K8763" s="6">
        <f t="shared" si="360"/>
        <v>2.5003865926664441</v>
      </c>
    </row>
    <row r="8764" spans="1:11" hidden="1">
      <c r="A8764" s="4">
        <v>2026</v>
      </c>
      <c r="B8764">
        <v>29</v>
      </c>
      <c r="C8764" t="s">
        <v>54</v>
      </c>
      <c r="D8764" t="s">
        <v>11</v>
      </c>
      <c r="E8764" t="s">
        <v>20</v>
      </c>
      <c r="F8764" t="s">
        <v>78</v>
      </c>
      <c r="G8764" t="str">
        <f t="shared" si="359"/>
        <v>007REDIANT</v>
      </c>
      <c r="H8764" s="5">
        <v>930</v>
      </c>
      <c r="I8764" s="6">
        <v>1056.75862064738</v>
      </c>
      <c r="J8764" s="5">
        <v>9600</v>
      </c>
      <c r="K8764" s="6">
        <f t="shared" si="360"/>
        <v>0.88004959867776944</v>
      </c>
    </row>
    <row r="8765" spans="1:11" hidden="1">
      <c r="A8765" s="4">
        <v>2026</v>
      </c>
      <c r="B8765">
        <v>29</v>
      </c>
      <c r="C8765" t="s">
        <v>54</v>
      </c>
      <c r="D8765" t="s">
        <v>11</v>
      </c>
      <c r="E8765" t="s">
        <v>20</v>
      </c>
      <c r="F8765" t="s">
        <v>74</v>
      </c>
      <c r="G8765" t="str">
        <f t="shared" si="359"/>
        <v>007VENDELA</v>
      </c>
      <c r="H8765" s="5">
        <v>8670</v>
      </c>
      <c r="I8765" s="6">
        <v>3592.9793102011122</v>
      </c>
      <c r="J8765" s="5">
        <v>27820</v>
      </c>
      <c r="K8765" s="6">
        <f t="shared" si="360"/>
        <v>2.4130392221809673</v>
      </c>
    </row>
    <row r="8766" spans="1:11" hidden="1">
      <c r="A8766" s="4">
        <v>2026</v>
      </c>
      <c r="B8766">
        <v>29</v>
      </c>
      <c r="C8766" t="s">
        <v>54</v>
      </c>
      <c r="D8766" t="s">
        <v>11</v>
      </c>
      <c r="E8766" t="s">
        <v>79</v>
      </c>
      <c r="F8766" t="s">
        <v>67</v>
      </c>
      <c r="G8766" t="str">
        <f t="shared" si="359"/>
        <v>008DEEP PURPLE</v>
      </c>
      <c r="H8766" s="5">
        <v>7740</v>
      </c>
      <c r="I8766" s="6">
        <v>1585.2222221588099</v>
      </c>
      <c r="J8766" s="5">
        <v>11490</v>
      </c>
      <c r="K8766" s="6">
        <f t="shared" si="360"/>
        <v>4.8825962012186546</v>
      </c>
    </row>
    <row r="8767" spans="1:11" hidden="1">
      <c r="A8767" s="4">
        <v>2026</v>
      </c>
      <c r="B8767">
        <v>29</v>
      </c>
      <c r="C8767" t="s">
        <v>54</v>
      </c>
      <c r="D8767" t="s">
        <v>11</v>
      </c>
      <c r="E8767" t="s">
        <v>79</v>
      </c>
      <c r="F8767" t="s">
        <v>81</v>
      </c>
      <c r="G8767" t="str">
        <f t="shared" si="359"/>
        <v>008FREEDOM</v>
      </c>
      <c r="H8767" s="5">
        <v>4440</v>
      </c>
      <c r="I8767" s="6">
        <v>2219.311111022334</v>
      </c>
      <c r="J8767" s="5">
        <v>16800</v>
      </c>
      <c r="K8767" s="6">
        <f t="shared" si="360"/>
        <v>2.0006208133454066</v>
      </c>
    </row>
    <row r="8768" spans="1:11" hidden="1">
      <c r="A8768" s="4">
        <v>2026</v>
      </c>
      <c r="B8768">
        <v>29</v>
      </c>
      <c r="C8768" t="s">
        <v>54</v>
      </c>
      <c r="D8768" t="s">
        <v>11</v>
      </c>
      <c r="E8768" t="s">
        <v>79</v>
      </c>
      <c r="F8768" t="s">
        <v>68</v>
      </c>
      <c r="G8768" t="str">
        <f t="shared" si="359"/>
        <v>008JOCKER</v>
      </c>
      <c r="H8768" s="5">
        <v>3125</v>
      </c>
      <c r="I8768" s="6">
        <v>2959.0814813631118</v>
      </c>
      <c r="J8768" s="5">
        <v>22400</v>
      </c>
      <c r="K8768" s="6">
        <f t="shared" si="360"/>
        <v>1.0560709529906074</v>
      </c>
    </row>
    <row r="8769" spans="1:11" hidden="1">
      <c r="A8769" s="4">
        <v>2026</v>
      </c>
      <c r="B8769">
        <v>29</v>
      </c>
      <c r="C8769" t="s">
        <v>54</v>
      </c>
      <c r="D8769" t="s">
        <v>11</v>
      </c>
      <c r="E8769" t="s">
        <v>82</v>
      </c>
      <c r="F8769" t="s">
        <v>83</v>
      </c>
      <c r="G8769" t="str">
        <f t="shared" si="359"/>
        <v>010COOLDOWN</v>
      </c>
      <c r="H8769" s="5">
        <v>825</v>
      </c>
      <c r="I8769" s="6">
        <v>1912.3542857142861</v>
      </c>
      <c r="J8769" s="5">
        <v>16320</v>
      </c>
      <c r="K8769" s="6">
        <f t="shared" si="360"/>
        <v>0.43140541800383664</v>
      </c>
    </row>
    <row r="8770" spans="1:11" hidden="1">
      <c r="A8770" s="4">
        <v>2026</v>
      </c>
      <c r="B8770">
        <v>29</v>
      </c>
      <c r="C8770" t="s">
        <v>54</v>
      </c>
      <c r="D8770" t="s">
        <v>11</v>
      </c>
      <c r="E8770" t="s">
        <v>82</v>
      </c>
      <c r="F8770" t="s">
        <v>84</v>
      </c>
      <c r="G8770" t="str">
        <f t="shared" si="359"/>
        <v>010VIOLET HILL</v>
      </c>
      <c r="H8770" s="5">
        <v>1260</v>
      </c>
      <c r="I8770" s="6">
        <v>2812.2857142428579</v>
      </c>
      <c r="J8770" s="5">
        <v>20000</v>
      </c>
      <c r="K8770" s="6">
        <f t="shared" si="360"/>
        <v>0.448034135940994</v>
      </c>
    </row>
    <row r="8771" spans="1:11" hidden="1">
      <c r="A8771" s="4">
        <v>2026</v>
      </c>
      <c r="B8771">
        <v>29</v>
      </c>
      <c r="C8771" t="s">
        <v>54</v>
      </c>
      <c r="D8771" t="s">
        <v>11</v>
      </c>
      <c r="E8771" t="s">
        <v>85</v>
      </c>
      <c r="F8771" t="s">
        <v>86</v>
      </c>
      <c r="G8771" t="str">
        <f t="shared" si="359"/>
        <v>011BRIGHTON</v>
      </c>
      <c r="H8771" s="5">
        <v>2350</v>
      </c>
      <c r="I8771" s="6">
        <v>1768.8376470588223</v>
      </c>
      <c r="J8771" s="5">
        <v>12800</v>
      </c>
      <c r="K8771" s="6">
        <f t="shared" si="360"/>
        <v>1.3285560740453028</v>
      </c>
    </row>
    <row r="8772" spans="1:11" hidden="1">
      <c r="A8772" s="4">
        <v>2026</v>
      </c>
      <c r="B8772">
        <v>29</v>
      </c>
      <c r="C8772" t="s">
        <v>54</v>
      </c>
      <c r="D8772" t="s">
        <v>11</v>
      </c>
      <c r="E8772" t="s">
        <v>85</v>
      </c>
      <c r="F8772" t="s">
        <v>87</v>
      </c>
      <c r="G8772" t="str">
        <f t="shared" si="359"/>
        <v>011CANDLELIGHT</v>
      </c>
      <c r="H8772" s="5">
        <v>3980</v>
      </c>
      <c r="I8772" s="6">
        <v>2263.7999998868127</v>
      </c>
      <c r="J8772" s="5">
        <v>17920</v>
      </c>
      <c r="K8772" s="6">
        <f t="shared" si="360"/>
        <v>1.758105839826396</v>
      </c>
    </row>
    <row r="8773" spans="1:11" hidden="1">
      <c r="A8773" s="4">
        <v>2026</v>
      </c>
      <c r="B8773">
        <v>29</v>
      </c>
      <c r="C8773" t="s">
        <v>54</v>
      </c>
      <c r="D8773" t="s">
        <v>11</v>
      </c>
      <c r="E8773" t="s">
        <v>85</v>
      </c>
      <c r="F8773" t="s">
        <v>88</v>
      </c>
      <c r="G8773" t="str">
        <f t="shared" si="359"/>
        <v>011CAYENNE</v>
      </c>
      <c r="H8773" s="5">
        <v>1800</v>
      </c>
      <c r="I8773" s="6">
        <v>994.97117647058747</v>
      </c>
      <c r="J8773" s="5">
        <v>7200</v>
      </c>
      <c r="K8773" s="6">
        <f t="shared" si="360"/>
        <v>1.8090976327425401</v>
      </c>
    </row>
    <row r="8774" spans="1:11" hidden="1">
      <c r="A8774" s="4">
        <v>2026</v>
      </c>
      <c r="B8774">
        <v>29</v>
      </c>
      <c r="C8774" t="s">
        <v>54</v>
      </c>
      <c r="D8774" t="s">
        <v>11</v>
      </c>
      <c r="E8774" t="s">
        <v>85</v>
      </c>
      <c r="F8774" t="s">
        <v>61</v>
      </c>
      <c r="G8774" t="str">
        <f t="shared" si="359"/>
        <v>011LUMIA</v>
      </c>
      <c r="H8774" s="5">
        <v>1620</v>
      </c>
      <c r="I8774" s="6">
        <v>994.97117647058747</v>
      </c>
      <c r="J8774" s="5">
        <v>7920</v>
      </c>
      <c r="K8774" s="6">
        <f t="shared" si="360"/>
        <v>1.6281878694682861</v>
      </c>
    </row>
    <row r="8775" spans="1:11" hidden="1">
      <c r="A8775" s="4">
        <v>2026</v>
      </c>
      <c r="B8775">
        <v>29</v>
      </c>
      <c r="C8775" t="s">
        <v>54</v>
      </c>
      <c r="D8775" t="s">
        <v>11</v>
      </c>
      <c r="E8775" t="s">
        <v>85</v>
      </c>
      <c r="F8775" t="s">
        <v>89</v>
      </c>
      <c r="G8775" t="str">
        <f t="shared" si="359"/>
        <v>011STARDUST</v>
      </c>
      <c r="H8775" s="5">
        <v>3375</v>
      </c>
      <c r="I8775" s="6">
        <v>2263.7999998868127</v>
      </c>
      <c r="J8775" s="5">
        <v>17920</v>
      </c>
      <c r="K8775" s="6">
        <f t="shared" si="360"/>
        <v>1.4908560827673585</v>
      </c>
    </row>
    <row r="8776" spans="1:11" hidden="1">
      <c r="A8776" s="4">
        <v>2026</v>
      </c>
      <c r="B8776">
        <v>29</v>
      </c>
      <c r="C8776" t="s">
        <v>54</v>
      </c>
      <c r="D8776" t="s">
        <v>11</v>
      </c>
      <c r="E8776" t="s">
        <v>90</v>
      </c>
      <c r="F8776" t="s">
        <v>67</v>
      </c>
      <c r="G8776" t="str">
        <f t="shared" si="359"/>
        <v>012DEEP PURPLE</v>
      </c>
      <c r="H8776" s="5">
        <v>19860</v>
      </c>
      <c r="I8776" s="6">
        <v>6727.0499997982479</v>
      </c>
      <c r="J8776" s="5">
        <v>49210</v>
      </c>
      <c r="K8776" s="6">
        <f t="shared" si="360"/>
        <v>2.9522599059908319</v>
      </c>
    </row>
    <row r="8777" spans="1:11" hidden="1">
      <c r="A8777" s="4">
        <v>2026</v>
      </c>
      <c r="B8777">
        <v>29</v>
      </c>
      <c r="C8777" t="s">
        <v>54</v>
      </c>
      <c r="D8777" t="s">
        <v>11</v>
      </c>
      <c r="E8777" t="s">
        <v>90</v>
      </c>
      <c r="F8777" t="s">
        <v>60</v>
      </c>
      <c r="G8777" t="str">
        <f t="shared" si="359"/>
        <v>012LIGHT HOUSE</v>
      </c>
      <c r="H8777" s="5">
        <v>1500</v>
      </c>
      <c r="I8777" s="6">
        <v>994.95</v>
      </c>
      <c r="J8777" s="5">
        <v>7200</v>
      </c>
      <c r="K8777" s="6">
        <f t="shared" si="360"/>
        <v>1.5076134479119554</v>
      </c>
    </row>
    <row r="8778" spans="1:11" hidden="1">
      <c r="A8778" s="4">
        <v>2026</v>
      </c>
      <c r="B8778">
        <v>29</v>
      </c>
      <c r="C8778" t="s">
        <v>54</v>
      </c>
      <c r="D8778" t="s">
        <v>11</v>
      </c>
      <c r="E8778" t="s">
        <v>91</v>
      </c>
      <c r="F8778" t="s">
        <v>92</v>
      </c>
      <c r="G8778" t="str">
        <f t="shared" si="359"/>
        <v>013COUNTRY BLUES</v>
      </c>
      <c r="H8778" s="5">
        <v>1775</v>
      </c>
      <c r="I8778" s="6">
        <v>831.6</v>
      </c>
      <c r="J8778" s="5">
        <v>6300</v>
      </c>
      <c r="K8778" s="6">
        <f t="shared" si="360"/>
        <v>2.1344396344396346</v>
      </c>
    </row>
    <row r="8779" spans="1:11" hidden="1">
      <c r="A8779" s="4">
        <v>2026</v>
      </c>
      <c r="B8779">
        <v>29</v>
      </c>
      <c r="C8779" t="s">
        <v>54</v>
      </c>
      <c r="D8779" t="s">
        <v>11</v>
      </c>
      <c r="E8779" t="s">
        <v>91</v>
      </c>
      <c r="F8779" t="s">
        <v>93</v>
      </c>
      <c r="G8779" t="str">
        <f t="shared" si="359"/>
        <v>013LORRAINE</v>
      </c>
      <c r="H8779" s="5">
        <v>3300</v>
      </c>
      <c r="I8779" s="6">
        <v>1267.2</v>
      </c>
      <c r="J8779" s="5">
        <v>9600</v>
      </c>
      <c r="K8779" s="6">
        <f t="shared" si="360"/>
        <v>2.6041666666666665</v>
      </c>
    </row>
    <row r="8780" spans="1:11" hidden="1">
      <c r="A8780" s="4">
        <v>2026</v>
      </c>
      <c r="B8780">
        <v>29</v>
      </c>
      <c r="C8780" t="s">
        <v>54</v>
      </c>
      <c r="D8780" t="s">
        <v>11</v>
      </c>
      <c r="E8780" t="s">
        <v>91</v>
      </c>
      <c r="F8780" t="s">
        <v>61</v>
      </c>
      <c r="G8780" t="str">
        <f t="shared" si="359"/>
        <v>013LUMIA</v>
      </c>
      <c r="H8780" s="5">
        <v>720</v>
      </c>
      <c r="I8780" s="6">
        <v>316.8</v>
      </c>
      <c r="J8780" s="5">
        <v>2400</v>
      </c>
      <c r="K8780" s="6">
        <f t="shared" si="360"/>
        <v>2.2727272727272725</v>
      </c>
    </row>
    <row r="8781" spans="1:11" hidden="1">
      <c r="A8781" s="4">
        <v>2026</v>
      </c>
      <c r="B8781">
        <v>29</v>
      </c>
      <c r="C8781" t="s">
        <v>54</v>
      </c>
      <c r="D8781" t="s">
        <v>11</v>
      </c>
      <c r="E8781" t="s">
        <v>91</v>
      </c>
      <c r="F8781" t="s">
        <v>74</v>
      </c>
      <c r="G8781" t="str">
        <f t="shared" si="359"/>
        <v>013VENDELA</v>
      </c>
      <c r="H8781" s="5">
        <v>9960</v>
      </c>
      <c r="I8781" s="6">
        <v>3603.6</v>
      </c>
      <c r="J8781" s="5">
        <v>27296</v>
      </c>
      <c r="K8781" s="6">
        <f t="shared" si="360"/>
        <v>2.763902763902764</v>
      </c>
    </row>
    <row r="8782" spans="1:11" hidden="1">
      <c r="A8782" s="4">
        <v>2026</v>
      </c>
      <c r="B8782">
        <v>29</v>
      </c>
      <c r="C8782" t="s">
        <v>54</v>
      </c>
      <c r="D8782" t="s">
        <v>11</v>
      </c>
      <c r="E8782" t="s">
        <v>23</v>
      </c>
      <c r="F8782" t="s">
        <v>89</v>
      </c>
      <c r="G8782" t="str">
        <f t="shared" si="359"/>
        <v>014STARDUST</v>
      </c>
      <c r="H8782" s="5">
        <v>7050</v>
      </c>
      <c r="I8782" s="6">
        <v>3682.8</v>
      </c>
      <c r="J8782" s="5">
        <v>27900</v>
      </c>
      <c r="K8782" s="6">
        <f t="shared" si="360"/>
        <v>1.9143043336591723</v>
      </c>
    </row>
    <row r="8783" spans="1:11" hidden="1">
      <c r="A8783" s="4">
        <v>2026</v>
      </c>
      <c r="B8783">
        <v>29</v>
      </c>
      <c r="C8783" t="s">
        <v>54</v>
      </c>
      <c r="D8783" t="s">
        <v>11</v>
      </c>
      <c r="E8783" t="s">
        <v>25</v>
      </c>
      <c r="F8783" t="s">
        <v>68</v>
      </c>
      <c r="G8783" t="str">
        <f t="shared" si="359"/>
        <v>015JOCKER</v>
      </c>
      <c r="H8783" s="5">
        <v>3700</v>
      </c>
      <c r="I8783" s="6">
        <v>2376</v>
      </c>
      <c r="J8783" s="5">
        <v>18000</v>
      </c>
      <c r="K8783" s="6">
        <f t="shared" si="360"/>
        <v>1.5572390572390573</v>
      </c>
    </row>
    <row r="8784" spans="1:11" hidden="1">
      <c r="A8784" s="4">
        <v>2026</v>
      </c>
      <c r="B8784">
        <v>29</v>
      </c>
      <c r="C8784" t="s">
        <v>54</v>
      </c>
      <c r="D8784" t="s">
        <v>11</v>
      </c>
      <c r="E8784" t="s">
        <v>27</v>
      </c>
      <c r="F8784" t="s">
        <v>94</v>
      </c>
      <c r="G8784" t="str">
        <f t="shared" si="359"/>
        <v>016DREAM IN PEACH</v>
      </c>
      <c r="H8784" s="5">
        <v>1830</v>
      </c>
      <c r="I8784" s="6">
        <v>950.4</v>
      </c>
      <c r="J8784" s="5">
        <v>7200</v>
      </c>
      <c r="K8784" s="6">
        <f t="shared" si="360"/>
        <v>1.9255050505050506</v>
      </c>
    </row>
    <row r="8785" spans="1:11" hidden="1">
      <c r="A8785" s="4">
        <v>2026</v>
      </c>
      <c r="B8785">
        <v>29</v>
      </c>
      <c r="C8785" t="s">
        <v>54</v>
      </c>
      <c r="D8785" t="s">
        <v>11</v>
      </c>
      <c r="E8785" t="s">
        <v>27</v>
      </c>
      <c r="F8785" t="s">
        <v>95</v>
      </c>
      <c r="G8785" t="str">
        <f t="shared" si="359"/>
        <v>016NINA</v>
      </c>
      <c r="H8785" s="5">
        <v>3025</v>
      </c>
      <c r="I8785" s="6">
        <v>1346.4</v>
      </c>
      <c r="J8785" s="5">
        <v>10200</v>
      </c>
      <c r="K8785" s="6">
        <f t="shared" si="360"/>
        <v>2.2467320261437909</v>
      </c>
    </row>
    <row r="8786" spans="1:11" hidden="1">
      <c r="A8786" s="4">
        <v>2026</v>
      </c>
      <c r="B8786">
        <v>29</v>
      </c>
      <c r="C8786" t="s">
        <v>54</v>
      </c>
      <c r="D8786" t="s">
        <v>11</v>
      </c>
      <c r="E8786" t="s">
        <v>30</v>
      </c>
      <c r="F8786" t="s">
        <v>81</v>
      </c>
      <c r="G8786" t="str">
        <f t="shared" si="359"/>
        <v>017FREEDOM</v>
      </c>
      <c r="H8786" s="5">
        <v>7110</v>
      </c>
      <c r="I8786" s="6">
        <v>2851.2</v>
      </c>
      <c r="J8786" s="5">
        <v>21600</v>
      </c>
      <c r="K8786" s="6">
        <f t="shared" si="360"/>
        <v>2.493686868686869</v>
      </c>
    </row>
    <row r="8787" spans="1:11" hidden="1">
      <c r="A8787" s="4">
        <v>2026</v>
      </c>
      <c r="B8787">
        <v>29</v>
      </c>
      <c r="C8787" t="s">
        <v>54</v>
      </c>
      <c r="D8787" t="s">
        <v>11</v>
      </c>
      <c r="E8787" t="s">
        <v>30</v>
      </c>
      <c r="F8787" t="s">
        <v>73</v>
      </c>
      <c r="G8787" t="str">
        <f t="shared" si="359"/>
        <v>017GOLDFINCH</v>
      </c>
      <c r="H8787" s="5">
        <v>2950</v>
      </c>
      <c r="I8787" s="6">
        <v>2138.4</v>
      </c>
      <c r="J8787" s="5">
        <v>16200</v>
      </c>
      <c r="K8787" s="6">
        <f t="shared" si="360"/>
        <v>1.3795361017583239</v>
      </c>
    </row>
    <row r="8788" spans="1:11" hidden="1">
      <c r="A8788" s="4">
        <v>2026</v>
      </c>
      <c r="B8788">
        <v>29</v>
      </c>
      <c r="C8788" t="s">
        <v>54</v>
      </c>
      <c r="D8788" t="s">
        <v>11</v>
      </c>
      <c r="E8788" t="s">
        <v>32</v>
      </c>
      <c r="F8788" t="s">
        <v>86</v>
      </c>
      <c r="G8788" t="str">
        <f t="shared" si="359"/>
        <v>018BRIGHTON</v>
      </c>
      <c r="H8788" s="5">
        <v>2450</v>
      </c>
      <c r="I8788" s="6">
        <v>963.6</v>
      </c>
      <c r="J8788" s="5">
        <v>7570</v>
      </c>
      <c r="K8788" s="6">
        <f t="shared" si="360"/>
        <v>2.5425487754254879</v>
      </c>
    </row>
    <row r="8789" spans="1:11" hidden="1">
      <c r="A8789" s="4">
        <v>2026</v>
      </c>
      <c r="B8789">
        <v>29</v>
      </c>
      <c r="C8789" t="s">
        <v>54</v>
      </c>
      <c r="D8789" t="s">
        <v>11</v>
      </c>
      <c r="E8789" t="s">
        <v>35</v>
      </c>
      <c r="F8789" t="s">
        <v>86</v>
      </c>
      <c r="G8789" t="str">
        <f t="shared" si="359"/>
        <v>019BRIGHTON</v>
      </c>
      <c r="H8789" s="5">
        <v>8375</v>
      </c>
      <c r="I8789" s="6">
        <v>3168</v>
      </c>
      <c r="J8789" s="5">
        <v>24000</v>
      </c>
      <c r="K8789" s="6">
        <f t="shared" si="360"/>
        <v>2.6436237373737375</v>
      </c>
    </row>
    <row r="8790" spans="1:11" hidden="1">
      <c r="A8790" s="4">
        <v>2026</v>
      </c>
      <c r="B8790">
        <v>29</v>
      </c>
      <c r="C8790" t="s">
        <v>54</v>
      </c>
      <c r="D8790" t="s">
        <v>11</v>
      </c>
      <c r="E8790" t="s">
        <v>35</v>
      </c>
      <c r="F8790" t="s">
        <v>96</v>
      </c>
      <c r="G8790" t="str">
        <f t="shared" si="359"/>
        <v>019TABATHA</v>
      </c>
      <c r="H8790" s="5">
        <v>3090</v>
      </c>
      <c r="I8790" s="6">
        <v>1188</v>
      </c>
      <c r="J8790" s="5">
        <v>9000</v>
      </c>
      <c r="K8790" s="6">
        <f t="shared" si="360"/>
        <v>2.6010101010101012</v>
      </c>
    </row>
    <row r="8791" spans="1:11" hidden="1">
      <c r="A8791" s="4">
        <v>2026</v>
      </c>
      <c r="B8791">
        <v>29</v>
      </c>
      <c r="C8791" t="s">
        <v>54</v>
      </c>
      <c r="D8791" t="s">
        <v>11</v>
      </c>
      <c r="E8791" t="s">
        <v>36</v>
      </c>
      <c r="F8791" t="s">
        <v>86</v>
      </c>
      <c r="G8791" t="str">
        <f t="shared" si="359"/>
        <v>020BRIGHTON</v>
      </c>
      <c r="H8791" s="5">
        <v>4775</v>
      </c>
      <c r="I8791" s="6">
        <v>2732.4</v>
      </c>
      <c r="J8791" s="5">
        <v>20700</v>
      </c>
      <c r="K8791" s="6">
        <f t="shared" si="360"/>
        <v>1.7475479432001171</v>
      </c>
    </row>
    <row r="8792" spans="1:11" hidden="1">
      <c r="A8792" s="4">
        <v>2026</v>
      </c>
      <c r="B8792">
        <v>29</v>
      </c>
      <c r="C8792" t="s">
        <v>54</v>
      </c>
      <c r="D8792" t="s">
        <v>11</v>
      </c>
      <c r="E8792" t="s">
        <v>36</v>
      </c>
      <c r="F8792" t="s">
        <v>97</v>
      </c>
      <c r="G8792" t="str">
        <f t="shared" si="359"/>
        <v>020TYCOON</v>
      </c>
      <c r="H8792" s="5">
        <v>1440</v>
      </c>
      <c r="I8792" s="6">
        <v>673.2</v>
      </c>
      <c r="J8792" s="5">
        <v>5100</v>
      </c>
      <c r="K8792" s="6">
        <f t="shared" si="360"/>
        <v>2.1390374331550799</v>
      </c>
    </row>
    <row r="8793" spans="1:11" hidden="1">
      <c r="A8793" s="4">
        <v>2026</v>
      </c>
      <c r="B8793">
        <v>29</v>
      </c>
      <c r="C8793" t="s">
        <v>54</v>
      </c>
      <c r="D8793" t="s">
        <v>11</v>
      </c>
      <c r="E8793" t="s">
        <v>38</v>
      </c>
      <c r="F8793" t="s">
        <v>98</v>
      </c>
      <c r="G8793" t="str">
        <f t="shared" si="359"/>
        <v>021SHOW GIRL</v>
      </c>
      <c r="H8793" s="5">
        <v>1075</v>
      </c>
      <c r="I8793" s="6">
        <v>1100.4749999999999</v>
      </c>
      <c r="J8793" s="5">
        <v>8000</v>
      </c>
      <c r="K8793" s="6">
        <f t="shared" si="360"/>
        <v>0.97685090529089724</v>
      </c>
    </row>
    <row r="8794" spans="1:11" hidden="1">
      <c r="A8794" s="4">
        <v>2026</v>
      </c>
      <c r="B8794">
        <v>29</v>
      </c>
      <c r="C8794" t="s">
        <v>54</v>
      </c>
      <c r="D8794" t="s">
        <v>11</v>
      </c>
      <c r="E8794" t="s">
        <v>43</v>
      </c>
      <c r="F8794" t="s">
        <v>99</v>
      </c>
      <c r="G8794" t="str">
        <f t="shared" si="359"/>
        <v>022CORAL REEF</v>
      </c>
      <c r="H8794" s="5">
        <v>2400</v>
      </c>
      <c r="I8794" s="6">
        <v>1287</v>
      </c>
      <c r="J8794" s="5">
        <v>9400</v>
      </c>
      <c r="K8794" s="6">
        <f t="shared" si="360"/>
        <v>1.8648018648018647</v>
      </c>
    </row>
    <row r="8795" spans="1:11" hidden="1">
      <c r="A8795" s="4">
        <v>2026</v>
      </c>
      <c r="B8795">
        <v>29</v>
      </c>
      <c r="C8795" t="s">
        <v>54</v>
      </c>
      <c r="D8795" t="s">
        <v>11</v>
      </c>
      <c r="E8795" t="s">
        <v>100</v>
      </c>
      <c r="F8795" t="s">
        <v>70</v>
      </c>
      <c r="G8795" t="str">
        <f t="shared" si="359"/>
        <v>023COTOPAXI</v>
      </c>
      <c r="H8795" s="5">
        <v>5880</v>
      </c>
      <c r="I8795" s="6">
        <v>2641.14</v>
      </c>
      <c r="J8795" s="5">
        <v>19200</v>
      </c>
      <c r="K8795" s="6">
        <f t="shared" si="360"/>
        <v>2.226311365546696</v>
      </c>
    </row>
    <row r="8796" spans="1:11" hidden="1">
      <c r="A8796" s="4">
        <v>2026</v>
      </c>
      <c r="B8796">
        <v>29</v>
      </c>
      <c r="C8796" t="s">
        <v>54</v>
      </c>
      <c r="D8796" t="s">
        <v>11</v>
      </c>
      <c r="E8796" t="s">
        <v>100</v>
      </c>
      <c r="F8796" t="s">
        <v>101</v>
      </c>
      <c r="G8796" t="str">
        <f t="shared" si="359"/>
        <v>023FRUTTETO</v>
      </c>
      <c r="H8796" s="5">
        <v>8700</v>
      </c>
      <c r="I8796" s="6">
        <v>2641.14</v>
      </c>
      <c r="J8796" s="5">
        <v>19200</v>
      </c>
      <c r="K8796" s="6">
        <f t="shared" si="360"/>
        <v>3.2940321224925602</v>
      </c>
    </row>
    <row r="8797" spans="1:11" hidden="1">
      <c r="A8797" s="4">
        <v>2026</v>
      </c>
      <c r="B8797">
        <v>29</v>
      </c>
      <c r="C8797" t="s">
        <v>54</v>
      </c>
      <c r="D8797" t="s">
        <v>11</v>
      </c>
      <c r="E8797" t="s">
        <v>102</v>
      </c>
      <c r="F8797" t="s">
        <v>70</v>
      </c>
      <c r="G8797" t="str">
        <f t="shared" si="359"/>
        <v>024COTOPAXI</v>
      </c>
      <c r="H8797" s="5">
        <v>2580</v>
      </c>
      <c r="I8797" s="6">
        <v>1430.6174906250001</v>
      </c>
      <c r="J8797" s="5">
        <v>10400</v>
      </c>
      <c r="K8797" s="6">
        <f t="shared" si="360"/>
        <v>1.8034170677396544</v>
      </c>
    </row>
    <row r="8798" spans="1:11" hidden="1">
      <c r="A8798" s="4">
        <v>2026</v>
      </c>
      <c r="B8798">
        <v>29</v>
      </c>
      <c r="C8798" t="s">
        <v>54</v>
      </c>
      <c r="D8798" t="s">
        <v>11</v>
      </c>
      <c r="E8798" t="s">
        <v>102</v>
      </c>
      <c r="F8798" t="s">
        <v>64</v>
      </c>
      <c r="G8798" t="str">
        <f t="shared" si="359"/>
        <v>024SWEETNESS</v>
      </c>
      <c r="H8798" s="5">
        <v>840</v>
      </c>
      <c r="I8798" s="6">
        <v>1430.6175000000001</v>
      </c>
      <c r="J8798" s="5">
        <v>10400</v>
      </c>
      <c r="K8798" s="6">
        <f t="shared" si="360"/>
        <v>0.58715904146286479</v>
      </c>
    </row>
    <row r="8799" spans="1:11" hidden="1">
      <c r="A8799" s="4">
        <v>2026</v>
      </c>
      <c r="B8799">
        <v>29</v>
      </c>
      <c r="C8799" t="s">
        <v>54</v>
      </c>
      <c r="D8799" t="s">
        <v>11</v>
      </c>
      <c r="E8799" t="s">
        <v>102</v>
      </c>
      <c r="F8799" t="s">
        <v>97</v>
      </c>
      <c r="G8799" t="str">
        <f t="shared" si="359"/>
        <v>024TYCOON</v>
      </c>
      <c r="H8799" s="5">
        <v>1890</v>
      </c>
      <c r="I8799" s="6">
        <v>2861.2350000000001</v>
      </c>
      <c r="J8799" s="5">
        <v>20800</v>
      </c>
      <c r="K8799" s="6">
        <f t="shared" si="360"/>
        <v>0.66055392164572291</v>
      </c>
    </row>
    <row r="8800" spans="1:11" hidden="1">
      <c r="A8800" s="4">
        <v>2026</v>
      </c>
      <c r="B8800">
        <v>29</v>
      </c>
      <c r="C8800" t="s">
        <v>54</v>
      </c>
      <c r="D8800" t="s">
        <v>11</v>
      </c>
      <c r="E8800" t="s">
        <v>103</v>
      </c>
      <c r="F8800" t="s">
        <v>104</v>
      </c>
      <c r="G8800" t="str">
        <f t="shared" si="359"/>
        <v>025PINK MONDIAL</v>
      </c>
      <c r="H8800" s="5">
        <v>4675</v>
      </c>
      <c r="I8800" s="6">
        <v>3071.9505625000002</v>
      </c>
      <c r="J8800" s="5">
        <v>22400</v>
      </c>
      <c r="K8800" s="6">
        <f t="shared" si="360"/>
        <v>1.521834386617021</v>
      </c>
    </row>
    <row r="8801" spans="1:11" hidden="1">
      <c r="A8801" s="4">
        <v>2026</v>
      </c>
      <c r="B8801">
        <v>29</v>
      </c>
      <c r="C8801" t="s">
        <v>54</v>
      </c>
      <c r="D8801" t="s">
        <v>11</v>
      </c>
      <c r="E8801" t="s">
        <v>45</v>
      </c>
      <c r="F8801" t="s">
        <v>105</v>
      </c>
      <c r="G8801" t="str">
        <f t="shared" si="359"/>
        <v>026LOLA</v>
      </c>
      <c r="H8801" s="5">
        <v>5225</v>
      </c>
      <c r="I8801" s="6">
        <v>1097.125</v>
      </c>
      <c r="J8801" s="5">
        <v>8000</v>
      </c>
      <c r="K8801" s="6">
        <f t="shared" si="360"/>
        <v>4.7624473054574459</v>
      </c>
    </row>
    <row r="8802" spans="1:11" hidden="1">
      <c r="A8802" s="4">
        <v>2026</v>
      </c>
      <c r="B8802">
        <v>29</v>
      </c>
      <c r="C8802" t="s">
        <v>54</v>
      </c>
      <c r="D8802" t="s">
        <v>11</v>
      </c>
      <c r="E8802" t="s">
        <v>45</v>
      </c>
      <c r="F8802" t="s">
        <v>106</v>
      </c>
      <c r="G8802" t="str">
        <f t="shared" ref="G8802:G8864" si="361">+E8802&amp;F8802</f>
        <v>026PALOMA</v>
      </c>
      <c r="H8802" s="5">
        <v>6325</v>
      </c>
      <c r="I8802" s="6">
        <v>2852.5250000000001</v>
      </c>
      <c r="J8802" s="5">
        <v>20800</v>
      </c>
      <c r="K8802" s="6">
        <f t="shared" si="360"/>
        <v>2.2173337656988106</v>
      </c>
    </row>
    <row r="8803" spans="1:11" hidden="1">
      <c r="A8803" s="4">
        <v>2026</v>
      </c>
      <c r="B8803">
        <v>29</v>
      </c>
      <c r="C8803" t="s">
        <v>54</v>
      </c>
      <c r="D8803" t="s">
        <v>11</v>
      </c>
      <c r="E8803" t="s">
        <v>107</v>
      </c>
      <c r="F8803" t="s">
        <v>108</v>
      </c>
      <c r="G8803" t="str">
        <f t="shared" si="361"/>
        <v>027SATISFACTION</v>
      </c>
      <c r="H8803" s="5">
        <v>2610</v>
      </c>
      <c r="I8803" s="6">
        <v>2633.1</v>
      </c>
      <c r="J8803" s="5">
        <v>19200</v>
      </c>
      <c r="K8803" s="6">
        <f t="shared" si="360"/>
        <v>0.99122707075310479</v>
      </c>
    </row>
    <row r="8804" spans="1:11" hidden="1">
      <c r="A8804" s="4">
        <v>2026</v>
      </c>
      <c r="B8804">
        <v>29</v>
      </c>
      <c r="C8804" t="s">
        <v>54</v>
      </c>
      <c r="D8804" t="s">
        <v>11</v>
      </c>
      <c r="E8804" t="s">
        <v>107</v>
      </c>
      <c r="F8804" t="s">
        <v>109</v>
      </c>
      <c r="G8804" t="str">
        <f t="shared" si="361"/>
        <v>027TIFFANY</v>
      </c>
      <c r="H8804" s="5">
        <v>2040</v>
      </c>
      <c r="I8804" s="6">
        <v>2633.1</v>
      </c>
      <c r="J8804" s="5">
        <v>19200</v>
      </c>
      <c r="K8804" s="6">
        <f t="shared" ref="K8804:K8843" si="362">+H8804/I8804</f>
        <v>0.7747521932323117</v>
      </c>
    </row>
    <row r="8805" spans="1:11" hidden="1">
      <c r="A8805" s="4">
        <v>2026</v>
      </c>
      <c r="B8805">
        <v>29</v>
      </c>
      <c r="C8805" t="s">
        <v>54</v>
      </c>
      <c r="D8805" t="s">
        <v>11</v>
      </c>
      <c r="E8805" t="s">
        <v>110</v>
      </c>
      <c r="F8805" t="s">
        <v>70</v>
      </c>
      <c r="G8805" t="str">
        <f t="shared" si="361"/>
        <v>028COTOPAXI</v>
      </c>
      <c r="H8805" s="5">
        <v>3210</v>
      </c>
      <c r="I8805" s="6">
        <v>2852.5250000000001</v>
      </c>
      <c r="J8805" s="5">
        <v>20800</v>
      </c>
      <c r="K8805" s="6">
        <f t="shared" si="362"/>
        <v>1.125318796504851</v>
      </c>
    </row>
    <row r="8806" spans="1:11" hidden="1">
      <c r="A8806" s="4">
        <v>2026</v>
      </c>
      <c r="B8806">
        <v>29</v>
      </c>
      <c r="C8806" t="s">
        <v>54</v>
      </c>
      <c r="D8806" t="s">
        <v>11</v>
      </c>
      <c r="E8806" t="s">
        <v>110</v>
      </c>
      <c r="F8806" t="s">
        <v>67</v>
      </c>
      <c r="G8806" t="str">
        <f t="shared" si="361"/>
        <v>028DEEP PURPLE</v>
      </c>
      <c r="H8806" s="5">
        <v>7440</v>
      </c>
      <c r="I8806" s="6">
        <v>2852.5250000000001</v>
      </c>
      <c r="J8806" s="5">
        <v>20800</v>
      </c>
      <c r="K8806" s="6">
        <f t="shared" si="362"/>
        <v>2.6082155283476918</v>
      </c>
    </row>
    <row r="8807" spans="1:11" hidden="1">
      <c r="A8807" s="4">
        <v>2026</v>
      </c>
      <c r="B8807">
        <v>29</v>
      </c>
      <c r="C8807" t="s">
        <v>54</v>
      </c>
      <c r="D8807" t="s">
        <v>11</v>
      </c>
      <c r="E8807" t="s">
        <v>111</v>
      </c>
      <c r="F8807" t="s">
        <v>112</v>
      </c>
      <c r="G8807" t="str">
        <f t="shared" si="361"/>
        <v>029PINK FLOYD</v>
      </c>
      <c r="H8807" s="5">
        <v>3925</v>
      </c>
      <c r="I8807" s="6">
        <v>3071.95</v>
      </c>
      <c r="J8807" s="5">
        <v>22400</v>
      </c>
      <c r="K8807" s="6">
        <f t="shared" si="362"/>
        <v>1.2776900665700941</v>
      </c>
    </row>
    <row r="8808" spans="1:11" hidden="1">
      <c r="A8808" s="4">
        <v>2026</v>
      </c>
      <c r="B8808">
        <v>29</v>
      </c>
      <c r="C8808" t="s">
        <v>54</v>
      </c>
      <c r="D8808" t="s">
        <v>11</v>
      </c>
      <c r="E8808" t="s">
        <v>47</v>
      </c>
      <c r="F8808" t="s">
        <v>57</v>
      </c>
      <c r="G8808" t="str">
        <f t="shared" si="361"/>
        <v>030EXPLORER</v>
      </c>
      <c r="H8808" s="5">
        <v>2275</v>
      </c>
      <c r="I8808" s="6">
        <v>1645.6875</v>
      </c>
      <c r="J8808" s="5">
        <v>12000</v>
      </c>
      <c r="K8808" s="6">
        <f t="shared" si="362"/>
        <v>1.3824009722380464</v>
      </c>
    </row>
    <row r="8809" spans="1:11" hidden="1">
      <c r="A8809" s="4">
        <v>2026</v>
      </c>
      <c r="B8809">
        <v>30</v>
      </c>
      <c r="C8809" t="s">
        <v>10</v>
      </c>
      <c r="D8809" t="s">
        <v>11</v>
      </c>
      <c r="E8809" t="s">
        <v>12</v>
      </c>
      <c r="F8809" t="s">
        <v>13</v>
      </c>
      <c r="G8809" t="str">
        <f t="shared" si="361"/>
        <v>002SOMERSET</v>
      </c>
      <c r="H8809" s="5">
        <f>VLOOKUP(G8809,[7]Astroflores!$G$2:$H$110,2,FALSE)</f>
        <v>8520</v>
      </c>
      <c r="I8809" s="6">
        <v>4121.4642855494085</v>
      </c>
      <c r="J8809" s="5">
        <v>31200</v>
      </c>
      <c r="K8809" s="6">
        <f t="shared" si="362"/>
        <v>2.0672264539262528</v>
      </c>
    </row>
    <row r="8810" spans="1:11" hidden="1">
      <c r="A8810" s="4">
        <v>2026</v>
      </c>
      <c r="B8810">
        <v>30</v>
      </c>
      <c r="C8810" t="s">
        <v>10</v>
      </c>
      <c r="D8810" t="s">
        <v>11</v>
      </c>
      <c r="E8810" t="s">
        <v>14</v>
      </c>
      <c r="F8810" t="s">
        <v>15</v>
      </c>
      <c r="G8810" t="str">
        <f t="shared" si="361"/>
        <v>004BELLINA</v>
      </c>
      <c r="H8810" s="5">
        <f>VLOOKUP(G8810,[7]Astroflores!$G$2:$H$110,2,FALSE)</f>
        <v>2370</v>
      </c>
      <c r="I8810" s="6">
        <v>1056.7857142434418</v>
      </c>
      <c r="J8810" s="5">
        <v>8000</v>
      </c>
      <c r="K8810" s="6">
        <f t="shared" si="362"/>
        <v>2.2426495438544936</v>
      </c>
    </row>
    <row r="8811" spans="1:11" hidden="1">
      <c r="A8811" s="4">
        <v>2026</v>
      </c>
      <c r="B8811">
        <v>30</v>
      </c>
      <c r="C8811" t="s">
        <v>10</v>
      </c>
      <c r="D8811" t="s">
        <v>11</v>
      </c>
      <c r="E8811" t="s">
        <v>16</v>
      </c>
      <c r="F8811" t="s">
        <v>17</v>
      </c>
      <c r="G8811" t="str">
        <f t="shared" si="361"/>
        <v>005ELBA</v>
      </c>
      <c r="H8811" s="5">
        <f>VLOOKUP(G8811,[7]Astroflores!$G$2:$H$110,2,FALSE)</f>
        <v>7080</v>
      </c>
      <c r="I8811" s="6">
        <v>2641.9642856076484</v>
      </c>
      <c r="J8811" s="5">
        <v>19996</v>
      </c>
      <c r="K8811" s="6">
        <f t="shared" si="362"/>
        <v>2.6798242650625417</v>
      </c>
    </row>
    <row r="8812" spans="1:11" hidden="1">
      <c r="A8812" s="4">
        <v>2026</v>
      </c>
      <c r="B8812">
        <v>30</v>
      </c>
      <c r="C8812" t="s">
        <v>10</v>
      </c>
      <c r="D8812" t="s">
        <v>11</v>
      </c>
      <c r="E8812" t="s">
        <v>16</v>
      </c>
      <c r="F8812" t="s">
        <v>18</v>
      </c>
      <c r="G8812" t="str">
        <f t="shared" si="361"/>
        <v>005HOT BUBBLES</v>
      </c>
      <c r="H8812" s="5">
        <f>VLOOKUP(G8812,[7]Astroflores!$G$2:$H$110,2,FALSE)</f>
        <v>1280</v>
      </c>
      <c r="I8812" s="6">
        <v>528.39285712153003</v>
      </c>
      <c r="J8812" s="5">
        <v>4000</v>
      </c>
      <c r="K8812" s="6">
        <f t="shared" si="362"/>
        <v>2.4224400136158555</v>
      </c>
    </row>
    <row r="8813" spans="1:11" hidden="1">
      <c r="A8813" s="4">
        <v>2026</v>
      </c>
      <c r="B8813">
        <v>30</v>
      </c>
      <c r="C8813" t="s">
        <v>10</v>
      </c>
      <c r="D8813" t="s">
        <v>11</v>
      </c>
      <c r="E8813" t="s">
        <v>16</v>
      </c>
      <c r="F8813" t="s">
        <v>19</v>
      </c>
      <c r="G8813" t="str">
        <f t="shared" si="361"/>
        <v>005SUSPIRO</v>
      </c>
      <c r="H8813" s="5">
        <f>VLOOKUP(G8813,[7]Astroflores!$G$2:$H$110,2,FALSE)</f>
        <v>3660</v>
      </c>
      <c r="I8813" s="6">
        <v>1902.2142856375078</v>
      </c>
      <c r="J8813" s="5">
        <v>14400</v>
      </c>
      <c r="K8813" s="6">
        <f t="shared" si="362"/>
        <v>1.9240734483146771</v>
      </c>
    </row>
    <row r="8814" spans="1:11" hidden="1">
      <c r="A8814" s="4">
        <v>2026</v>
      </c>
      <c r="B8814">
        <v>30</v>
      </c>
      <c r="C8814" t="s">
        <v>10</v>
      </c>
      <c r="D8814" t="s">
        <v>11</v>
      </c>
      <c r="E8814" t="s">
        <v>20</v>
      </c>
      <c r="F8814" t="s">
        <v>21</v>
      </c>
      <c r="G8814" t="str">
        <f t="shared" si="361"/>
        <v>007SNOW BUBBLES</v>
      </c>
      <c r="H8814" s="5">
        <f>VLOOKUP(G8814,[7]Astroflores!$G$2:$H$110,2,FALSE)</f>
        <v>1500</v>
      </c>
      <c r="I8814" s="6">
        <v>634.05652706821195</v>
      </c>
      <c r="J8814" s="5">
        <v>4800</v>
      </c>
      <c r="K8814" s="6">
        <f t="shared" si="362"/>
        <v>2.3657196731903207</v>
      </c>
    </row>
    <row r="8815" spans="1:11" hidden="1">
      <c r="A8815" s="4">
        <v>2026</v>
      </c>
      <c r="B8815">
        <v>30</v>
      </c>
      <c r="C8815" t="s">
        <v>10</v>
      </c>
      <c r="D8815" t="s">
        <v>11</v>
      </c>
      <c r="E8815" t="s">
        <v>22</v>
      </c>
      <c r="F8815" t="s">
        <v>18</v>
      </c>
      <c r="G8815" t="str">
        <f t="shared" si="361"/>
        <v>009HOT BUBBLES</v>
      </c>
      <c r="H8815" s="5">
        <f>VLOOKUP(G8815,[7]Astroflores!$G$2:$H$110,2,FALSE)</f>
        <v>8520</v>
      </c>
      <c r="I8815" s="6">
        <v>4487.9999999102474</v>
      </c>
      <c r="J8815" s="5">
        <v>31740</v>
      </c>
      <c r="K8815" s="6">
        <f t="shared" si="362"/>
        <v>1.8983957219630985</v>
      </c>
    </row>
    <row r="8816" spans="1:11" hidden="1">
      <c r="A8816" s="4">
        <v>2026</v>
      </c>
      <c r="B8816">
        <v>30</v>
      </c>
      <c r="C8816" t="s">
        <v>10</v>
      </c>
      <c r="D8816" t="s">
        <v>11</v>
      </c>
      <c r="E8816" t="s">
        <v>23</v>
      </c>
      <c r="F8816" t="s">
        <v>24</v>
      </c>
      <c r="G8816" t="str">
        <f t="shared" si="361"/>
        <v>014FRUITY BUBBLES</v>
      </c>
      <c r="H8816" s="5">
        <f>VLOOKUP(G8816,[7]Astroflores!$G$2:$H$110,2,FALSE)</f>
        <v>3975</v>
      </c>
      <c r="I8816" s="6">
        <v>1702.8</v>
      </c>
      <c r="J8816" s="5">
        <v>12900</v>
      </c>
      <c r="K8816" s="6">
        <f t="shared" si="362"/>
        <v>2.3343904157857649</v>
      </c>
    </row>
    <row r="8817" spans="1:11" hidden="1">
      <c r="A8817" s="4">
        <v>2026</v>
      </c>
      <c r="B8817">
        <v>30</v>
      </c>
      <c r="C8817" t="s">
        <v>10</v>
      </c>
      <c r="D8817" t="s">
        <v>11</v>
      </c>
      <c r="E8817" t="s">
        <v>25</v>
      </c>
      <c r="F8817" t="s">
        <v>26</v>
      </c>
      <c r="G8817" t="str">
        <f t="shared" si="361"/>
        <v>015FELLINI</v>
      </c>
      <c r="H8817" s="5">
        <f>VLOOKUP(G8817,[7]Astroflores!$G$2:$H$110,2,FALSE)</f>
        <v>6660</v>
      </c>
      <c r="I8817" s="6">
        <v>3009.6</v>
      </c>
      <c r="J8817" s="5">
        <v>22800</v>
      </c>
      <c r="K8817" s="6">
        <f t="shared" si="362"/>
        <v>2.2129186602870816</v>
      </c>
    </row>
    <row r="8818" spans="1:11" hidden="1">
      <c r="A8818" s="4">
        <v>2026</v>
      </c>
      <c r="B8818">
        <v>30</v>
      </c>
      <c r="C8818" t="s">
        <v>10</v>
      </c>
      <c r="D8818" t="s">
        <v>11</v>
      </c>
      <c r="E8818" t="s">
        <v>27</v>
      </c>
      <c r="F8818" t="s">
        <v>28</v>
      </c>
      <c r="G8818" t="str">
        <f t="shared" si="361"/>
        <v>016GOOD PEACH</v>
      </c>
      <c r="H8818" s="5">
        <f>VLOOKUP(G8818,[7]Astroflores!$G$2:$H$110,2,FALSE)</f>
        <v>3270</v>
      </c>
      <c r="I8818" s="6">
        <v>1386</v>
      </c>
      <c r="J8818" s="5">
        <v>10500</v>
      </c>
      <c r="K8818" s="6">
        <f t="shared" si="362"/>
        <v>2.3593073593073592</v>
      </c>
    </row>
    <row r="8819" spans="1:11" hidden="1">
      <c r="A8819" s="4">
        <v>2026</v>
      </c>
      <c r="B8819">
        <v>30</v>
      </c>
      <c r="C8819" t="s">
        <v>10</v>
      </c>
      <c r="D8819" t="s">
        <v>11</v>
      </c>
      <c r="E8819" t="s">
        <v>27</v>
      </c>
      <c r="F8819" t="s">
        <v>29</v>
      </c>
      <c r="G8819" t="str">
        <f t="shared" si="361"/>
        <v>016GOOD YELLOW</v>
      </c>
      <c r="H8819" s="5">
        <f>VLOOKUP(G8819,[7]Astroflores!$G$2:$H$110,2,FALSE)</f>
        <v>4050</v>
      </c>
      <c r="I8819" s="6">
        <v>1386</v>
      </c>
      <c r="J8819" s="5">
        <v>10500</v>
      </c>
      <c r="K8819" s="6">
        <f t="shared" si="362"/>
        <v>2.9220779220779223</v>
      </c>
    </row>
    <row r="8820" spans="1:11" hidden="1">
      <c r="A8820" s="4">
        <v>2026</v>
      </c>
      <c r="B8820">
        <v>30</v>
      </c>
      <c r="C8820" t="s">
        <v>10</v>
      </c>
      <c r="D8820" t="s">
        <v>11</v>
      </c>
      <c r="E8820" t="s">
        <v>30</v>
      </c>
      <c r="F8820" t="s">
        <v>31</v>
      </c>
      <c r="G8820" t="str">
        <f t="shared" si="361"/>
        <v>017ORANGE STAR</v>
      </c>
      <c r="H8820" s="5">
        <f>VLOOKUP(G8820,[7]Astroflores!$G$2:$H$110,2,FALSE)</f>
        <v>1475</v>
      </c>
      <c r="I8820" s="6">
        <v>1029.5999999999999</v>
      </c>
      <c r="J8820" s="5">
        <v>7800</v>
      </c>
      <c r="K8820" s="6">
        <f t="shared" si="362"/>
        <v>1.4325951825951828</v>
      </c>
    </row>
    <row r="8821" spans="1:11" hidden="1">
      <c r="A8821" s="4">
        <v>2026</v>
      </c>
      <c r="B8821">
        <v>30</v>
      </c>
      <c r="C8821" t="s">
        <v>10</v>
      </c>
      <c r="D8821" t="s">
        <v>11</v>
      </c>
      <c r="E8821" t="s">
        <v>32</v>
      </c>
      <c r="F8821" t="s">
        <v>33</v>
      </c>
      <c r="G8821" t="str">
        <f t="shared" si="361"/>
        <v>018COSMO</v>
      </c>
      <c r="H8821" s="5">
        <f>VLOOKUP(G8821,[7]Astroflores!$G$2:$H$110,2,FALSE)</f>
        <v>4625</v>
      </c>
      <c r="I8821" s="6">
        <v>2653.2</v>
      </c>
      <c r="J8821" s="5">
        <v>20100</v>
      </c>
      <c r="K8821" s="6">
        <f t="shared" si="362"/>
        <v>1.7431780491481985</v>
      </c>
    </row>
    <row r="8822" spans="1:11" hidden="1">
      <c r="A8822" s="4">
        <v>2026</v>
      </c>
      <c r="B8822">
        <v>30</v>
      </c>
      <c r="C8822" t="s">
        <v>10</v>
      </c>
      <c r="D8822" t="s">
        <v>11</v>
      </c>
      <c r="E8822" t="s">
        <v>32</v>
      </c>
      <c r="F8822" t="s">
        <v>34</v>
      </c>
      <c r="G8822" t="str">
        <f t="shared" si="361"/>
        <v>018RUBICON</v>
      </c>
      <c r="H8822" s="5">
        <f>VLOOKUP(G8822,[7]Astroflores!$G$2:$H$110,2,FALSE)</f>
        <v>3510</v>
      </c>
      <c r="I8822" s="6">
        <v>1768.8</v>
      </c>
      <c r="J8822" s="5">
        <v>13400</v>
      </c>
      <c r="K8822" s="6">
        <f t="shared" si="362"/>
        <v>1.9843962008141114</v>
      </c>
    </row>
    <row r="8823" spans="1:11" hidden="1">
      <c r="A8823" s="4">
        <v>2026</v>
      </c>
      <c r="B8823">
        <v>30</v>
      </c>
      <c r="C8823" t="s">
        <v>10</v>
      </c>
      <c r="D8823" t="s">
        <v>11</v>
      </c>
      <c r="E8823" t="s">
        <v>35</v>
      </c>
      <c r="F8823" t="s">
        <v>15</v>
      </c>
      <c r="G8823" t="str">
        <f t="shared" si="361"/>
        <v>019BELLINA</v>
      </c>
      <c r="H8823" s="5">
        <f>VLOOKUP(G8823,[7]Astroflores!$G$2:$H$110,2,FALSE)</f>
        <v>2190</v>
      </c>
      <c r="I8823" s="6">
        <v>1029.5999999999999</v>
      </c>
      <c r="J8823" s="5">
        <v>7800</v>
      </c>
      <c r="K8823" s="6">
        <f t="shared" si="362"/>
        <v>2.1270396270396272</v>
      </c>
    </row>
    <row r="8824" spans="1:11" hidden="1">
      <c r="A8824" s="4">
        <v>2026</v>
      </c>
      <c r="B8824">
        <v>30</v>
      </c>
      <c r="C8824" t="s">
        <v>10</v>
      </c>
      <c r="D8824" t="s">
        <v>11</v>
      </c>
      <c r="E8824" t="s">
        <v>36</v>
      </c>
      <c r="F8824" t="s">
        <v>37</v>
      </c>
      <c r="G8824" t="str">
        <f t="shared" si="361"/>
        <v>020SUMMER DANCE</v>
      </c>
      <c r="H8824" s="5">
        <f>VLOOKUP(G8824,[7]Astroflores!$G$2:$H$110,2,FALSE)</f>
        <v>3625</v>
      </c>
      <c r="I8824" s="6">
        <v>1346.4</v>
      </c>
      <c r="J8824" s="5">
        <v>10200</v>
      </c>
      <c r="K8824" s="6">
        <f t="shared" si="362"/>
        <v>2.6923648247177656</v>
      </c>
    </row>
    <row r="8825" spans="1:11" hidden="1">
      <c r="A8825" s="4">
        <v>2026</v>
      </c>
      <c r="B8825">
        <v>30</v>
      </c>
      <c r="C8825" t="s">
        <v>10</v>
      </c>
      <c r="D8825" t="s">
        <v>11</v>
      </c>
      <c r="E8825" t="s">
        <v>38</v>
      </c>
      <c r="F8825" t="s">
        <v>39</v>
      </c>
      <c r="G8825" t="str">
        <f t="shared" si="361"/>
        <v>021ELEGANT ROSEVER</v>
      </c>
      <c r="H8825" s="5">
        <f>VLOOKUP(G8825,[7]Astroflores!$G$2:$H$110,2,FALSE)</f>
        <v>1020</v>
      </c>
      <c r="I8825" s="6">
        <v>440.18999062500001</v>
      </c>
      <c r="J8825" s="5">
        <v>3200</v>
      </c>
      <c r="K8825" s="6">
        <f t="shared" si="362"/>
        <v>2.3171812665521125</v>
      </c>
    </row>
    <row r="8826" spans="1:11" hidden="1">
      <c r="A8826" s="4">
        <v>2026</v>
      </c>
      <c r="B8826">
        <v>30</v>
      </c>
      <c r="C8826" t="s">
        <v>10</v>
      </c>
      <c r="D8826" t="s">
        <v>11</v>
      </c>
      <c r="E8826" t="s">
        <v>38</v>
      </c>
      <c r="F8826" t="s">
        <v>40</v>
      </c>
      <c r="G8826" t="str">
        <f t="shared" si="361"/>
        <v>021FLAME CLUB</v>
      </c>
      <c r="H8826" s="5">
        <f>VLOOKUP(G8826,[7]Astroflores!$G$2:$H$110,2,FALSE)</f>
        <v>1425</v>
      </c>
      <c r="I8826" s="6">
        <v>880.38</v>
      </c>
      <c r="J8826" s="5">
        <v>6400</v>
      </c>
      <c r="K8826" s="6">
        <f t="shared" si="362"/>
        <v>1.6186192326041027</v>
      </c>
    </row>
    <row r="8827" spans="1:11" hidden="1">
      <c r="A8827" s="4">
        <v>2026</v>
      </c>
      <c r="B8827">
        <v>30</v>
      </c>
      <c r="C8827" t="s">
        <v>10</v>
      </c>
      <c r="D8827" t="s">
        <v>11</v>
      </c>
      <c r="E8827" t="s">
        <v>38</v>
      </c>
      <c r="F8827" t="s">
        <v>41</v>
      </c>
      <c r="G8827" t="str">
        <f t="shared" si="361"/>
        <v>021KELLY</v>
      </c>
      <c r="H8827" s="5">
        <f>VLOOKUP(G8827,[7]Astroflores!$G$2:$H$110,2,FALSE)</f>
        <v>475</v>
      </c>
      <c r="I8827" s="6">
        <v>330.14249999999998</v>
      </c>
      <c r="J8827" s="5">
        <v>2400</v>
      </c>
      <c r="K8827" s="6">
        <f t="shared" si="362"/>
        <v>1.4387726512036469</v>
      </c>
    </row>
    <row r="8828" spans="1:11" hidden="1">
      <c r="A8828" s="4">
        <v>2026</v>
      </c>
      <c r="B8828">
        <v>30</v>
      </c>
      <c r="C8828" t="s">
        <v>10</v>
      </c>
      <c r="D8828" t="s">
        <v>11</v>
      </c>
      <c r="E8828" t="s">
        <v>38</v>
      </c>
      <c r="F8828" t="s">
        <v>42</v>
      </c>
      <c r="G8828" t="str">
        <f t="shared" si="361"/>
        <v>021LEILA</v>
      </c>
      <c r="H8828" s="5">
        <f>VLOOKUP(G8828,[7]Astroflores!$G$2:$H$110,2,FALSE)</f>
        <v>875</v>
      </c>
      <c r="I8828" s="6">
        <v>1650.7125000000001</v>
      </c>
      <c r="J8828" s="5">
        <v>12000</v>
      </c>
      <c r="K8828" s="6">
        <f t="shared" si="362"/>
        <v>0.53007413465397513</v>
      </c>
    </row>
    <row r="8829" spans="1:11" hidden="1">
      <c r="A8829" s="4">
        <v>2026</v>
      </c>
      <c r="B8829">
        <v>30</v>
      </c>
      <c r="C8829" t="s">
        <v>10</v>
      </c>
      <c r="D8829" t="s">
        <v>11</v>
      </c>
      <c r="E8829" t="s">
        <v>38</v>
      </c>
      <c r="F8829" t="s">
        <v>21</v>
      </c>
      <c r="G8829" t="str">
        <f t="shared" si="361"/>
        <v>021SNOW BUBBLES</v>
      </c>
      <c r="H8829" s="5">
        <f>VLOOKUP(G8829,[7]Astroflores!$G$2:$H$110,2,FALSE)</f>
        <v>2720</v>
      </c>
      <c r="I8829" s="6">
        <v>1287.0000000000018</v>
      </c>
      <c r="J8829" s="5">
        <v>9400</v>
      </c>
      <c r="K8829" s="6">
        <f t="shared" si="362"/>
        <v>2.1134421134421104</v>
      </c>
    </row>
    <row r="8830" spans="1:11" hidden="1">
      <c r="A8830" s="4">
        <v>2026</v>
      </c>
      <c r="B8830">
        <v>30</v>
      </c>
      <c r="C8830" t="s">
        <v>10</v>
      </c>
      <c r="D8830" t="s">
        <v>11</v>
      </c>
      <c r="E8830" t="s">
        <v>43</v>
      </c>
      <c r="F8830" t="s">
        <v>24</v>
      </c>
      <c r="G8830" t="str">
        <f t="shared" si="361"/>
        <v>022FRUITY BUBBLES</v>
      </c>
      <c r="H8830" s="5">
        <f>VLOOKUP(G8830,[7]Astroflores!$G$2:$H$110,2,FALSE)</f>
        <v>5000</v>
      </c>
      <c r="I8830" s="6">
        <v>2641.14</v>
      </c>
      <c r="J8830" s="5">
        <v>19200</v>
      </c>
      <c r="K8830" s="6">
        <f t="shared" si="362"/>
        <v>1.8931219094784828</v>
      </c>
    </row>
    <row r="8831" spans="1:11" hidden="1">
      <c r="A8831" s="4">
        <v>2026</v>
      </c>
      <c r="B8831">
        <v>30</v>
      </c>
      <c r="C8831" t="s">
        <v>10</v>
      </c>
      <c r="D8831" t="s">
        <v>11</v>
      </c>
      <c r="E8831" t="s">
        <v>43</v>
      </c>
      <c r="F8831" t="s">
        <v>28</v>
      </c>
      <c r="G8831" t="str">
        <f t="shared" si="361"/>
        <v>022GOOD PEACH</v>
      </c>
      <c r="H8831" s="5">
        <f>VLOOKUP(G8831,[7]Astroflores!$G$2:$H$110,2,FALSE)</f>
        <v>2190</v>
      </c>
      <c r="I8831" s="6">
        <v>880.38</v>
      </c>
      <c r="J8831" s="5">
        <v>6400</v>
      </c>
      <c r="K8831" s="6">
        <f t="shared" si="362"/>
        <v>2.4875621890547266</v>
      </c>
    </row>
    <row r="8832" spans="1:11" hidden="1">
      <c r="A8832" s="4">
        <v>2026</v>
      </c>
      <c r="B8832">
        <v>30</v>
      </c>
      <c r="C8832" t="s">
        <v>10</v>
      </c>
      <c r="D8832" t="s">
        <v>11</v>
      </c>
      <c r="E8832" t="s">
        <v>43</v>
      </c>
      <c r="F8832" t="s">
        <v>44</v>
      </c>
      <c r="G8832" t="str">
        <f t="shared" si="361"/>
        <v>022MIRABEL</v>
      </c>
      <c r="H8832" s="5">
        <f>VLOOKUP(G8832,[7]Astroflores!$G$2:$H$110,2,FALSE)</f>
        <v>2380</v>
      </c>
      <c r="I8832" s="6">
        <v>880.38</v>
      </c>
      <c r="J8832" s="5">
        <v>6400</v>
      </c>
      <c r="K8832" s="6">
        <f t="shared" si="362"/>
        <v>2.7033780867352735</v>
      </c>
    </row>
    <row r="8833" spans="1:11" hidden="1">
      <c r="A8833" s="4">
        <v>2026</v>
      </c>
      <c r="B8833">
        <v>30</v>
      </c>
      <c r="C8833" t="s">
        <v>10</v>
      </c>
      <c r="D8833" t="s">
        <v>11</v>
      </c>
      <c r="E8833" t="s">
        <v>45</v>
      </c>
      <c r="F8833" t="s">
        <v>46</v>
      </c>
      <c r="G8833" t="str">
        <f t="shared" si="361"/>
        <v>026PURPLE BUBBLY</v>
      </c>
      <c r="H8833" s="5" t="e">
        <f>VLOOKUP(G8833,[7]Astroflores!$G$2:$H$110,2,FALSE)</f>
        <v>#N/A</v>
      </c>
      <c r="I8833" s="6">
        <v>1755.4</v>
      </c>
      <c r="J8833" s="5">
        <v>12800</v>
      </c>
      <c r="K8833" s="6" t="e">
        <f t="shared" si="362"/>
        <v>#N/A</v>
      </c>
    </row>
    <row r="8834" spans="1:11" hidden="1">
      <c r="A8834" s="4">
        <v>2026</v>
      </c>
      <c r="B8834">
        <v>30</v>
      </c>
      <c r="C8834" t="s">
        <v>10</v>
      </c>
      <c r="D8834" t="s">
        <v>11</v>
      </c>
      <c r="E8834" t="s">
        <v>47</v>
      </c>
      <c r="F8834" t="s">
        <v>44</v>
      </c>
      <c r="G8834" t="str">
        <f t="shared" si="361"/>
        <v>030MIRABEL</v>
      </c>
      <c r="H8834" s="5">
        <f>VLOOKUP(G8834,[7]Astroflores!$G$2:$H$110,2,FALSE)</f>
        <v>6960</v>
      </c>
      <c r="I8834" s="6">
        <v>2413.6749943750001</v>
      </c>
      <c r="J8834" s="5">
        <v>17600</v>
      </c>
      <c r="K8834" s="6">
        <f t="shared" si="362"/>
        <v>2.8835696670927442</v>
      </c>
    </row>
    <row r="8835" spans="1:11" hidden="1">
      <c r="A8835" s="4">
        <v>2026</v>
      </c>
      <c r="B8835">
        <v>30</v>
      </c>
      <c r="C8835" t="s">
        <v>10</v>
      </c>
      <c r="D8835" t="s">
        <v>11</v>
      </c>
      <c r="E8835" t="s">
        <v>47</v>
      </c>
      <c r="F8835" t="s">
        <v>13</v>
      </c>
      <c r="G8835" t="str">
        <f t="shared" si="361"/>
        <v>030SOMERSET</v>
      </c>
      <c r="H8835" s="5">
        <f>VLOOKUP(G8835,[7]Astroflores!$G$2:$H$110,2,FALSE)</f>
        <v>3720</v>
      </c>
      <c r="I8835" s="6">
        <v>1645.6875</v>
      </c>
      <c r="J8835" s="5">
        <v>12000</v>
      </c>
      <c r="K8835" s="6">
        <f t="shared" si="362"/>
        <v>2.2604534579013329</v>
      </c>
    </row>
    <row r="8836" spans="1:11" hidden="1">
      <c r="A8836" s="4">
        <v>2026</v>
      </c>
      <c r="B8836">
        <v>30</v>
      </c>
      <c r="C8836" t="s">
        <v>10</v>
      </c>
      <c r="D8836" t="s">
        <v>11</v>
      </c>
      <c r="E8836" t="s">
        <v>48</v>
      </c>
      <c r="F8836" t="s">
        <v>49</v>
      </c>
      <c r="G8836" t="str">
        <f t="shared" si="361"/>
        <v>03182989</v>
      </c>
      <c r="H8836" s="5">
        <f>VLOOKUP(G8836,[7]Astroflores!$G$2:$H$110,2,FALSE)</f>
        <v>720</v>
      </c>
      <c r="I8836" s="6">
        <v>726.32013058333712</v>
      </c>
      <c r="J8836" s="5">
        <v>5712</v>
      </c>
      <c r="K8836" s="6">
        <f t="shared" si="362"/>
        <v>0.99129842294435488</v>
      </c>
    </row>
    <row r="8837" spans="1:11" hidden="1">
      <c r="A8837" s="4">
        <v>2026</v>
      </c>
      <c r="B8837">
        <v>30</v>
      </c>
      <c r="C8837" t="s">
        <v>10</v>
      </c>
      <c r="D8837" t="s">
        <v>11</v>
      </c>
      <c r="E8837" t="s">
        <v>48</v>
      </c>
      <c r="F8837" t="s">
        <v>34</v>
      </c>
      <c r="G8837" t="str">
        <f t="shared" si="361"/>
        <v>031RUBICON</v>
      </c>
      <c r="H8837" s="5">
        <f>VLOOKUP(G8837,[7]Astroflores!$G$2:$H$110,2,FALSE)</f>
        <v>2400</v>
      </c>
      <c r="I8837" s="6">
        <v>924.39958333667107</v>
      </c>
      <c r="J8837" s="5">
        <v>6720</v>
      </c>
      <c r="K8837" s="6">
        <f t="shared" si="362"/>
        <v>2.5962798374887495</v>
      </c>
    </row>
    <row r="8838" spans="1:11" hidden="1">
      <c r="A8838" s="4">
        <v>2026</v>
      </c>
      <c r="B8838">
        <v>30</v>
      </c>
      <c r="C8838" t="s">
        <v>10</v>
      </c>
      <c r="D8838" t="s">
        <v>11</v>
      </c>
      <c r="E8838" t="s">
        <v>48</v>
      </c>
      <c r="F8838" t="s">
        <v>13</v>
      </c>
      <c r="G8838" t="str">
        <f t="shared" si="361"/>
        <v>031SOMERSET</v>
      </c>
      <c r="H8838" s="5">
        <f>VLOOKUP(G8838,[7]Astroflores!$G$2:$H$110,2,FALSE)</f>
        <v>900</v>
      </c>
      <c r="I8838" s="6">
        <v>1122.485208333339</v>
      </c>
      <c r="J8838" s="5">
        <v>8160</v>
      </c>
      <c r="K8838" s="6">
        <f t="shared" si="362"/>
        <v>0.80179230275676949</v>
      </c>
    </row>
    <row r="8839" spans="1:11" hidden="1">
      <c r="A8839" s="4">
        <v>2026</v>
      </c>
      <c r="B8839">
        <v>30</v>
      </c>
      <c r="C8839" t="s">
        <v>10</v>
      </c>
      <c r="D8839" t="s">
        <v>11</v>
      </c>
      <c r="E8839" t="s">
        <v>48</v>
      </c>
      <c r="F8839" t="s">
        <v>50</v>
      </c>
      <c r="G8839" t="str">
        <f t="shared" si="361"/>
        <v>031VELVET BLOSSOMS</v>
      </c>
      <c r="H8839" s="5">
        <f>VLOOKUP(G8839,[7]Astroflores!$G$2:$H$110,2,FALSE)</f>
        <v>1020</v>
      </c>
      <c r="I8839" s="6">
        <v>396.17125000000198</v>
      </c>
      <c r="J8839" s="5">
        <v>2880</v>
      </c>
      <c r="K8839" s="6">
        <f t="shared" si="362"/>
        <v>2.5746441721856264</v>
      </c>
    </row>
    <row r="8840" spans="1:11" hidden="1">
      <c r="A8840" s="4">
        <v>2026</v>
      </c>
      <c r="B8840">
        <v>30</v>
      </c>
      <c r="C8840" t="s">
        <v>10</v>
      </c>
      <c r="D8840" t="s">
        <v>11</v>
      </c>
      <c r="E8840" t="s">
        <v>51</v>
      </c>
      <c r="F8840" t="s">
        <v>17</v>
      </c>
      <c r="G8840" t="str">
        <f t="shared" si="361"/>
        <v>032ELBA</v>
      </c>
      <c r="H8840" s="5">
        <f>VLOOKUP(G8840,[7]Astroflores!$G$2:$H$110,2,FALSE)</f>
        <v>3090</v>
      </c>
      <c r="I8840" s="6">
        <v>1535.9749999999999</v>
      </c>
      <c r="J8840" s="5">
        <v>11200</v>
      </c>
      <c r="K8840" s="6">
        <f t="shared" si="362"/>
        <v>2.0117514933511287</v>
      </c>
    </row>
    <row r="8841" spans="1:11" hidden="1">
      <c r="A8841" s="4">
        <v>2026</v>
      </c>
      <c r="B8841">
        <v>30</v>
      </c>
      <c r="C8841" t="s">
        <v>10</v>
      </c>
      <c r="D8841" t="s">
        <v>11</v>
      </c>
      <c r="E8841" t="s">
        <v>51</v>
      </c>
      <c r="F8841" t="s">
        <v>44</v>
      </c>
      <c r="G8841" t="str">
        <f t="shared" si="361"/>
        <v>032MIRABEL</v>
      </c>
      <c r="H8841" s="5">
        <f>VLOOKUP(G8841,[7]Astroflores!$G$2:$H$110,2,FALSE)</f>
        <v>2100</v>
      </c>
      <c r="I8841" s="6">
        <v>1535.9749999999999</v>
      </c>
      <c r="J8841" s="5">
        <v>11200</v>
      </c>
      <c r="K8841" s="6">
        <f t="shared" si="362"/>
        <v>1.367209752762903</v>
      </c>
    </row>
    <row r="8842" spans="1:11" hidden="1">
      <c r="A8842" s="4">
        <v>2026</v>
      </c>
      <c r="B8842">
        <v>30</v>
      </c>
      <c r="C8842" t="s">
        <v>10</v>
      </c>
      <c r="D8842" t="s">
        <v>11</v>
      </c>
      <c r="E8842" t="s">
        <v>52</v>
      </c>
      <c r="F8842" t="s">
        <v>53</v>
      </c>
      <c r="G8842" t="str">
        <f t="shared" si="361"/>
        <v>033CREAMY FOLIES</v>
      </c>
      <c r="H8842" s="5">
        <f>VLOOKUP(G8842,[7]Astroflores!$G$2:$H$110,2,FALSE)</f>
        <v>1170</v>
      </c>
      <c r="I8842" s="6">
        <v>594.25687500000299</v>
      </c>
      <c r="J8842" s="5">
        <v>4320</v>
      </c>
      <c r="K8842" s="6">
        <f t="shared" si="362"/>
        <v>1.9688455434360672</v>
      </c>
    </row>
    <row r="8843" spans="1:11" hidden="1">
      <c r="A8843" s="4">
        <v>2026</v>
      </c>
      <c r="B8843">
        <v>30</v>
      </c>
      <c r="C8843" t="s">
        <v>10</v>
      </c>
      <c r="D8843" t="s">
        <v>11</v>
      </c>
      <c r="E8843" t="s">
        <v>52</v>
      </c>
      <c r="F8843" t="s">
        <v>18</v>
      </c>
      <c r="G8843" t="str">
        <f t="shared" si="361"/>
        <v>033HOT BUBBLES</v>
      </c>
      <c r="H8843" s="5">
        <f>VLOOKUP(G8843,[7]Astroflores!$G$2:$H$110,2,FALSE)</f>
        <v>4920</v>
      </c>
      <c r="I8843" s="6">
        <v>2575.1131250013459</v>
      </c>
      <c r="J8843" s="5">
        <v>18720</v>
      </c>
      <c r="K8843" s="6">
        <f t="shared" si="362"/>
        <v>1.9105956752860822</v>
      </c>
    </row>
    <row r="8844" spans="1:11" hidden="1">
      <c r="A8844" s="4">
        <v>2026</v>
      </c>
      <c r="B8844">
        <v>30</v>
      </c>
      <c r="C8844" t="s">
        <v>54</v>
      </c>
      <c r="D8844" t="s">
        <v>11</v>
      </c>
      <c r="E8844" t="s">
        <v>55</v>
      </c>
      <c r="F8844" t="s">
        <v>56</v>
      </c>
      <c r="G8844" t="str">
        <f t="shared" si="361"/>
        <v>001BELIEVE IN PINK</v>
      </c>
      <c r="H8844" s="5">
        <f>VLOOKUP(G8844,[7]Astroflores!$G$2:$H$110,2,FALSE)</f>
        <v>1470</v>
      </c>
      <c r="I8844" s="6">
        <v>528.37931032368999</v>
      </c>
      <c r="J8844" s="5">
        <v>4000</v>
      </c>
      <c r="K8844" s="6">
        <f t="shared" ref="K8844:K8849" si="363">IFERROR(H8844/I8844,"")</f>
        <v>2.782092279691013</v>
      </c>
    </row>
    <row r="8845" spans="1:11" hidden="1">
      <c r="A8845" s="4">
        <v>2026</v>
      </c>
      <c r="B8845">
        <v>30</v>
      </c>
      <c r="C8845" t="s">
        <v>54</v>
      </c>
      <c r="D8845" t="s">
        <v>11</v>
      </c>
      <c r="E8845" t="s">
        <v>55</v>
      </c>
      <c r="F8845" t="s">
        <v>57</v>
      </c>
      <c r="G8845" t="str">
        <f t="shared" si="361"/>
        <v>001EXPLORER</v>
      </c>
      <c r="H8845" s="5">
        <f>VLOOKUP(G8845,[7]Astroflores!$G$2:$H$110,2,FALSE)</f>
        <v>3875</v>
      </c>
      <c r="I8845" s="6">
        <v>2272.0310343918732</v>
      </c>
      <c r="J8845" s="5">
        <v>17200</v>
      </c>
      <c r="K8845" s="6">
        <f t="shared" si="363"/>
        <v>1.7055224780576881</v>
      </c>
    </row>
    <row r="8846" spans="1:11" hidden="1">
      <c r="A8846" s="4">
        <v>2026</v>
      </c>
      <c r="B8846">
        <v>30</v>
      </c>
      <c r="C8846" t="s">
        <v>54</v>
      </c>
      <c r="D8846" t="s">
        <v>11</v>
      </c>
      <c r="E8846" t="s">
        <v>55</v>
      </c>
      <c r="F8846" t="s">
        <v>58</v>
      </c>
      <c r="G8846" t="str">
        <f t="shared" si="361"/>
        <v>001GRACE KELLY</v>
      </c>
      <c r="H8846" s="5">
        <f>VLOOKUP(G8846,[7]Astroflores!$G$2:$H$110,2,FALSE)</f>
        <v>2310</v>
      </c>
      <c r="I8846" s="6">
        <v>1162.4344827121224</v>
      </c>
      <c r="J8846" s="5">
        <v>8800</v>
      </c>
      <c r="K8846" s="6">
        <f t="shared" si="363"/>
        <v>1.987208771207859</v>
      </c>
    </row>
    <row r="8847" spans="1:11" hidden="1">
      <c r="A8847" s="4">
        <v>2026</v>
      </c>
      <c r="B8847">
        <v>30</v>
      </c>
      <c r="C8847" t="s">
        <v>54</v>
      </c>
      <c r="D8847" t="s">
        <v>11</v>
      </c>
      <c r="E8847" t="s">
        <v>55</v>
      </c>
      <c r="F8847" t="s">
        <v>60</v>
      </c>
      <c r="G8847" t="str">
        <f t="shared" si="361"/>
        <v>001LIGHT HOUSE</v>
      </c>
      <c r="H8847" s="5">
        <f>VLOOKUP(G8847,[7]Astroflores!$G$2:$H$110,2,FALSE)</f>
        <v>2040</v>
      </c>
      <c r="I8847" s="6">
        <v>1056.7586206473827</v>
      </c>
      <c r="J8847" s="5">
        <v>8000</v>
      </c>
      <c r="K8847" s="6">
        <f t="shared" si="363"/>
        <v>1.9304313777447797</v>
      </c>
    </row>
    <row r="8848" spans="1:11" hidden="1">
      <c r="A8848" s="4">
        <v>2026</v>
      </c>
      <c r="B8848">
        <v>30</v>
      </c>
      <c r="C8848" t="s">
        <v>54</v>
      </c>
      <c r="D8848" t="s">
        <v>11</v>
      </c>
      <c r="E8848" t="s">
        <v>55</v>
      </c>
      <c r="F8848" t="s">
        <v>61</v>
      </c>
      <c r="G8848" t="str">
        <f t="shared" si="361"/>
        <v>001LUMIA</v>
      </c>
      <c r="H8848" s="5">
        <f>VLOOKUP(G8848,[7]Astroflores!$G$2:$H$110,2,FALSE)</f>
        <v>3510</v>
      </c>
      <c r="I8848" s="6">
        <v>1109.596551679753</v>
      </c>
      <c r="J8848" s="5">
        <v>8400</v>
      </c>
      <c r="K8848" s="6">
        <f t="shared" si="363"/>
        <v>3.1633119215145515</v>
      </c>
    </row>
    <row r="8849" spans="1:11" hidden="1">
      <c r="A8849" s="4">
        <v>2026</v>
      </c>
      <c r="B8849">
        <v>30</v>
      </c>
      <c r="C8849" t="s">
        <v>54</v>
      </c>
      <c r="D8849" t="s">
        <v>11</v>
      </c>
      <c r="E8849" t="s">
        <v>55</v>
      </c>
      <c r="F8849" t="s">
        <v>62</v>
      </c>
      <c r="G8849" t="str">
        <f t="shared" si="361"/>
        <v>001MOMENTUM</v>
      </c>
      <c r="H8849" s="5">
        <f>VLOOKUP(G8849,[7]Astroflores!$G$2:$H$110,2,FALSE)</f>
        <v>4525</v>
      </c>
      <c r="I8849" s="6">
        <v>1902.1655171652881</v>
      </c>
      <c r="J8849" s="5">
        <v>14400</v>
      </c>
      <c r="K8849" s="6">
        <f t="shared" si="363"/>
        <v>2.3788676427818984</v>
      </c>
    </row>
    <row r="8850" spans="1:11" hidden="1">
      <c r="A8850" s="4">
        <v>2026</v>
      </c>
      <c r="B8850">
        <v>30</v>
      </c>
      <c r="C8850" t="s">
        <v>54</v>
      </c>
      <c r="D8850" t="s">
        <v>11</v>
      </c>
      <c r="E8850" t="s">
        <v>12</v>
      </c>
      <c r="F8850" t="s">
        <v>63</v>
      </c>
      <c r="G8850" t="str">
        <f t="shared" si="361"/>
        <v>002SUMMER ROMANCE</v>
      </c>
      <c r="H8850" s="5">
        <f>VLOOKUP(G8850,[7]Astroflores!$G$2:$H$110,2,FALSE)</f>
        <v>1500</v>
      </c>
      <c r="I8850" s="6">
        <v>951.10714281909407</v>
      </c>
      <c r="J8850" s="5">
        <v>7200</v>
      </c>
      <c r="K8850" s="6">
        <f t="shared" ref="K8850:K8912" si="364">+H8850/I8850</f>
        <v>1.5771093838639254</v>
      </c>
    </row>
    <row r="8851" spans="1:11" hidden="1">
      <c r="A8851" s="4">
        <v>2026</v>
      </c>
      <c r="B8851">
        <v>30</v>
      </c>
      <c r="C8851" t="s">
        <v>54</v>
      </c>
      <c r="D8851" t="s">
        <v>11</v>
      </c>
      <c r="E8851" t="s">
        <v>12</v>
      </c>
      <c r="F8851" t="s">
        <v>64</v>
      </c>
      <c r="G8851" t="str">
        <f t="shared" si="361"/>
        <v>002SWEETNESS</v>
      </c>
      <c r="H8851" s="5">
        <f>VLOOKUP(G8851,[7]Astroflores!$G$2:$H$110,2,FALSE)</f>
        <v>6870</v>
      </c>
      <c r="I8851" s="6">
        <v>3804.4285712763772</v>
      </c>
      <c r="J8851" s="5">
        <v>28800</v>
      </c>
      <c r="K8851" s="6">
        <f t="shared" si="364"/>
        <v>1.8057902445241942</v>
      </c>
    </row>
    <row r="8852" spans="1:11" hidden="1">
      <c r="A8852" s="4">
        <v>2026</v>
      </c>
      <c r="B8852">
        <v>30</v>
      </c>
      <c r="C8852" t="s">
        <v>54</v>
      </c>
      <c r="D8852" t="s">
        <v>11</v>
      </c>
      <c r="E8852" t="s">
        <v>65</v>
      </c>
      <c r="F8852" t="s">
        <v>66</v>
      </c>
      <c r="G8852" t="str">
        <f t="shared" si="361"/>
        <v>003CABARET</v>
      </c>
      <c r="H8852" s="5">
        <f>VLOOKUP(G8852,[7]Astroflores!$G$2:$H$110,2,FALSE)</f>
        <v>6450</v>
      </c>
      <c r="I8852" s="6">
        <v>2641.8965516184649</v>
      </c>
      <c r="J8852" s="5">
        <v>20000</v>
      </c>
      <c r="K8852" s="6">
        <f t="shared" si="364"/>
        <v>2.4414279189125079</v>
      </c>
    </row>
    <row r="8853" spans="1:11" hidden="1">
      <c r="A8853" s="4">
        <v>2026</v>
      </c>
      <c r="B8853">
        <v>30</v>
      </c>
      <c r="C8853" t="s">
        <v>54</v>
      </c>
      <c r="D8853" t="s">
        <v>11</v>
      </c>
      <c r="E8853" t="s">
        <v>65</v>
      </c>
      <c r="F8853" t="s">
        <v>67</v>
      </c>
      <c r="G8853" t="str">
        <f t="shared" si="361"/>
        <v>003DEEP PURPLE</v>
      </c>
      <c r="H8853" s="5">
        <f>VLOOKUP(G8853,[7]Astroflores!$G$2:$H$110,2,FALSE)</f>
        <v>10170</v>
      </c>
      <c r="I8853" s="6">
        <v>3592.9793102010913</v>
      </c>
      <c r="J8853" s="5">
        <v>26044</v>
      </c>
      <c r="K8853" s="6">
        <f t="shared" si="364"/>
        <v>2.8305200564683481</v>
      </c>
    </row>
    <row r="8854" spans="1:11" hidden="1">
      <c r="A8854" s="4">
        <v>2026</v>
      </c>
      <c r="B8854">
        <v>30</v>
      </c>
      <c r="C8854" t="s">
        <v>54</v>
      </c>
      <c r="D8854" t="s">
        <v>11</v>
      </c>
      <c r="E8854" t="s">
        <v>65</v>
      </c>
      <c r="F8854" t="s">
        <v>57</v>
      </c>
      <c r="G8854" t="str">
        <f t="shared" si="361"/>
        <v>003EXPLORER</v>
      </c>
      <c r="H8854" s="5">
        <f>VLOOKUP(G8854,[7]Astroflores!$G$2:$H$110,2,FALSE)</f>
        <v>2125</v>
      </c>
      <c r="I8854" s="6">
        <v>1268.1103447768633</v>
      </c>
      <c r="J8854" s="5">
        <v>9600</v>
      </c>
      <c r="K8854" s="6">
        <f t="shared" si="364"/>
        <v>1.675721682070116</v>
      </c>
    </row>
    <row r="8855" spans="1:11" hidden="1">
      <c r="A8855" s="4">
        <v>2026</v>
      </c>
      <c r="B8855">
        <v>30</v>
      </c>
      <c r="C8855" t="s">
        <v>54</v>
      </c>
      <c r="D8855" t="s">
        <v>11</v>
      </c>
      <c r="E8855" t="s">
        <v>65</v>
      </c>
      <c r="F8855" t="s">
        <v>68</v>
      </c>
      <c r="G8855" t="str">
        <f t="shared" si="361"/>
        <v>003JOCKER</v>
      </c>
      <c r="H8855" s="5">
        <f>VLOOKUP(G8855,[7]Astroflores!$G$2:$H$110,2,FALSE)</f>
        <v>1300</v>
      </c>
      <c r="I8855" s="6">
        <v>528.37931032368999</v>
      </c>
      <c r="J8855" s="5">
        <v>4000</v>
      </c>
      <c r="K8855" s="6">
        <f t="shared" si="364"/>
        <v>2.460353716733549</v>
      </c>
    </row>
    <row r="8856" spans="1:11" hidden="1">
      <c r="A8856" s="4">
        <v>2026</v>
      </c>
      <c r="B8856">
        <v>30</v>
      </c>
      <c r="C8856" t="s">
        <v>54</v>
      </c>
      <c r="D8856" t="s">
        <v>11</v>
      </c>
      <c r="E8856" t="s">
        <v>65</v>
      </c>
      <c r="F8856" t="s">
        <v>69</v>
      </c>
      <c r="G8856" t="str">
        <f t="shared" si="361"/>
        <v>003QUICKSAND</v>
      </c>
      <c r="H8856" s="5">
        <f>VLOOKUP(G8856,[7]Astroflores!$G$2:$H$110,2,FALSE)</f>
        <v>2220</v>
      </c>
      <c r="I8856" s="6">
        <v>1162.4344827121247</v>
      </c>
      <c r="J8856" s="5">
        <v>8800</v>
      </c>
      <c r="K8856" s="6">
        <f t="shared" si="364"/>
        <v>1.9097850528491076</v>
      </c>
    </row>
    <row r="8857" spans="1:11" hidden="1">
      <c r="A8857" s="4">
        <v>2026</v>
      </c>
      <c r="B8857">
        <v>30</v>
      </c>
      <c r="C8857" t="s">
        <v>54</v>
      </c>
      <c r="D8857" t="s">
        <v>11</v>
      </c>
      <c r="E8857" t="s">
        <v>14</v>
      </c>
      <c r="F8857" t="s">
        <v>70</v>
      </c>
      <c r="G8857" t="str">
        <f t="shared" si="361"/>
        <v>004COTOPAXI</v>
      </c>
      <c r="H8857" s="5">
        <f>VLOOKUP(G8857,[7]Astroflores!$G$2:$H$110,2,FALSE)</f>
        <v>1440</v>
      </c>
      <c r="I8857" s="6">
        <v>528.3915024419166</v>
      </c>
      <c r="J8857" s="5">
        <v>4000</v>
      </c>
      <c r="K8857" s="6">
        <f t="shared" si="364"/>
        <v>2.7252520022467466</v>
      </c>
    </row>
    <row r="8858" spans="1:11" hidden="1">
      <c r="A8858" s="4">
        <v>2026</v>
      </c>
      <c r="B8858">
        <v>30</v>
      </c>
      <c r="C8858" t="s">
        <v>54</v>
      </c>
      <c r="D8858" t="s">
        <v>11</v>
      </c>
      <c r="E8858" t="s">
        <v>14</v>
      </c>
      <c r="F8858" t="s">
        <v>67</v>
      </c>
      <c r="G8858" t="str">
        <f t="shared" si="361"/>
        <v>004DEEP PURPLE</v>
      </c>
      <c r="H8858" s="5">
        <f>VLOOKUP(G8858,[7]Astroflores!$G$2:$H$110,2,FALSE)</f>
        <v>12150</v>
      </c>
      <c r="I8858" s="6">
        <v>3910.1071427007282</v>
      </c>
      <c r="J8858" s="5">
        <v>29260</v>
      </c>
      <c r="K8858" s="6">
        <f t="shared" si="364"/>
        <v>3.1073317319913492</v>
      </c>
    </row>
    <row r="8859" spans="1:11" hidden="1">
      <c r="A8859" s="4">
        <v>2026</v>
      </c>
      <c r="B8859">
        <v>30</v>
      </c>
      <c r="C8859" t="s">
        <v>54</v>
      </c>
      <c r="D8859" t="s">
        <v>11</v>
      </c>
      <c r="E8859" t="s">
        <v>14</v>
      </c>
      <c r="F8859" t="s">
        <v>71</v>
      </c>
      <c r="G8859" t="str">
        <f t="shared" si="361"/>
        <v>004HOT EXPLORER</v>
      </c>
      <c r="H8859" s="5">
        <f>VLOOKUP(G8859,[7]Astroflores!$G$2:$H$110,2,FALSE)</f>
        <v>1375</v>
      </c>
      <c r="I8859" s="6">
        <v>1902.2142856381945</v>
      </c>
      <c r="J8859" s="5">
        <v>14400</v>
      </c>
      <c r="K8859" s="6">
        <f t="shared" si="364"/>
        <v>0.72284180093763006</v>
      </c>
    </row>
    <row r="8860" spans="1:11" hidden="1">
      <c r="A8860" s="4">
        <v>2026</v>
      </c>
      <c r="B8860">
        <v>30</v>
      </c>
      <c r="C8860" t="s">
        <v>54</v>
      </c>
      <c r="D8860" t="s">
        <v>11</v>
      </c>
      <c r="E8860" t="s">
        <v>14</v>
      </c>
      <c r="F8860" t="s">
        <v>72</v>
      </c>
      <c r="G8860" t="str">
        <f t="shared" si="361"/>
        <v>004HOT MERENGUE</v>
      </c>
      <c r="H8860" s="5">
        <f>VLOOKUP(G8860,[7]Astroflores!$G$2:$H$110,2,FALSE)</f>
        <v>2400</v>
      </c>
      <c r="I8860" s="6">
        <v>1162.4642856677858</v>
      </c>
      <c r="J8860" s="5">
        <v>8800</v>
      </c>
      <c r="K8860" s="6">
        <f t="shared" si="364"/>
        <v>2.0645795570582224</v>
      </c>
    </row>
    <row r="8861" spans="1:11" hidden="1">
      <c r="A8861" s="4">
        <v>2026</v>
      </c>
      <c r="B8861">
        <v>30</v>
      </c>
      <c r="C8861" t="s">
        <v>54</v>
      </c>
      <c r="D8861" t="s">
        <v>11</v>
      </c>
      <c r="E8861" t="s">
        <v>14</v>
      </c>
      <c r="F8861" t="s">
        <v>64</v>
      </c>
      <c r="G8861" t="str">
        <f t="shared" si="361"/>
        <v>004SWEETNESS</v>
      </c>
      <c r="H8861" s="5">
        <f>VLOOKUP(G8861,[7]Astroflores!$G$2:$H$110,2,FALSE)</f>
        <v>690</v>
      </c>
      <c r="I8861" s="6">
        <v>317.03571427303262</v>
      </c>
      <c r="J8861" s="5">
        <v>2400</v>
      </c>
      <c r="K8861" s="6">
        <f t="shared" si="364"/>
        <v>2.1764109497322086</v>
      </c>
    </row>
    <row r="8862" spans="1:11" hidden="1">
      <c r="A8862" s="4">
        <v>2026</v>
      </c>
      <c r="B8862">
        <v>30</v>
      </c>
      <c r="C8862" t="s">
        <v>54</v>
      </c>
      <c r="D8862" t="s">
        <v>11</v>
      </c>
      <c r="E8862" t="s">
        <v>16</v>
      </c>
      <c r="F8862" t="s">
        <v>57</v>
      </c>
      <c r="G8862" t="str">
        <f t="shared" si="361"/>
        <v>005EXPLORER</v>
      </c>
      <c r="H8862" s="5">
        <f>VLOOKUP(G8862,[7]Astroflores!$G$2:$H$110,2,FALSE)</f>
        <v>1650</v>
      </c>
      <c r="I8862" s="6">
        <v>951.10714281875391</v>
      </c>
      <c r="J8862" s="5">
        <v>7200</v>
      </c>
      <c r="K8862" s="6">
        <f t="shared" si="364"/>
        <v>1.7348203222509384</v>
      </c>
    </row>
    <row r="8863" spans="1:11" hidden="1">
      <c r="A8863" s="4">
        <v>2026</v>
      </c>
      <c r="B8863">
        <v>30</v>
      </c>
      <c r="C8863" t="s">
        <v>54</v>
      </c>
      <c r="D8863" t="s">
        <v>11</v>
      </c>
      <c r="E8863" t="s">
        <v>16</v>
      </c>
      <c r="F8863" t="s">
        <v>73</v>
      </c>
      <c r="G8863" t="str">
        <f t="shared" si="361"/>
        <v>005GOLDFINCH</v>
      </c>
      <c r="H8863" s="5">
        <f>VLOOKUP(G8863,[7]Astroflores!$G$2:$H$110,2,FALSE)</f>
        <v>900</v>
      </c>
      <c r="I8863" s="6">
        <v>898.26785710660101</v>
      </c>
      <c r="J8863" s="5">
        <v>6800</v>
      </c>
      <c r="K8863" s="6">
        <f t="shared" si="364"/>
        <v>1.0019283144550872</v>
      </c>
    </row>
    <row r="8864" spans="1:11" hidden="1">
      <c r="A8864" s="4">
        <v>2026</v>
      </c>
      <c r="B8864">
        <v>30</v>
      </c>
      <c r="C8864" t="s">
        <v>54</v>
      </c>
      <c r="D8864" t="s">
        <v>11</v>
      </c>
      <c r="E8864" t="s">
        <v>16</v>
      </c>
      <c r="F8864" t="s">
        <v>68</v>
      </c>
      <c r="G8864" t="str">
        <f t="shared" si="361"/>
        <v>005JOCKER</v>
      </c>
      <c r="H8864" s="5">
        <f>VLOOKUP(G8864,[7]Astroflores!$G$2:$H$110,2,FALSE)</f>
        <v>3150</v>
      </c>
      <c r="I8864" s="6">
        <v>1162.4642856673661</v>
      </c>
      <c r="J8864" s="5">
        <v>8800</v>
      </c>
      <c r="K8864" s="6">
        <f t="shared" si="364"/>
        <v>2.7097606686398952</v>
      </c>
    </row>
    <row r="8865" spans="1:11" hidden="1">
      <c r="A8865" s="4">
        <v>2026</v>
      </c>
      <c r="B8865">
        <v>30</v>
      </c>
      <c r="C8865" t="s">
        <v>54</v>
      </c>
      <c r="D8865" t="s">
        <v>11</v>
      </c>
      <c r="E8865" t="s">
        <v>16</v>
      </c>
      <c r="F8865" t="s">
        <v>74</v>
      </c>
      <c r="G8865" t="str">
        <f t="shared" ref="G8865:G8917" si="365">+E8865&amp;F8865</f>
        <v>005VENDELA</v>
      </c>
      <c r="H8865" s="5">
        <f>VLOOKUP(G8865,[7]Astroflores!$G$2:$H$110,2,FALSE)</f>
        <v>2100</v>
      </c>
      <c r="I8865" s="6">
        <v>686.91071425798896</v>
      </c>
      <c r="J8865" s="5">
        <v>5200</v>
      </c>
      <c r="K8865" s="6">
        <f t="shared" si="364"/>
        <v>3.0571658825680874</v>
      </c>
    </row>
    <row r="8866" spans="1:11" hidden="1">
      <c r="A8866" s="4">
        <v>2026</v>
      </c>
      <c r="B8866">
        <v>30</v>
      </c>
      <c r="C8866" t="s">
        <v>54</v>
      </c>
      <c r="D8866" t="s">
        <v>11</v>
      </c>
      <c r="E8866" t="s">
        <v>75</v>
      </c>
      <c r="F8866" t="s">
        <v>76</v>
      </c>
      <c r="G8866" t="str">
        <f t="shared" si="365"/>
        <v>006ATOMIC</v>
      </c>
      <c r="H8866" s="5">
        <f>VLOOKUP(G8866,[7]Astroflores!$G$2:$H$110,2,FALSE)</f>
        <v>900</v>
      </c>
      <c r="I8866" s="6">
        <v>845.428571394752</v>
      </c>
      <c r="J8866" s="5">
        <v>6400</v>
      </c>
      <c r="K8866" s="6">
        <f t="shared" si="364"/>
        <v>1.0645488341081475</v>
      </c>
    </row>
    <row r="8867" spans="1:11" hidden="1">
      <c r="A8867" s="4">
        <v>2026</v>
      </c>
      <c r="B8867">
        <v>30</v>
      </c>
      <c r="C8867" t="s">
        <v>54</v>
      </c>
      <c r="D8867" t="s">
        <v>11</v>
      </c>
      <c r="E8867" t="s">
        <v>75</v>
      </c>
      <c r="F8867" t="s">
        <v>57</v>
      </c>
      <c r="G8867" t="str">
        <f t="shared" si="365"/>
        <v>006EXPLORER</v>
      </c>
      <c r="H8867" s="5">
        <f>VLOOKUP(G8867,[7]Astroflores!$G$2:$H$110,2,FALSE)</f>
        <v>6075</v>
      </c>
      <c r="I8867" s="6">
        <v>3910.1071427007355</v>
      </c>
      <c r="J8867" s="5">
        <v>29600</v>
      </c>
      <c r="K8867" s="6">
        <f t="shared" si="364"/>
        <v>1.5536658659956717</v>
      </c>
    </row>
    <row r="8868" spans="1:11" hidden="1">
      <c r="A8868" s="4">
        <v>2026</v>
      </c>
      <c r="B8868">
        <v>30</v>
      </c>
      <c r="C8868" t="s">
        <v>54</v>
      </c>
      <c r="D8868" t="s">
        <v>11</v>
      </c>
      <c r="E8868" t="s">
        <v>75</v>
      </c>
      <c r="F8868" t="s">
        <v>77</v>
      </c>
      <c r="G8868" t="str">
        <f t="shared" si="365"/>
        <v>006MONDIAL</v>
      </c>
      <c r="H8868" s="5">
        <f>VLOOKUP(G8868,[7]Astroflores!$G$2:$H$110,2,FALSE)</f>
        <v>10650</v>
      </c>
      <c r="I8868" s="6">
        <v>4015.7857141250793</v>
      </c>
      <c r="J8868" s="5">
        <v>30400</v>
      </c>
      <c r="K8868" s="6">
        <f t="shared" si="364"/>
        <v>2.6520339376027486</v>
      </c>
    </row>
    <row r="8869" spans="1:11" hidden="1">
      <c r="A8869" s="4">
        <v>2026</v>
      </c>
      <c r="B8869">
        <v>30</v>
      </c>
      <c r="C8869" t="s">
        <v>54</v>
      </c>
      <c r="D8869" t="s">
        <v>11</v>
      </c>
      <c r="E8869" t="s">
        <v>20</v>
      </c>
      <c r="F8869" t="s">
        <v>70</v>
      </c>
      <c r="G8869" t="str">
        <f t="shared" si="365"/>
        <v>007COTOPAXI</v>
      </c>
      <c r="H8869" s="5">
        <f>VLOOKUP(G8869,[7]Astroflores!$G$2:$H$110,2,FALSE)</f>
        <v>6060</v>
      </c>
      <c r="I8869" s="6">
        <v>2747.5751230427709</v>
      </c>
      <c r="J8869" s="5">
        <v>20800</v>
      </c>
      <c r="K8869" s="6">
        <f t="shared" si="364"/>
        <v>2.2055811865441997</v>
      </c>
    </row>
    <row r="8870" spans="1:11" hidden="1">
      <c r="A8870" s="4">
        <v>2026</v>
      </c>
      <c r="B8870">
        <v>30</v>
      </c>
      <c r="C8870" t="s">
        <v>54</v>
      </c>
      <c r="D8870" t="s">
        <v>11</v>
      </c>
      <c r="E8870" t="s">
        <v>20</v>
      </c>
      <c r="F8870" t="s">
        <v>78</v>
      </c>
      <c r="G8870" t="str">
        <f t="shared" si="365"/>
        <v>007REDIANT</v>
      </c>
      <c r="H8870" s="5">
        <f>VLOOKUP(G8870,[7]Astroflores!$G$2:$H$110,2,FALSE)</f>
        <v>2070</v>
      </c>
      <c r="I8870" s="6">
        <v>1056.75862064738</v>
      </c>
      <c r="J8870" s="5">
        <v>9600</v>
      </c>
      <c r="K8870" s="6">
        <f t="shared" si="364"/>
        <v>1.9588200744763256</v>
      </c>
    </row>
    <row r="8871" spans="1:11" hidden="1">
      <c r="A8871" s="4">
        <v>2026</v>
      </c>
      <c r="B8871">
        <v>30</v>
      </c>
      <c r="C8871" t="s">
        <v>54</v>
      </c>
      <c r="D8871" t="s">
        <v>11</v>
      </c>
      <c r="E8871" t="s">
        <v>20</v>
      </c>
      <c r="F8871" t="s">
        <v>63</v>
      </c>
      <c r="G8871" t="str">
        <f t="shared" si="365"/>
        <v>007SUMMER ROMANCE</v>
      </c>
      <c r="H8871" s="5">
        <f>VLOOKUP(G8871,[7]Astroflores!$G$2:$H$110,2,FALSE)</f>
        <v>575</v>
      </c>
      <c r="I8871" s="6">
        <v>317.02758619421581</v>
      </c>
      <c r="J8871" s="5">
        <v>2640</v>
      </c>
      <c r="K8871" s="6">
        <f t="shared" si="364"/>
        <v>1.8137222911817725</v>
      </c>
    </row>
    <row r="8872" spans="1:11" hidden="1">
      <c r="A8872" s="4">
        <v>2026</v>
      </c>
      <c r="B8872">
        <v>30</v>
      </c>
      <c r="C8872" t="s">
        <v>54</v>
      </c>
      <c r="D8872" t="s">
        <v>11</v>
      </c>
      <c r="E8872" t="s">
        <v>20</v>
      </c>
      <c r="F8872" t="s">
        <v>114</v>
      </c>
      <c r="G8872" t="str">
        <f t="shared" si="365"/>
        <v>007TOPACIO</v>
      </c>
      <c r="H8872" s="5" t="e">
        <f>VLOOKUP(G8872,[7]Astroflores!$G$2:$H$110,2,FALSE)</f>
        <v>#N/A</v>
      </c>
      <c r="I8872" s="6">
        <v>52.837931032368999</v>
      </c>
      <c r="J8872" s="5">
        <v>440</v>
      </c>
      <c r="K8872" s="6" t="e">
        <f t="shared" si="364"/>
        <v>#N/A</v>
      </c>
    </row>
    <row r="8873" spans="1:11" hidden="1">
      <c r="A8873" s="4">
        <v>2026</v>
      </c>
      <c r="B8873">
        <v>30</v>
      </c>
      <c r="C8873" t="s">
        <v>54</v>
      </c>
      <c r="D8873" t="s">
        <v>11</v>
      </c>
      <c r="E8873" t="s">
        <v>20</v>
      </c>
      <c r="F8873" t="s">
        <v>74</v>
      </c>
      <c r="G8873" t="str">
        <f t="shared" si="365"/>
        <v>007VENDELA</v>
      </c>
      <c r="H8873" s="5">
        <f>VLOOKUP(G8873,[7]Astroflores!$G$2:$H$110,2,FALSE)</f>
        <v>11430</v>
      </c>
      <c r="I8873" s="6">
        <v>3592.9793102011122</v>
      </c>
      <c r="J8873" s="5">
        <v>27820</v>
      </c>
      <c r="K8873" s="6">
        <f t="shared" si="364"/>
        <v>3.1812039572697182</v>
      </c>
    </row>
    <row r="8874" spans="1:11" hidden="1">
      <c r="A8874" s="4">
        <v>2026</v>
      </c>
      <c r="B8874">
        <v>30</v>
      </c>
      <c r="C8874" t="s">
        <v>54</v>
      </c>
      <c r="D8874" t="s">
        <v>11</v>
      </c>
      <c r="E8874" t="s">
        <v>79</v>
      </c>
      <c r="F8874" t="s">
        <v>67</v>
      </c>
      <c r="G8874" t="str">
        <f t="shared" si="365"/>
        <v>008DEEP PURPLE</v>
      </c>
      <c r="H8874" s="5">
        <f>VLOOKUP(G8874,[7]Astroflores!$G$2:$H$110,2,FALSE)</f>
        <v>5880</v>
      </c>
      <c r="I8874" s="6">
        <v>1585.2222221588099</v>
      </c>
      <c r="J8874" s="5">
        <v>11490</v>
      </c>
      <c r="K8874" s="6">
        <f t="shared" si="364"/>
        <v>3.7092591296079704</v>
      </c>
    </row>
    <row r="8875" spans="1:11" hidden="1">
      <c r="A8875" s="4">
        <v>2026</v>
      </c>
      <c r="B8875">
        <v>30</v>
      </c>
      <c r="C8875" t="s">
        <v>54</v>
      </c>
      <c r="D8875" t="s">
        <v>11</v>
      </c>
      <c r="E8875" t="s">
        <v>79</v>
      </c>
      <c r="F8875" t="s">
        <v>81</v>
      </c>
      <c r="G8875" t="str">
        <f t="shared" si="365"/>
        <v>008FREEDOM</v>
      </c>
      <c r="H8875" s="5">
        <f>VLOOKUP(G8875,[7]Astroflores!$G$2:$H$110,2,FALSE)</f>
        <v>5070</v>
      </c>
      <c r="I8875" s="6">
        <v>2219.311111022334</v>
      </c>
      <c r="J8875" s="5">
        <v>16800</v>
      </c>
      <c r="K8875" s="6">
        <f t="shared" si="364"/>
        <v>2.284492685509282</v>
      </c>
    </row>
    <row r="8876" spans="1:11" hidden="1">
      <c r="A8876" s="4">
        <v>2026</v>
      </c>
      <c r="B8876">
        <v>30</v>
      </c>
      <c r="C8876" t="s">
        <v>54</v>
      </c>
      <c r="D8876" t="s">
        <v>11</v>
      </c>
      <c r="E8876" t="s">
        <v>79</v>
      </c>
      <c r="F8876" t="s">
        <v>68</v>
      </c>
      <c r="G8876" t="str">
        <f t="shared" si="365"/>
        <v>008JOCKER</v>
      </c>
      <c r="H8876" s="5">
        <f>VLOOKUP(G8876,[7]Astroflores!$G$2:$H$110,2,FALSE)</f>
        <v>5550</v>
      </c>
      <c r="I8876" s="6">
        <v>2959.0814813631118</v>
      </c>
      <c r="J8876" s="5">
        <v>22400</v>
      </c>
      <c r="K8876" s="6">
        <f t="shared" si="364"/>
        <v>1.875582012511319</v>
      </c>
    </row>
    <row r="8877" spans="1:11" hidden="1">
      <c r="A8877" s="4">
        <v>2026</v>
      </c>
      <c r="B8877">
        <v>30</v>
      </c>
      <c r="C8877" t="s">
        <v>54</v>
      </c>
      <c r="D8877" t="s">
        <v>11</v>
      </c>
      <c r="E8877" t="s">
        <v>79</v>
      </c>
      <c r="F8877" t="s">
        <v>63</v>
      </c>
      <c r="G8877" t="str">
        <f t="shared" si="365"/>
        <v>008SUMMER ROMANCE</v>
      </c>
      <c r="H8877" s="5" t="e">
        <f>VLOOKUP(G8877,[7]Astroflores!$G$2:$H$110,2,FALSE)</f>
        <v>#N/A</v>
      </c>
      <c r="I8877" s="6">
        <v>1796.5851851133182</v>
      </c>
      <c r="J8877" s="5">
        <v>13600</v>
      </c>
      <c r="K8877" s="6" t="e">
        <f t="shared" si="364"/>
        <v>#N/A</v>
      </c>
    </row>
    <row r="8878" spans="1:11" hidden="1">
      <c r="A8878" s="4">
        <v>2026</v>
      </c>
      <c r="B8878">
        <v>30</v>
      </c>
      <c r="C8878" t="s">
        <v>54</v>
      </c>
      <c r="D8878" t="s">
        <v>11</v>
      </c>
      <c r="E8878" t="s">
        <v>82</v>
      </c>
      <c r="F8878" t="s">
        <v>83</v>
      </c>
      <c r="G8878" t="str">
        <f t="shared" si="365"/>
        <v>010COOLDOWN</v>
      </c>
      <c r="H8878" s="5">
        <f>VLOOKUP(G8878,[7]Astroflores!$G$2:$H$110,2,FALSE)</f>
        <v>4225</v>
      </c>
      <c r="I8878" s="6">
        <v>1912.3542857142861</v>
      </c>
      <c r="J8878" s="5">
        <v>16320</v>
      </c>
      <c r="K8878" s="6">
        <f t="shared" si="364"/>
        <v>2.2093186558378299</v>
      </c>
    </row>
    <row r="8879" spans="1:11" hidden="1">
      <c r="A8879" s="4">
        <v>2026</v>
      </c>
      <c r="B8879">
        <v>30</v>
      </c>
      <c r="C8879" t="s">
        <v>54</v>
      </c>
      <c r="D8879" t="s">
        <v>11</v>
      </c>
      <c r="E8879" t="s">
        <v>82</v>
      </c>
      <c r="F8879" t="s">
        <v>84</v>
      </c>
      <c r="G8879" t="str">
        <f t="shared" si="365"/>
        <v>010VIOLET HILL</v>
      </c>
      <c r="H8879" s="5">
        <f>VLOOKUP(G8879,[7]Astroflores!$G$2:$H$110,2,FALSE)</f>
        <v>5040</v>
      </c>
      <c r="I8879" s="6">
        <v>2812.2857142428579</v>
      </c>
      <c r="J8879" s="5">
        <v>20000</v>
      </c>
      <c r="K8879" s="6">
        <f t="shared" si="364"/>
        <v>1.792136543763976</v>
      </c>
    </row>
    <row r="8880" spans="1:11" hidden="1">
      <c r="A8880" s="4">
        <v>2026</v>
      </c>
      <c r="B8880">
        <v>30</v>
      </c>
      <c r="C8880" t="s">
        <v>54</v>
      </c>
      <c r="D8880" t="s">
        <v>11</v>
      </c>
      <c r="E8880" t="s">
        <v>85</v>
      </c>
      <c r="F8880" t="s">
        <v>86</v>
      </c>
      <c r="G8880" t="str">
        <f t="shared" si="365"/>
        <v>011BRIGHTON</v>
      </c>
      <c r="H8880" s="5">
        <f>VLOOKUP(G8880,[7]Astroflores!$G$2:$H$110,2,FALSE)</f>
        <v>4000</v>
      </c>
      <c r="I8880" s="6">
        <v>1768.8376470588223</v>
      </c>
      <c r="J8880" s="5">
        <v>12800</v>
      </c>
      <c r="K8880" s="6">
        <f t="shared" si="364"/>
        <v>2.2613720409281752</v>
      </c>
    </row>
    <row r="8881" spans="1:11" hidden="1">
      <c r="A8881" s="4">
        <v>2026</v>
      </c>
      <c r="B8881">
        <v>30</v>
      </c>
      <c r="C8881" t="s">
        <v>54</v>
      </c>
      <c r="D8881" t="s">
        <v>11</v>
      </c>
      <c r="E8881" t="s">
        <v>85</v>
      </c>
      <c r="F8881" t="s">
        <v>87</v>
      </c>
      <c r="G8881" t="str">
        <f t="shared" si="365"/>
        <v>011CANDLELIGHT</v>
      </c>
      <c r="H8881" s="5">
        <f>VLOOKUP(G8881,[7]Astroflores!$G$2:$H$110,2,FALSE)</f>
        <v>3860</v>
      </c>
      <c r="I8881" s="6">
        <v>2263.7999998868127</v>
      </c>
      <c r="J8881" s="5">
        <v>17920</v>
      </c>
      <c r="K8881" s="6">
        <f t="shared" si="364"/>
        <v>1.7050976235502233</v>
      </c>
    </row>
    <row r="8882" spans="1:11" hidden="1">
      <c r="A8882" s="4">
        <v>2026</v>
      </c>
      <c r="B8882">
        <v>30</v>
      </c>
      <c r="C8882" t="s">
        <v>54</v>
      </c>
      <c r="D8882" t="s">
        <v>11</v>
      </c>
      <c r="E8882" t="s">
        <v>85</v>
      </c>
      <c r="F8882" t="s">
        <v>88</v>
      </c>
      <c r="G8882" t="str">
        <f t="shared" si="365"/>
        <v>011CAYENNE</v>
      </c>
      <c r="H8882" s="5">
        <f>VLOOKUP(G8882,[7]Astroflores!$G$2:$H$110,2,FALSE)</f>
        <v>1410</v>
      </c>
      <c r="I8882" s="6">
        <v>994.97117647058747</v>
      </c>
      <c r="J8882" s="5">
        <v>7200</v>
      </c>
      <c r="K8882" s="6">
        <f t="shared" si="364"/>
        <v>1.4171264789816564</v>
      </c>
    </row>
    <row r="8883" spans="1:11" hidden="1">
      <c r="A8883" s="4">
        <v>2026</v>
      </c>
      <c r="B8883">
        <v>30</v>
      </c>
      <c r="C8883" t="s">
        <v>54</v>
      </c>
      <c r="D8883" t="s">
        <v>11</v>
      </c>
      <c r="E8883" t="s">
        <v>85</v>
      </c>
      <c r="F8883" t="s">
        <v>61</v>
      </c>
      <c r="G8883" t="str">
        <f t="shared" si="365"/>
        <v>011LUMIA</v>
      </c>
      <c r="H8883" s="5">
        <f>VLOOKUP(G8883,[7]Astroflores!$G$2:$H$110,2,FALSE)</f>
        <v>1950</v>
      </c>
      <c r="I8883" s="6">
        <v>994.97117647058747</v>
      </c>
      <c r="J8883" s="5">
        <v>7920</v>
      </c>
      <c r="K8883" s="6">
        <f t="shared" si="364"/>
        <v>1.9598557688044185</v>
      </c>
    </row>
    <row r="8884" spans="1:11" hidden="1">
      <c r="A8884" s="4">
        <v>2026</v>
      </c>
      <c r="B8884">
        <v>30</v>
      </c>
      <c r="C8884" t="s">
        <v>54</v>
      </c>
      <c r="D8884" t="s">
        <v>11</v>
      </c>
      <c r="E8884" t="s">
        <v>85</v>
      </c>
      <c r="F8884" t="s">
        <v>89</v>
      </c>
      <c r="G8884" t="str">
        <f t="shared" si="365"/>
        <v>011STARDUST</v>
      </c>
      <c r="H8884" s="5">
        <f>VLOOKUP(G8884,[7]Astroflores!$G$2:$H$110,2,FALSE)</f>
        <v>4175</v>
      </c>
      <c r="I8884" s="6">
        <v>2263.7999998868127</v>
      </c>
      <c r="J8884" s="5">
        <v>17920</v>
      </c>
      <c r="K8884" s="6">
        <f t="shared" si="364"/>
        <v>1.8442441912751768</v>
      </c>
    </row>
    <row r="8885" spans="1:11" hidden="1">
      <c r="A8885" s="4">
        <v>2026</v>
      </c>
      <c r="B8885">
        <v>30</v>
      </c>
      <c r="C8885" t="s">
        <v>54</v>
      </c>
      <c r="D8885" t="s">
        <v>11</v>
      </c>
      <c r="E8885" t="s">
        <v>90</v>
      </c>
      <c r="F8885" t="s">
        <v>67</v>
      </c>
      <c r="G8885" t="str">
        <f t="shared" si="365"/>
        <v>012DEEP PURPLE</v>
      </c>
      <c r="H8885" s="5">
        <f>VLOOKUP(G8885,[7]Astroflores!$G$2:$H$110,2,FALSE)</f>
        <v>21930</v>
      </c>
      <c r="I8885" s="6">
        <v>6727.0499997982479</v>
      </c>
      <c r="J8885" s="5">
        <v>49210</v>
      </c>
      <c r="K8885" s="6">
        <f t="shared" si="364"/>
        <v>3.2599727964944081</v>
      </c>
    </row>
    <row r="8886" spans="1:11" hidden="1">
      <c r="A8886" s="4">
        <v>2026</v>
      </c>
      <c r="B8886">
        <v>30</v>
      </c>
      <c r="C8886" t="s">
        <v>54</v>
      </c>
      <c r="D8886" t="s">
        <v>11</v>
      </c>
      <c r="E8886" t="s">
        <v>90</v>
      </c>
      <c r="F8886" t="s">
        <v>60</v>
      </c>
      <c r="G8886" t="str">
        <f t="shared" si="365"/>
        <v>012LIGHT HOUSE</v>
      </c>
      <c r="H8886" s="5">
        <f>VLOOKUP(G8886,[7]Astroflores!$G$2:$H$110,2,FALSE)</f>
        <v>1590</v>
      </c>
      <c r="I8886" s="6">
        <v>994.95</v>
      </c>
      <c r="J8886" s="5">
        <v>7200</v>
      </c>
      <c r="K8886" s="6">
        <f t="shared" si="364"/>
        <v>1.5980702547866725</v>
      </c>
    </row>
    <row r="8887" spans="1:11" hidden="1">
      <c r="A8887" s="4">
        <v>2026</v>
      </c>
      <c r="B8887">
        <v>30</v>
      </c>
      <c r="C8887" t="s">
        <v>54</v>
      </c>
      <c r="D8887" t="s">
        <v>11</v>
      </c>
      <c r="E8887" t="s">
        <v>91</v>
      </c>
      <c r="F8887" t="s">
        <v>92</v>
      </c>
      <c r="G8887" t="str">
        <f t="shared" si="365"/>
        <v>013COUNTRY BLUES</v>
      </c>
      <c r="H8887" s="5">
        <f>VLOOKUP(G8887,[7]Astroflores!$G$2:$H$110,2,FALSE)</f>
        <v>1400</v>
      </c>
      <c r="I8887" s="6">
        <v>831.6</v>
      </c>
      <c r="J8887" s="5">
        <v>6300</v>
      </c>
      <c r="K8887" s="6">
        <f t="shared" si="364"/>
        <v>1.6835016835016834</v>
      </c>
    </row>
    <row r="8888" spans="1:11" hidden="1">
      <c r="A8888" s="4">
        <v>2026</v>
      </c>
      <c r="B8888">
        <v>30</v>
      </c>
      <c r="C8888" t="s">
        <v>54</v>
      </c>
      <c r="D8888" t="s">
        <v>11</v>
      </c>
      <c r="E8888" t="s">
        <v>91</v>
      </c>
      <c r="F8888" t="s">
        <v>93</v>
      </c>
      <c r="G8888" t="str">
        <f t="shared" si="365"/>
        <v>013LORRAINE</v>
      </c>
      <c r="H8888" s="5">
        <f>VLOOKUP(G8888,[7]Astroflores!$G$2:$H$110,2,FALSE)</f>
        <v>4250</v>
      </c>
      <c r="I8888" s="6">
        <v>1267.2</v>
      </c>
      <c r="J8888" s="5">
        <v>9600</v>
      </c>
      <c r="K8888" s="6">
        <f t="shared" si="364"/>
        <v>3.3538510101010099</v>
      </c>
    </row>
    <row r="8889" spans="1:11" hidden="1">
      <c r="A8889" s="4">
        <v>2026</v>
      </c>
      <c r="B8889">
        <v>30</v>
      </c>
      <c r="C8889" t="s">
        <v>54</v>
      </c>
      <c r="D8889" t="s">
        <v>11</v>
      </c>
      <c r="E8889" t="s">
        <v>91</v>
      </c>
      <c r="F8889" t="s">
        <v>61</v>
      </c>
      <c r="G8889" t="str">
        <f t="shared" si="365"/>
        <v>013LUMIA</v>
      </c>
      <c r="H8889" s="5">
        <f>VLOOKUP(G8889,[7]Astroflores!$G$2:$H$110,2,FALSE)</f>
        <v>840</v>
      </c>
      <c r="I8889" s="6">
        <v>316.8</v>
      </c>
      <c r="J8889" s="5">
        <v>2400</v>
      </c>
      <c r="K8889" s="6">
        <f t="shared" si="364"/>
        <v>2.6515151515151514</v>
      </c>
    </row>
    <row r="8890" spans="1:11" hidden="1">
      <c r="A8890" s="4">
        <v>2026</v>
      </c>
      <c r="B8890">
        <v>30</v>
      </c>
      <c r="C8890" t="s">
        <v>54</v>
      </c>
      <c r="D8890" t="s">
        <v>11</v>
      </c>
      <c r="E8890" t="s">
        <v>91</v>
      </c>
      <c r="F8890" t="s">
        <v>74</v>
      </c>
      <c r="G8890" t="str">
        <f t="shared" si="365"/>
        <v>013VENDELA</v>
      </c>
      <c r="H8890" s="5">
        <f>VLOOKUP(G8890,[7]Astroflores!$G$2:$H$110,2,FALSE)</f>
        <v>12840</v>
      </c>
      <c r="I8890" s="6">
        <v>3603.6</v>
      </c>
      <c r="J8890" s="5">
        <v>27296</v>
      </c>
      <c r="K8890" s="6">
        <f t="shared" si="364"/>
        <v>3.5631035631035632</v>
      </c>
    </row>
    <row r="8891" spans="1:11" hidden="1">
      <c r="A8891" s="4">
        <v>2026</v>
      </c>
      <c r="B8891">
        <v>30</v>
      </c>
      <c r="C8891" t="s">
        <v>54</v>
      </c>
      <c r="D8891" t="s">
        <v>11</v>
      </c>
      <c r="E8891" t="s">
        <v>23</v>
      </c>
      <c r="F8891" t="s">
        <v>89</v>
      </c>
      <c r="G8891" t="str">
        <f t="shared" si="365"/>
        <v>014STARDUST</v>
      </c>
      <c r="H8891" s="5">
        <f>VLOOKUP(G8891,[7]Astroflores!$G$2:$H$110,2,FALSE)</f>
        <v>7775</v>
      </c>
      <c r="I8891" s="6">
        <v>3682.8</v>
      </c>
      <c r="J8891" s="5">
        <v>27900</v>
      </c>
      <c r="K8891" s="6">
        <f t="shared" si="364"/>
        <v>2.1111654176170305</v>
      </c>
    </row>
    <row r="8892" spans="1:11" hidden="1">
      <c r="A8892" s="4">
        <v>2026</v>
      </c>
      <c r="B8892">
        <v>30</v>
      </c>
      <c r="C8892" t="s">
        <v>54</v>
      </c>
      <c r="D8892" t="s">
        <v>11</v>
      </c>
      <c r="E8892" t="s">
        <v>25</v>
      </c>
      <c r="F8892" t="s">
        <v>68</v>
      </c>
      <c r="G8892" t="str">
        <f t="shared" si="365"/>
        <v>015JOCKER</v>
      </c>
      <c r="H8892" s="5">
        <f>VLOOKUP(G8892,[7]Astroflores!$G$2:$H$110,2,FALSE)</f>
        <v>6175</v>
      </c>
      <c r="I8892" s="6">
        <v>2376</v>
      </c>
      <c r="J8892" s="5">
        <v>18000</v>
      </c>
      <c r="K8892" s="6">
        <f t="shared" si="364"/>
        <v>2.5989057239057241</v>
      </c>
    </row>
    <row r="8893" spans="1:11" hidden="1">
      <c r="A8893" s="4">
        <v>2026</v>
      </c>
      <c r="B8893">
        <v>30</v>
      </c>
      <c r="C8893" t="s">
        <v>54</v>
      </c>
      <c r="D8893" t="s">
        <v>11</v>
      </c>
      <c r="E8893" t="s">
        <v>27</v>
      </c>
      <c r="F8893" t="s">
        <v>94</v>
      </c>
      <c r="G8893" t="str">
        <f t="shared" si="365"/>
        <v>016DREAM IN PEACH</v>
      </c>
      <c r="H8893" s="5">
        <f>VLOOKUP(G8893,[7]Astroflores!$G$2:$H$110,2,FALSE)</f>
        <v>1770</v>
      </c>
      <c r="I8893" s="6">
        <v>950.4</v>
      </c>
      <c r="J8893" s="5">
        <v>7200</v>
      </c>
      <c r="K8893" s="6">
        <f t="shared" si="364"/>
        <v>1.8623737373737375</v>
      </c>
    </row>
    <row r="8894" spans="1:11" hidden="1">
      <c r="A8894" s="4">
        <v>2026</v>
      </c>
      <c r="B8894">
        <v>30</v>
      </c>
      <c r="C8894" t="s">
        <v>54</v>
      </c>
      <c r="D8894" t="s">
        <v>11</v>
      </c>
      <c r="E8894" t="s">
        <v>27</v>
      </c>
      <c r="F8894" t="s">
        <v>95</v>
      </c>
      <c r="G8894" t="str">
        <f t="shared" si="365"/>
        <v>016NINA</v>
      </c>
      <c r="H8894" s="5">
        <f>VLOOKUP(G8894,[7]Astroflores!$G$2:$H$110,2,FALSE)</f>
        <v>3750</v>
      </c>
      <c r="I8894" s="6">
        <v>1346.4</v>
      </c>
      <c r="J8894" s="5">
        <v>10200</v>
      </c>
      <c r="K8894" s="6">
        <f t="shared" si="364"/>
        <v>2.785204991087344</v>
      </c>
    </row>
    <row r="8895" spans="1:11" hidden="1">
      <c r="A8895" s="4">
        <v>2026</v>
      </c>
      <c r="B8895">
        <v>30</v>
      </c>
      <c r="C8895" t="s">
        <v>54</v>
      </c>
      <c r="D8895" t="s">
        <v>11</v>
      </c>
      <c r="E8895" t="s">
        <v>30</v>
      </c>
      <c r="F8895" t="s">
        <v>81</v>
      </c>
      <c r="G8895" t="str">
        <f t="shared" si="365"/>
        <v>017FREEDOM</v>
      </c>
      <c r="H8895" s="5">
        <f>VLOOKUP(G8895,[7]Astroflores!$G$2:$H$110,2,FALSE)</f>
        <v>6990</v>
      </c>
      <c r="I8895" s="6">
        <v>2851.2</v>
      </c>
      <c r="J8895" s="5">
        <v>21600</v>
      </c>
      <c r="K8895" s="6">
        <f t="shared" si="364"/>
        <v>2.4515993265993266</v>
      </c>
    </row>
    <row r="8896" spans="1:11" hidden="1">
      <c r="A8896" s="4">
        <v>2026</v>
      </c>
      <c r="B8896">
        <v>30</v>
      </c>
      <c r="C8896" t="s">
        <v>54</v>
      </c>
      <c r="D8896" t="s">
        <v>11</v>
      </c>
      <c r="E8896" t="s">
        <v>30</v>
      </c>
      <c r="F8896" t="s">
        <v>73</v>
      </c>
      <c r="G8896" t="str">
        <f t="shared" si="365"/>
        <v>017GOLDFINCH</v>
      </c>
      <c r="H8896" s="5">
        <f>VLOOKUP(G8896,[7]Astroflores!$G$2:$H$110,2,FALSE)</f>
        <v>4350</v>
      </c>
      <c r="I8896" s="6">
        <v>2138.4</v>
      </c>
      <c r="J8896" s="5">
        <v>16200</v>
      </c>
      <c r="K8896" s="6">
        <f t="shared" si="364"/>
        <v>2.0342312008978674</v>
      </c>
    </row>
    <row r="8897" spans="1:11" hidden="1">
      <c r="A8897" s="4">
        <v>2026</v>
      </c>
      <c r="B8897">
        <v>30</v>
      </c>
      <c r="C8897" t="s">
        <v>54</v>
      </c>
      <c r="D8897" t="s">
        <v>11</v>
      </c>
      <c r="E8897" t="s">
        <v>32</v>
      </c>
      <c r="F8897" t="s">
        <v>86</v>
      </c>
      <c r="G8897" t="str">
        <f t="shared" si="365"/>
        <v>018BRIGHTON</v>
      </c>
      <c r="H8897" s="5">
        <f>VLOOKUP(G8897,[7]Astroflores!$G$2:$H$110,2,FALSE)</f>
        <v>2400</v>
      </c>
      <c r="I8897" s="6">
        <v>963.6</v>
      </c>
      <c r="J8897" s="5">
        <v>7570</v>
      </c>
      <c r="K8897" s="6">
        <f t="shared" si="364"/>
        <v>2.4906600249066</v>
      </c>
    </row>
    <row r="8898" spans="1:11" hidden="1">
      <c r="A8898" s="4">
        <v>2026</v>
      </c>
      <c r="B8898">
        <v>30</v>
      </c>
      <c r="C8898" t="s">
        <v>54</v>
      </c>
      <c r="D8898" t="s">
        <v>11</v>
      </c>
      <c r="E8898" t="s">
        <v>35</v>
      </c>
      <c r="F8898" t="s">
        <v>86</v>
      </c>
      <c r="G8898" t="str">
        <f t="shared" si="365"/>
        <v>019BRIGHTON</v>
      </c>
      <c r="H8898" s="5">
        <f>VLOOKUP(G8898,[7]Astroflores!$G$2:$H$110,2,FALSE)</f>
        <v>7875</v>
      </c>
      <c r="I8898" s="6">
        <v>3168</v>
      </c>
      <c r="J8898" s="5">
        <v>24000</v>
      </c>
      <c r="K8898" s="6">
        <f t="shared" si="364"/>
        <v>2.4857954545454546</v>
      </c>
    </row>
    <row r="8899" spans="1:11" hidden="1">
      <c r="A8899" s="4">
        <v>2026</v>
      </c>
      <c r="B8899">
        <v>30</v>
      </c>
      <c r="C8899" t="s">
        <v>54</v>
      </c>
      <c r="D8899" t="s">
        <v>11</v>
      </c>
      <c r="E8899" t="s">
        <v>35</v>
      </c>
      <c r="F8899" t="s">
        <v>96</v>
      </c>
      <c r="G8899" t="str">
        <f t="shared" si="365"/>
        <v>019TABATHA</v>
      </c>
      <c r="H8899" s="5">
        <f>VLOOKUP(G8899,[7]Astroflores!$G$2:$H$110,2,FALSE)</f>
        <v>3600</v>
      </c>
      <c r="I8899" s="6">
        <v>1188</v>
      </c>
      <c r="J8899" s="5">
        <v>9000</v>
      </c>
      <c r="K8899" s="6">
        <f t="shared" si="364"/>
        <v>3.0303030303030303</v>
      </c>
    </row>
    <row r="8900" spans="1:11" hidden="1">
      <c r="A8900" s="4">
        <v>2026</v>
      </c>
      <c r="B8900">
        <v>30</v>
      </c>
      <c r="C8900" t="s">
        <v>54</v>
      </c>
      <c r="D8900" t="s">
        <v>11</v>
      </c>
      <c r="E8900" t="s">
        <v>36</v>
      </c>
      <c r="F8900" t="s">
        <v>86</v>
      </c>
      <c r="G8900" t="str">
        <f t="shared" si="365"/>
        <v>020BRIGHTON</v>
      </c>
      <c r="H8900" s="5">
        <f>VLOOKUP(G8900,[7]Astroflores!$G$2:$H$110,2,FALSE)</f>
        <v>6625</v>
      </c>
      <c r="I8900" s="6">
        <v>2732.4</v>
      </c>
      <c r="J8900" s="5">
        <v>20700</v>
      </c>
      <c r="K8900" s="6">
        <f t="shared" si="364"/>
        <v>2.4246084028692723</v>
      </c>
    </row>
    <row r="8901" spans="1:11" hidden="1">
      <c r="A8901" s="4">
        <v>2026</v>
      </c>
      <c r="B8901">
        <v>30</v>
      </c>
      <c r="C8901" t="s">
        <v>54</v>
      </c>
      <c r="D8901" t="s">
        <v>11</v>
      </c>
      <c r="E8901" t="s">
        <v>36</v>
      </c>
      <c r="F8901" t="s">
        <v>97</v>
      </c>
      <c r="G8901" t="str">
        <f t="shared" si="365"/>
        <v>020TYCOON</v>
      </c>
      <c r="H8901" s="5">
        <f>VLOOKUP(G8901,[7]Astroflores!$G$2:$H$110,2,FALSE)</f>
        <v>1200</v>
      </c>
      <c r="I8901" s="6">
        <v>673.2</v>
      </c>
      <c r="J8901" s="5">
        <v>5100</v>
      </c>
      <c r="K8901" s="6">
        <f t="shared" si="364"/>
        <v>1.7825311942959001</v>
      </c>
    </row>
    <row r="8902" spans="1:11" hidden="1">
      <c r="A8902" s="4">
        <v>2026</v>
      </c>
      <c r="B8902">
        <v>30</v>
      </c>
      <c r="C8902" t="s">
        <v>54</v>
      </c>
      <c r="D8902" t="s">
        <v>11</v>
      </c>
      <c r="E8902" t="s">
        <v>38</v>
      </c>
      <c r="F8902" t="s">
        <v>98</v>
      </c>
      <c r="G8902" t="str">
        <f t="shared" si="365"/>
        <v>021SHOW GIRL</v>
      </c>
      <c r="H8902" s="5">
        <f>VLOOKUP(G8902,[7]Astroflores!$G$2:$H$110,2,FALSE)</f>
        <v>1375</v>
      </c>
      <c r="I8902" s="6">
        <v>1100.4749999999999</v>
      </c>
      <c r="J8902" s="5">
        <v>8000</v>
      </c>
      <c r="K8902" s="6">
        <f t="shared" si="364"/>
        <v>1.2494604602557988</v>
      </c>
    </row>
    <row r="8903" spans="1:11" hidden="1">
      <c r="A8903" s="4">
        <v>2026</v>
      </c>
      <c r="B8903">
        <v>30</v>
      </c>
      <c r="C8903" t="s">
        <v>54</v>
      </c>
      <c r="D8903" t="s">
        <v>11</v>
      </c>
      <c r="E8903" t="s">
        <v>43</v>
      </c>
      <c r="F8903" t="s">
        <v>99</v>
      </c>
      <c r="G8903" t="str">
        <f t="shared" si="365"/>
        <v>022CORAL REEF</v>
      </c>
      <c r="H8903" s="5">
        <f>VLOOKUP(G8903,[7]Astroflores!$G$2:$H$110,2,FALSE)</f>
        <v>2475</v>
      </c>
      <c r="I8903" s="6">
        <v>1287</v>
      </c>
      <c r="J8903" s="5">
        <v>9400</v>
      </c>
      <c r="K8903" s="6">
        <f t="shared" si="364"/>
        <v>1.9230769230769231</v>
      </c>
    </row>
    <row r="8904" spans="1:11" hidden="1">
      <c r="A8904" s="4">
        <v>2026</v>
      </c>
      <c r="B8904">
        <v>30</v>
      </c>
      <c r="C8904" t="s">
        <v>54</v>
      </c>
      <c r="D8904" t="s">
        <v>11</v>
      </c>
      <c r="E8904" t="s">
        <v>100</v>
      </c>
      <c r="F8904" t="s">
        <v>70</v>
      </c>
      <c r="G8904" t="str">
        <f t="shared" si="365"/>
        <v>023COTOPAXI</v>
      </c>
      <c r="H8904" s="5">
        <f>VLOOKUP(G8904,[7]Astroflores!$G$2:$H$110,2,FALSE)</f>
        <v>7980</v>
      </c>
      <c r="I8904" s="6">
        <v>2641.14</v>
      </c>
      <c r="J8904" s="5">
        <v>19200</v>
      </c>
      <c r="K8904" s="6">
        <f t="shared" si="364"/>
        <v>3.0214225675276585</v>
      </c>
    </row>
    <row r="8905" spans="1:11" hidden="1">
      <c r="A8905" s="4">
        <v>2026</v>
      </c>
      <c r="B8905">
        <v>30</v>
      </c>
      <c r="C8905" t="s">
        <v>54</v>
      </c>
      <c r="D8905" t="s">
        <v>11</v>
      </c>
      <c r="E8905" t="s">
        <v>100</v>
      </c>
      <c r="F8905" t="s">
        <v>101</v>
      </c>
      <c r="G8905" t="str">
        <f t="shared" si="365"/>
        <v>023FRUTTETO</v>
      </c>
      <c r="H8905" s="5">
        <f>VLOOKUP(G8905,[7]Astroflores!$G$2:$H$110,2,FALSE)</f>
        <v>6630</v>
      </c>
      <c r="I8905" s="6">
        <v>2641.14</v>
      </c>
      <c r="J8905" s="5">
        <v>19200</v>
      </c>
      <c r="K8905" s="6">
        <f t="shared" si="364"/>
        <v>2.5102796519684683</v>
      </c>
    </row>
    <row r="8906" spans="1:11" hidden="1">
      <c r="A8906" s="4">
        <v>2026</v>
      </c>
      <c r="B8906">
        <v>30</v>
      </c>
      <c r="C8906" t="s">
        <v>54</v>
      </c>
      <c r="D8906" t="s">
        <v>11</v>
      </c>
      <c r="E8906" t="s">
        <v>102</v>
      </c>
      <c r="F8906" t="s">
        <v>70</v>
      </c>
      <c r="G8906" t="str">
        <f t="shared" si="365"/>
        <v>024COTOPAXI</v>
      </c>
      <c r="H8906" s="5">
        <f>VLOOKUP(G8906,[7]Astroflores!$G$2:$H$110,2,FALSE)</f>
        <v>5430</v>
      </c>
      <c r="I8906" s="6">
        <v>1430.6174906250001</v>
      </c>
      <c r="J8906" s="5">
        <v>10400</v>
      </c>
      <c r="K8906" s="6">
        <f t="shared" si="364"/>
        <v>3.7955638286148536</v>
      </c>
    </row>
    <row r="8907" spans="1:11" hidden="1">
      <c r="A8907" s="4">
        <v>2026</v>
      </c>
      <c r="B8907">
        <v>30</v>
      </c>
      <c r="C8907" t="s">
        <v>54</v>
      </c>
      <c r="D8907" t="s">
        <v>11</v>
      </c>
      <c r="E8907" t="s">
        <v>102</v>
      </c>
      <c r="F8907" t="s">
        <v>64</v>
      </c>
      <c r="G8907" t="str">
        <f t="shared" si="365"/>
        <v>024SWEETNESS</v>
      </c>
      <c r="H8907" s="5">
        <f>VLOOKUP(G8907,[7]Astroflores!$G$2:$H$110,2,FALSE)</f>
        <v>2400</v>
      </c>
      <c r="I8907" s="6">
        <v>1430.6175000000001</v>
      </c>
      <c r="J8907" s="5">
        <v>10400</v>
      </c>
      <c r="K8907" s="6">
        <f t="shared" si="364"/>
        <v>1.6775972613224708</v>
      </c>
    </row>
    <row r="8908" spans="1:11" hidden="1">
      <c r="A8908" s="4">
        <v>2026</v>
      </c>
      <c r="B8908">
        <v>30</v>
      </c>
      <c r="C8908" t="s">
        <v>54</v>
      </c>
      <c r="D8908" t="s">
        <v>11</v>
      </c>
      <c r="E8908" t="s">
        <v>102</v>
      </c>
      <c r="F8908" t="s">
        <v>97</v>
      </c>
      <c r="G8908" t="str">
        <f t="shared" si="365"/>
        <v>024TYCOON</v>
      </c>
      <c r="H8908" s="5">
        <f>VLOOKUP(G8908,[7]Astroflores!$G$2:$H$110,2,FALSE)</f>
        <v>4500</v>
      </c>
      <c r="I8908" s="6">
        <v>2861.2350000000001</v>
      </c>
      <c r="J8908" s="5">
        <v>20800</v>
      </c>
      <c r="K8908" s="6">
        <f t="shared" si="364"/>
        <v>1.5727474324898163</v>
      </c>
    </row>
    <row r="8909" spans="1:11" hidden="1">
      <c r="A8909" s="4">
        <v>2026</v>
      </c>
      <c r="B8909">
        <v>30</v>
      </c>
      <c r="C8909" t="s">
        <v>54</v>
      </c>
      <c r="D8909" t="s">
        <v>11</v>
      </c>
      <c r="E8909" t="s">
        <v>103</v>
      </c>
      <c r="F8909" t="s">
        <v>104</v>
      </c>
      <c r="G8909" t="str">
        <f t="shared" si="365"/>
        <v>025PINK MONDIAL</v>
      </c>
      <c r="H8909" s="5">
        <f>VLOOKUP(G8909,[7]Astroflores!$G$2:$H$110,2,FALSE)</f>
        <v>8675</v>
      </c>
      <c r="I8909" s="6">
        <v>3071.9505625000002</v>
      </c>
      <c r="J8909" s="5">
        <v>22400</v>
      </c>
      <c r="K8909" s="6">
        <f t="shared" si="364"/>
        <v>2.823938674631584</v>
      </c>
    </row>
    <row r="8910" spans="1:11" hidden="1">
      <c r="A8910" s="4">
        <v>2026</v>
      </c>
      <c r="B8910">
        <v>30</v>
      </c>
      <c r="C8910" t="s">
        <v>54</v>
      </c>
      <c r="D8910" t="s">
        <v>11</v>
      </c>
      <c r="E8910" t="s">
        <v>45</v>
      </c>
      <c r="F8910" t="s">
        <v>105</v>
      </c>
      <c r="G8910" t="str">
        <f t="shared" si="365"/>
        <v>026LOLA</v>
      </c>
      <c r="H8910" s="5">
        <f>VLOOKUP(G8910,[7]Astroflores!$G$2:$H$110,2,FALSE)</f>
        <v>3600</v>
      </c>
      <c r="I8910" s="6">
        <v>1097.125</v>
      </c>
      <c r="J8910" s="5">
        <v>8000</v>
      </c>
      <c r="K8910" s="6">
        <f t="shared" si="364"/>
        <v>3.2813034066309674</v>
      </c>
    </row>
    <row r="8911" spans="1:11" hidden="1">
      <c r="A8911" s="4">
        <v>2026</v>
      </c>
      <c r="B8911">
        <v>30</v>
      </c>
      <c r="C8911" t="s">
        <v>54</v>
      </c>
      <c r="D8911" t="s">
        <v>11</v>
      </c>
      <c r="E8911" t="s">
        <v>45</v>
      </c>
      <c r="F8911" t="s">
        <v>106</v>
      </c>
      <c r="G8911" t="str">
        <f t="shared" si="365"/>
        <v>026PALOMA</v>
      </c>
      <c r="H8911" s="5">
        <f>VLOOKUP(G8911,[7]Astroflores!$G$2:$H$110,2,FALSE)</f>
        <v>4750</v>
      </c>
      <c r="I8911" s="6">
        <v>2852.5250000000001</v>
      </c>
      <c r="J8911" s="5">
        <v>20800</v>
      </c>
      <c r="K8911" s="6">
        <f t="shared" si="364"/>
        <v>1.6651913655445614</v>
      </c>
    </row>
    <row r="8912" spans="1:11" hidden="1">
      <c r="A8912" s="4">
        <v>2026</v>
      </c>
      <c r="B8912">
        <v>30</v>
      </c>
      <c r="C8912" t="s">
        <v>54</v>
      </c>
      <c r="D8912" t="s">
        <v>11</v>
      </c>
      <c r="E8912" t="s">
        <v>107</v>
      </c>
      <c r="F8912" t="s">
        <v>108</v>
      </c>
      <c r="G8912" t="str">
        <f t="shared" si="365"/>
        <v>027SATISFACTION</v>
      </c>
      <c r="H8912" s="5">
        <f>VLOOKUP(G8912,[7]Astroflores!$G$2:$H$110,2,FALSE)</f>
        <v>6120</v>
      </c>
      <c r="I8912" s="6">
        <v>2633.1</v>
      </c>
      <c r="J8912" s="5">
        <v>19200</v>
      </c>
      <c r="K8912" s="6">
        <f t="shared" si="364"/>
        <v>2.3242565796969354</v>
      </c>
    </row>
    <row r="8913" spans="1:11" hidden="1">
      <c r="A8913" s="4">
        <v>2026</v>
      </c>
      <c r="B8913">
        <v>30</v>
      </c>
      <c r="C8913" t="s">
        <v>54</v>
      </c>
      <c r="D8913" t="s">
        <v>11</v>
      </c>
      <c r="E8913" t="s">
        <v>107</v>
      </c>
      <c r="F8913" t="s">
        <v>109</v>
      </c>
      <c r="G8913" t="str">
        <f t="shared" si="365"/>
        <v>027TIFFANY</v>
      </c>
      <c r="H8913" s="5">
        <f>VLOOKUP(G8913,[7]Astroflores!$G$2:$H$110,2,FALSE)</f>
        <v>6570</v>
      </c>
      <c r="I8913" s="6">
        <v>2633.1</v>
      </c>
      <c r="J8913" s="5">
        <v>19200</v>
      </c>
      <c r="K8913" s="6">
        <f t="shared" ref="K8913:K8917" si="366">+H8913/I8913</f>
        <v>2.4951577987922979</v>
      </c>
    </row>
    <row r="8914" spans="1:11" hidden="1">
      <c r="A8914" s="4">
        <v>2026</v>
      </c>
      <c r="B8914">
        <v>30</v>
      </c>
      <c r="C8914" t="s">
        <v>54</v>
      </c>
      <c r="D8914" t="s">
        <v>11</v>
      </c>
      <c r="E8914" t="s">
        <v>110</v>
      </c>
      <c r="F8914" t="s">
        <v>70</v>
      </c>
      <c r="G8914" t="str">
        <f t="shared" si="365"/>
        <v>028COTOPAXI</v>
      </c>
      <c r="H8914" s="5">
        <f>VLOOKUP(G8914,[7]Astroflores!$G$2:$H$110,2,FALSE)</f>
        <v>6930</v>
      </c>
      <c r="I8914" s="6">
        <v>2852.5250000000001</v>
      </c>
      <c r="J8914" s="5">
        <v>20800</v>
      </c>
      <c r="K8914" s="6">
        <f t="shared" si="366"/>
        <v>2.4294265606786967</v>
      </c>
    </row>
    <row r="8915" spans="1:11" hidden="1">
      <c r="A8915" s="4">
        <v>2026</v>
      </c>
      <c r="B8915">
        <v>30</v>
      </c>
      <c r="C8915" t="s">
        <v>54</v>
      </c>
      <c r="D8915" t="s">
        <v>11</v>
      </c>
      <c r="E8915" t="s">
        <v>110</v>
      </c>
      <c r="F8915" t="s">
        <v>67</v>
      </c>
      <c r="G8915" t="str">
        <f t="shared" si="365"/>
        <v>028DEEP PURPLE</v>
      </c>
      <c r="H8915" s="5">
        <f>VLOOKUP(G8915,[7]Astroflores!$G$2:$H$110,2,FALSE)</f>
        <v>9450</v>
      </c>
      <c r="I8915" s="6">
        <v>2852.5250000000001</v>
      </c>
      <c r="J8915" s="5">
        <v>20800</v>
      </c>
      <c r="K8915" s="6">
        <f t="shared" si="366"/>
        <v>3.3128544009254957</v>
      </c>
    </row>
    <row r="8916" spans="1:11" hidden="1">
      <c r="A8916" s="4">
        <v>2026</v>
      </c>
      <c r="B8916">
        <v>30</v>
      </c>
      <c r="C8916" t="s">
        <v>54</v>
      </c>
      <c r="D8916" t="s">
        <v>11</v>
      </c>
      <c r="E8916" t="s">
        <v>111</v>
      </c>
      <c r="F8916" t="s">
        <v>112</v>
      </c>
      <c r="G8916" t="str">
        <f t="shared" si="365"/>
        <v>029PINK FLOYD</v>
      </c>
      <c r="H8916" s="5">
        <f>VLOOKUP(G8916,[7]Astroflores!$G$2:$H$110,2,FALSE)</f>
        <v>4350</v>
      </c>
      <c r="I8916" s="6">
        <v>3071.95</v>
      </c>
      <c r="J8916" s="5">
        <v>22400</v>
      </c>
      <c r="K8916" s="6">
        <f t="shared" si="366"/>
        <v>1.4160386725044354</v>
      </c>
    </row>
    <row r="8917" spans="1:11" ht="13.5" hidden="1" customHeight="1">
      <c r="A8917" s="4">
        <v>2026</v>
      </c>
      <c r="B8917">
        <v>30</v>
      </c>
      <c r="C8917" t="s">
        <v>54</v>
      </c>
      <c r="D8917" t="s">
        <v>11</v>
      </c>
      <c r="E8917" t="s">
        <v>47</v>
      </c>
      <c r="F8917" t="s">
        <v>57</v>
      </c>
      <c r="G8917" t="str">
        <f t="shared" si="365"/>
        <v>030EXPLORER</v>
      </c>
      <c r="H8917" s="5">
        <f>VLOOKUP(G8917,[7]Astroflores!$G$2:$H$110,2,FALSE)</f>
        <v>3025</v>
      </c>
      <c r="I8917" s="6">
        <v>1645.6875</v>
      </c>
      <c r="J8917" s="5">
        <v>12000</v>
      </c>
      <c r="K8917" s="6">
        <f t="shared" si="366"/>
        <v>1.8381375564923474</v>
      </c>
    </row>
    <row r="8918" spans="1:11" hidden="1">
      <c r="A8918" s="4">
        <v>2026</v>
      </c>
      <c r="B8918">
        <v>31</v>
      </c>
      <c r="C8918" t="s">
        <v>10</v>
      </c>
      <c r="D8918" t="s">
        <v>11</v>
      </c>
      <c r="E8918" t="s">
        <v>12</v>
      </c>
      <c r="F8918" t="s">
        <v>13</v>
      </c>
      <c r="G8918" t="str">
        <f>+E8918&amp;F8918</f>
        <v>002SOMERSET</v>
      </c>
      <c r="H8918" s="5">
        <f>VLOOKUP(G8918,[8]Astroflores!$G$2:$H$110,2,FALSE)</f>
        <v>7460</v>
      </c>
      <c r="I8918" s="6">
        <v>4121.4642855494085</v>
      </c>
      <c r="J8918" s="5">
        <v>31200</v>
      </c>
      <c r="K8918" s="6">
        <f t="shared" ref="K8918:K8952" si="367">+H8918/I8918</f>
        <v>1.8100363082499817</v>
      </c>
    </row>
    <row r="8919" spans="1:11" hidden="1">
      <c r="A8919" s="4">
        <v>2026</v>
      </c>
      <c r="B8919">
        <v>31</v>
      </c>
      <c r="C8919" t="s">
        <v>10</v>
      </c>
      <c r="D8919" t="s">
        <v>11</v>
      </c>
      <c r="E8919" t="s">
        <v>14</v>
      </c>
      <c r="F8919" t="s">
        <v>15</v>
      </c>
      <c r="G8919" t="str">
        <f t="shared" ref="G8919:G8982" si="368">+E8919&amp;F8919</f>
        <v>004BELLINA</v>
      </c>
      <c r="H8919" s="5">
        <f>VLOOKUP(G8919,[8]Astroflores!$G$2:$H$110,2,FALSE)</f>
        <v>2040</v>
      </c>
      <c r="I8919" s="6">
        <v>1056.7857142434418</v>
      </c>
      <c r="J8919" s="5">
        <v>8000</v>
      </c>
      <c r="K8919" s="6">
        <f t="shared" si="367"/>
        <v>1.9303818858494375</v>
      </c>
    </row>
    <row r="8920" spans="1:11" hidden="1">
      <c r="A8920" s="4">
        <v>2026</v>
      </c>
      <c r="B8920">
        <v>31</v>
      </c>
      <c r="C8920" t="s">
        <v>10</v>
      </c>
      <c r="D8920" t="s">
        <v>11</v>
      </c>
      <c r="E8920" t="s">
        <v>16</v>
      </c>
      <c r="F8920" t="s">
        <v>17</v>
      </c>
      <c r="G8920" t="str">
        <f t="shared" si="368"/>
        <v>005ELBA</v>
      </c>
      <c r="H8920" s="5">
        <f>VLOOKUP(G8920,[8]Astroflores!$G$2:$H$110,2,FALSE)</f>
        <v>6630</v>
      </c>
      <c r="I8920" s="6">
        <v>2641.9642856076484</v>
      </c>
      <c r="J8920" s="5">
        <v>19996</v>
      </c>
      <c r="K8920" s="6">
        <f t="shared" si="367"/>
        <v>2.5094964516051768</v>
      </c>
    </row>
    <row r="8921" spans="1:11" hidden="1">
      <c r="A8921" s="4">
        <v>2026</v>
      </c>
      <c r="B8921">
        <v>31</v>
      </c>
      <c r="C8921" t="s">
        <v>10</v>
      </c>
      <c r="D8921" t="s">
        <v>11</v>
      </c>
      <c r="E8921" t="s">
        <v>16</v>
      </c>
      <c r="F8921" t="s">
        <v>18</v>
      </c>
      <c r="G8921" t="str">
        <f t="shared" si="368"/>
        <v>005HOT BUBBLES</v>
      </c>
      <c r="H8921" s="5">
        <f>VLOOKUP(G8921,[8]Astroflores!$G$2:$H$110,2,FALSE)</f>
        <v>1300</v>
      </c>
      <c r="I8921" s="6">
        <v>528.39285712153003</v>
      </c>
      <c r="J8921" s="5">
        <v>4000</v>
      </c>
      <c r="K8921" s="6">
        <f t="shared" si="367"/>
        <v>2.4602906388286034</v>
      </c>
    </row>
    <row r="8922" spans="1:11" hidden="1">
      <c r="A8922" s="4">
        <v>2026</v>
      </c>
      <c r="B8922">
        <v>31</v>
      </c>
      <c r="C8922" t="s">
        <v>10</v>
      </c>
      <c r="D8922" t="s">
        <v>11</v>
      </c>
      <c r="E8922" t="s">
        <v>16</v>
      </c>
      <c r="F8922" t="s">
        <v>19</v>
      </c>
      <c r="G8922" t="str">
        <f t="shared" si="368"/>
        <v>005SUSPIRO</v>
      </c>
      <c r="H8922" s="5">
        <f>VLOOKUP(G8922,[8]Astroflores!$G$2:$H$110,2,FALSE)</f>
        <v>5100</v>
      </c>
      <c r="I8922" s="6">
        <v>1902.2142856375078</v>
      </c>
      <c r="J8922" s="5">
        <v>14400</v>
      </c>
      <c r="K8922" s="6">
        <f t="shared" si="367"/>
        <v>2.681085952569632</v>
      </c>
    </row>
    <row r="8923" spans="1:11" hidden="1">
      <c r="A8923" s="4">
        <v>2026</v>
      </c>
      <c r="B8923">
        <v>31</v>
      </c>
      <c r="C8923" t="s">
        <v>10</v>
      </c>
      <c r="D8923" t="s">
        <v>11</v>
      </c>
      <c r="E8923" t="s">
        <v>20</v>
      </c>
      <c r="F8923" t="s">
        <v>21</v>
      </c>
      <c r="G8923" t="str">
        <f t="shared" si="368"/>
        <v>007SNOW BUBBLES</v>
      </c>
      <c r="H8923" s="5">
        <f>VLOOKUP(G8923,[8]Astroflores!$G$2:$H$110,2,FALSE)</f>
        <v>1440</v>
      </c>
      <c r="I8923" s="6">
        <v>634.05652706821195</v>
      </c>
      <c r="J8923" s="5">
        <v>4800</v>
      </c>
      <c r="K8923" s="6">
        <f t="shared" si="367"/>
        <v>2.2710908862627077</v>
      </c>
    </row>
    <row r="8924" spans="1:11" hidden="1">
      <c r="A8924" s="4">
        <v>2026</v>
      </c>
      <c r="B8924">
        <v>31</v>
      </c>
      <c r="C8924" t="s">
        <v>10</v>
      </c>
      <c r="D8924" t="s">
        <v>11</v>
      </c>
      <c r="E8924" t="s">
        <v>22</v>
      </c>
      <c r="F8924" t="s">
        <v>18</v>
      </c>
      <c r="G8924" t="str">
        <f t="shared" si="368"/>
        <v>009HOT BUBBLES</v>
      </c>
      <c r="H8924" s="5">
        <f>VLOOKUP(G8924,[8]Astroflores!$G$2:$H$110,2,FALSE)</f>
        <v>8220</v>
      </c>
      <c r="I8924" s="6">
        <v>4487.9999999102474</v>
      </c>
      <c r="J8924" s="5">
        <v>31740</v>
      </c>
      <c r="K8924" s="6">
        <f t="shared" si="367"/>
        <v>1.8315508021756655</v>
      </c>
    </row>
    <row r="8925" spans="1:11" hidden="1">
      <c r="A8925" s="4">
        <v>2026</v>
      </c>
      <c r="B8925">
        <v>31</v>
      </c>
      <c r="C8925" t="s">
        <v>10</v>
      </c>
      <c r="D8925" t="s">
        <v>11</v>
      </c>
      <c r="E8925" t="s">
        <v>23</v>
      </c>
      <c r="F8925" t="s">
        <v>24</v>
      </c>
      <c r="G8925" t="str">
        <f t="shared" si="368"/>
        <v>014FRUITY BUBBLES</v>
      </c>
      <c r="H8925" s="5">
        <f>VLOOKUP(G8925,[8]Astroflores!$G$2:$H$110,2,FALSE)</f>
        <v>4325</v>
      </c>
      <c r="I8925" s="6">
        <v>1702.8</v>
      </c>
      <c r="J8925" s="5">
        <v>12900</v>
      </c>
      <c r="K8925" s="6">
        <f t="shared" si="367"/>
        <v>2.5399342259807378</v>
      </c>
    </row>
    <row r="8926" spans="1:11" hidden="1">
      <c r="A8926" s="4">
        <v>2026</v>
      </c>
      <c r="B8926">
        <v>31</v>
      </c>
      <c r="C8926" t="s">
        <v>10</v>
      </c>
      <c r="D8926" t="s">
        <v>11</v>
      </c>
      <c r="E8926" t="s">
        <v>25</v>
      </c>
      <c r="F8926" t="s">
        <v>26</v>
      </c>
      <c r="G8926" t="str">
        <f t="shared" si="368"/>
        <v>015FELLINI</v>
      </c>
      <c r="H8926" s="5">
        <f>VLOOKUP(G8926,[8]Astroflores!$G$2:$H$110,2,FALSE)</f>
        <v>6420</v>
      </c>
      <c r="I8926" s="6">
        <v>3009.6</v>
      </c>
      <c r="J8926" s="5">
        <v>22800</v>
      </c>
      <c r="K8926" s="6">
        <f t="shared" si="367"/>
        <v>2.1331738437001597</v>
      </c>
    </row>
    <row r="8927" spans="1:11" hidden="1">
      <c r="A8927" s="4">
        <v>2026</v>
      </c>
      <c r="B8927">
        <v>31</v>
      </c>
      <c r="C8927" t="s">
        <v>10</v>
      </c>
      <c r="D8927" t="s">
        <v>11</v>
      </c>
      <c r="E8927" t="s">
        <v>27</v>
      </c>
      <c r="F8927" t="s">
        <v>28</v>
      </c>
      <c r="G8927" t="str">
        <f t="shared" si="368"/>
        <v>016GOOD PEACH</v>
      </c>
      <c r="H8927" s="5">
        <f>VLOOKUP(G8927,[8]Astroflores!$G$2:$H$110,2,FALSE)</f>
        <v>3360</v>
      </c>
      <c r="I8927" s="6">
        <v>1386</v>
      </c>
      <c r="J8927" s="5">
        <v>10500</v>
      </c>
      <c r="K8927" s="6">
        <f t="shared" si="367"/>
        <v>2.4242424242424243</v>
      </c>
    </row>
    <row r="8928" spans="1:11" hidden="1">
      <c r="A8928" s="4">
        <v>2026</v>
      </c>
      <c r="B8928">
        <v>31</v>
      </c>
      <c r="C8928" t="s">
        <v>10</v>
      </c>
      <c r="D8928" t="s">
        <v>11</v>
      </c>
      <c r="E8928" t="s">
        <v>27</v>
      </c>
      <c r="F8928" t="s">
        <v>29</v>
      </c>
      <c r="G8928" t="str">
        <f t="shared" si="368"/>
        <v>016GOOD YELLOW</v>
      </c>
      <c r="H8928" s="5">
        <f>VLOOKUP(G8928,[8]Astroflores!$G$2:$H$110,2,FALSE)</f>
        <v>4920</v>
      </c>
      <c r="I8928" s="6">
        <v>1386</v>
      </c>
      <c r="J8928" s="5">
        <v>10500</v>
      </c>
      <c r="K8928" s="6">
        <f t="shared" si="367"/>
        <v>3.5497835497835499</v>
      </c>
    </row>
    <row r="8929" spans="1:11" hidden="1">
      <c r="A8929" s="4">
        <v>2026</v>
      </c>
      <c r="B8929">
        <v>31</v>
      </c>
      <c r="C8929" t="s">
        <v>10</v>
      </c>
      <c r="D8929" t="s">
        <v>11</v>
      </c>
      <c r="E8929" t="s">
        <v>30</v>
      </c>
      <c r="F8929" t="s">
        <v>31</v>
      </c>
      <c r="G8929" t="str">
        <f t="shared" si="368"/>
        <v>017ORANGE STAR</v>
      </c>
      <c r="H8929" s="5">
        <f>VLOOKUP(G8929,[8]Astroflores!$G$2:$H$110,2,FALSE)</f>
        <v>1300</v>
      </c>
      <c r="I8929" s="6">
        <v>1029.5999999999999</v>
      </c>
      <c r="J8929" s="5">
        <v>7800</v>
      </c>
      <c r="K8929" s="6">
        <f t="shared" si="367"/>
        <v>1.2626262626262628</v>
      </c>
    </row>
    <row r="8930" spans="1:11" hidden="1">
      <c r="A8930" s="4">
        <v>2026</v>
      </c>
      <c r="B8930">
        <v>31</v>
      </c>
      <c r="C8930" t="s">
        <v>10</v>
      </c>
      <c r="D8930" t="s">
        <v>11</v>
      </c>
      <c r="E8930" t="s">
        <v>32</v>
      </c>
      <c r="F8930" t="s">
        <v>33</v>
      </c>
      <c r="G8930" t="str">
        <f t="shared" si="368"/>
        <v>018COSMO</v>
      </c>
      <c r="H8930" s="5">
        <f>VLOOKUP(G8930,[8]Astroflores!$G$2:$H$110,2,FALSE)</f>
        <v>3975</v>
      </c>
      <c r="I8930" s="6">
        <v>2653.2</v>
      </c>
      <c r="J8930" s="5">
        <v>20100</v>
      </c>
      <c r="K8930" s="6">
        <f t="shared" si="367"/>
        <v>1.4981908638625057</v>
      </c>
    </row>
    <row r="8931" spans="1:11" hidden="1">
      <c r="A8931" s="4">
        <v>2026</v>
      </c>
      <c r="B8931">
        <v>31</v>
      </c>
      <c r="C8931" t="s">
        <v>10</v>
      </c>
      <c r="D8931" t="s">
        <v>11</v>
      </c>
      <c r="E8931" t="s">
        <v>32</v>
      </c>
      <c r="F8931" t="s">
        <v>34</v>
      </c>
      <c r="G8931" t="str">
        <f t="shared" si="368"/>
        <v>018RUBICON</v>
      </c>
      <c r="H8931" s="5">
        <f>VLOOKUP(G8931,[8]Astroflores!$G$2:$H$110,2,FALSE)</f>
        <v>3210</v>
      </c>
      <c r="I8931" s="6">
        <v>1768.8</v>
      </c>
      <c r="J8931" s="5">
        <v>13400</v>
      </c>
      <c r="K8931" s="6">
        <f t="shared" si="367"/>
        <v>1.8147896879240164</v>
      </c>
    </row>
    <row r="8932" spans="1:11" hidden="1">
      <c r="A8932" s="4">
        <v>2026</v>
      </c>
      <c r="B8932">
        <v>31</v>
      </c>
      <c r="C8932" t="s">
        <v>10</v>
      </c>
      <c r="D8932" t="s">
        <v>11</v>
      </c>
      <c r="E8932" t="s">
        <v>35</v>
      </c>
      <c r="F8932" t="s">
        <v>15</v>
      </c>
      <c r="G8932" t="str">
        <f t="shared" si="368"/>
        <v>019BELLINA</v>
      </c>
      <c r="H8932" s="5">
        <f>VLOOKUP(G8932,[8]Astroflores!$G$2:$H$110,2,FALSE)</f>
        <v>2250</v>
      </c>
      <c r="I8932" s="6">
        <v>1029.5999999999999</v>
      </c>
      <c r="J8932" s="5">
        <v>7800</v>
      </c>
      <c r="K8932" s="6">
        <f t="shared" si="367"/>
        <v>2.1853146853146854</v>
      </c>
    </row>
    <row r="8933" spans="1:11" hidden="1">
      <c r="A8933" s="4">
        <v>2026</v>
      </c>
      <c r="B8933">
        <v>31</v>
      </c>
      <c r="C8933" t="s">
        <v>10</v>
      </c>
      <c r="D8933" t="s">
        <v>11</v>
      </c>
      <c r="E8933" t="s">
        <v>36</v>
      </c>
      <c r="F8933" t="s">
        <v>37</v>
      </c>
      <c r="G8933" t="str">
        <f t="shared" si="368"/>
        <v>020SUMMER DANCE</v>
      </c>
      <c r="H8933" s="5">
        <f>VLOOKUP(G8933,[8]Astroflores!$G$2:$H$110,2,FALSE)</f>
        <v>3850</v>
      </c>
      <c r="I8933" s="6">
        <v>1346.4</v>
      </c>
      <c r="J8933" s="5">
        <v>10200</v>
      </c>
      <c r="K8933" s="6">
        <f t="shared" si="367"/>
        <v>2.8594771241830061</v>
      </c>
    </row>
    <row r="8934" spans="1:11" hidden="1">
      <c r="A8934" s="4">
        <v>2026</v>
      </c>
      <c r="B8934">
        <v>31</v>
      </c>
      <c r="C8934" t="s">
        <v>10</v>
      </c>
      <c r="D8934" t="s">
        <v>11</v>
      </c>
      <c r="E8934" t="s">
        <v>38</v>
      </c>
      <c r="F8934" t="s">
        <v>39</v>
      </c>
      <c r="G8934" t="str">
        <f t="shared" si="368"/>
        <v>021ELEGANT ROSEVER</v>
      </c>
      <c r="H8934" s="5">
        <f>VLOOKUP(G8934,[8]Astroflores!$G$2:$H$110,2,FALSE)</f>
        <v>600</v>
      </c>
      <c r="I8934" s="6">
        <v>440.18999062500001</v>
      </c>
      <c r="J8934" s="5">
        <v>3200</v>
      </c>
      <c r="K8934" s="6">
        <f t="shared" si="367"/>
        <v>1.3630478038541838</v>
      </c>
    </row>
    <row r="8935" spans="1:11" hidden="1">
      <c r="A8935" s="4">
        <v>2026</v>
      </c>
      <c r="B8935">
        <v>31</v>
      </c>
      <c r="C8935" t="s">
        <v>10</v>
      </c>
      <c r="D8935" t="s">
        <v>11</v>
      </c>
      <c r="E8935" t="s">
        <v>38</v>
      </c>
      <c r="F8935" t="s">
        <v>40</v>
      </c>
      <c r="G8935" t="str">
        <f t="shared" si="368"/>
        <v>021FLAME CLUB</v>
      </c>
      <c r="H8935" s="5">
        <f>VLOOKUP(G8935,[8]Astroflores!$G$2:$H$110,2,FALSE)</f>
        <v>1475</v>
      </c>
      <c r="I8935" s="6">
        <v>880.38</v>
      </c>
      <c r="J8935" s="5">
        <v>6400</v>
      </c>
      <c r="K8935" s="6">
        <f t="shared" si="367"/>
        <v>1.6754128898884573</v>
      </c>
    </row>
    <row r="8936" spans="1:11" hidden="1">
      <c r="A8936" s="4">
        <v>2026</v>
      </c>
      <c r="B8936">
        <v>31</v>
      </c>
      <c r="C8936" t="s">
        <v>10</v>
      </c>
      <c r="D8936" t="s">
        <v>11</v>
      </c>
      <c r="E8936" t="s">
        <v>38</v>
      </c>
      <c r="F8936" t="s">
        <v>41</v>
      </c>
      <c r="G8936" t="str">
        <f t="shared" si="368"/>
        <v>021KELLY</v>
      </c>
      <c r="H8936" s="5">
        <f>VLOOKUP(G8936,[8]Astroflores!$G$2:$H$110,2,FALSE)</f>
        <v>400</v>
      </c>
      <c r="I8936" s="6">
        <v>330.14249999999998</v>
      </c>
      <c r="J8936" s="5">
        <v>2400</v>
      </c>
      <c r="K8936" s="6">
        <f t="shared" si="367"/>
        <v>1.211598022066229</v>
      </c>
    </row>
    <row r="8937" spans="1:11" hidden="1">
      <c r="A8937" s="4">
        <v>2026</v>
      </c>
      <c r="B8937">
        <v>31</v>
      </c>
      <c r="C8937" t="s">
        <v>10</v>
      </c>
      <c r="D8937" t="s">
        <v>11</v>
      </c>
      <c r="E8937" t="s">
        <v>38</v>
      </c>
      <c r="F8937" t="s">
        <v>42</v>
      </c>
      <c r="G8937" t="str">
        <f t="shared" si="368"/>
        <v>021LEILA</v>
      </c>
      <c r="H8937" s="5">
        <f>VLOOKUP(G8937,[8]Astroflores!$G$2:$H$110,2,FALSE)</f>
        <v>875</v>
      </c>
      <c r="I8937" s="6">
        <v>1650.7125000000001</v>
      </c>
      <c r="J8937" s="5">
        <v>12000</v>
      </c>
      <c r="K8937" s="6">
        <f t="shared" si="367"/>
        <v>0.53007413465397513</v>
      </c>
    </row>
    <row r="8938" spans="1:11" hidden="1">
      <c r="A8938" s="4">
        <v>2026</v>
      </c>
      <c r="B8938">
        <v>31</v>
      </c>
      <c r="C8938" t="s">
        <v>10</v>
      </c>
      <c r="D8938" t="s">
        <v>11</v>
      </c>
      <c r="E8938" t="s">
        <v>38</v>
      </c>
      <c r="F8938" t="s">
        <v>21</v>
      </c>
      <c r="G8938" t="str">
        <f t="shared" si="368"/>
        <v>021SNOW BUBBLES</v>
      </c>
      <c r="H8938" s="5">
        <f>VLOOKUP(G8938,[8]Astroflores!$G$2:$H$110,2,FALSE)</f>
        <v>3060</v>
      </c>
      <c r="I8938" s="6">
        <v>1287.0000000000018</v>
      </c>
      <c r="J8938" s="5">
        <v>9400</v>
      </c>
      <c r="K8938" s="6">
        <f t="shared" si="367"/>
        <v>2.3776223776223744</v>
      </c>
    </row>
    <row r="8939" spans="1:11" hidden="1">
      <c r="A8939" s="4">
        <v>2026</v>
      </c>
      <c r="B8939">
        <v>31</v>
      </c>
      <c r="C8939" t="s">
        <v>10</v>
      </c>
      <c r="D8939" t="s">
        <v>11</v>
      </c>
      <c r="E8939" t="s">
        <v>43</v>
      </c>
      <c r="F8939" t="s">
        <v>24</v>
      </c>
      <c r="G8939" t="str">
        <f t="shared" si="368"/>
        <v>022FRUITY BUBBLES</v>
      </c>
      <c r="H8939" s="5">
        <f>VLOOKUP(G8939,[8]Astroflores!$G$2:$H$110,2,FALSE)</f>
        <v>6475</v>
      </c>
      <c r="I8939" s="6">
        <v>2641.14</v>
      </c>
      <c r="J8939" s="5">
        <v>19200</v>
      </c>
      <c r="K8939" s="6">
        <f t="shared" si="367"/>
        <v>2.4515928727746354</v>
      </c>
    </row>
    <row r="8940" spans="1:11" hidden="1">
      <c r="A8940" s="4">
        <v>2026</v>
      </c>
      <c r="B8940">
        <v>31</v>
      </c>
      <c r="C8940" t="s">
        <v>10</v>
      </c>
      <c r="D8940" t="s">
        <v>11</v>
      </c>
      <c r="E8940" t="s">
        <v>43</v>
      </c>
      <c r="F8940" t="s">
        <v>28</v>
      </c>
      <c r="G8940" t="str">
        <f t="shared" si="368"/>
        <v>022GOOD PEACH</v>
      </c>
      <c r="H8940" s="5">
        <f>VLOOKUP(G8940,[8]Astroflores!$G$2:$H$110,2,FALSE)</f>
        <v>2460</v>
      </c>
      <c r="I8940" s="6">
        <v>880.38</v>
      </c>
      <c r="J8940" s="5">
        <v>6400</v>
      </c>
      <c r="K8940" s="6">
        <f t="shared" si="367"/>
        <v>2.7942479383902405</v>
      </c>
    </row>
    <row r="8941" spans="1:11" hidden="1">
      <c r="A8941" s="4">
        <v>2026</v>
      </c>
      <c r="B8941">
        <v>31</v>
      </c>
      <c r="C8941" t="s">
        <v>10</v>
      </c>
      <c r="D8941" t="s">
        <v>11</v>
      </c>
      <c r="E8941" t="s">
        <v>43</v>
      </c>
      <c r="F8941" t="s">
        <v>44</v>
      </c>
      <c r="G8941" t="str">
        <f t="shared" si="368"/>
        <v>022MIRABEL</v>
      </c>
      <c r="H8941" s="5">
        <f>VLOOKUP(G8941,[8]Astroflores!$G$2:$H$110,2,FALSE)</f>
        <v>2240</v>
      </c>
      <c r="I8941" s="6">
        <v>880.38</v>
      </c>
      <c r="J8941" s="5">
        <v>6400</v>
      </c>
      <c r="K8941" s="6">
        <f t="shared" si="367"/>
        <v>2.544355846339081</v>
      </c>
    </row>
    <row r="8942" spans="1:11" hidden="1">
      <c r="A8942" s="4">
        <v>2026</v>
      </c>
      <c r="B8942">
        <v>31</v>
      </c>
      <c r="C8942" t="s">
        <v>10</v>
      </c>
      <c r="D8942" t="s">
        <v>11</v>
      </c>
      <c r="E8942" t="s">
        <v>45</v>
      </c>
      <c r="F8942" t="s">
        <v>46</v>
      </c>
      <c r="G8942" t="str">
        <f t="shared" si="368"/>
        <v>026PURPLE BUBBLY</v>
      </c>
      <c r="H8942" s="5" t="e">
        <f>VLOOKUP(G8942,[8]Astroflores!$G$2:$H$110,2,FALSE)</f>
        <v>#N/A</v>
      </c>
      <c r="I8942" s="6">
        <v>1755.4</v>
      </c>
      <c r="J8942" s="5">
        <v>12800</v>
      </c>
      <c r="K8942" s="6" t="e">
        <f t="shared" si="367"/>
        <v>#N/A</v>
      </c>
    </row>
    <row r="8943" spans="1:11" hidden="1">
      <c r="A8943" s="4">
        <v>2026</v>
      </c>
      <c r="B8943">
        <v>31</v>
      </c>
      <c r="C8943" t="s">
        <v>10</v>
      </c>
      <c r="D8943" t="s">
        <v>11</v>
      </c>
      <c r="E8943" t="s">
        <v>47</v>
      </c>
      <c r="F8943" t="s">
        <v>44</v>
      </c>
      <c r="G8943" t="str">
        <f t="shared" si="368"/>
        <v>030MIRABEL</v>
      </c>
      <c r="H8943" s="5">
        <f>VLOOKUP(G8943,[8]Astroflores!$G$2:$H$110,2,FALSE)</f>
        <v>7660</v>
      </c>
      <c r="I8943" s="6">
        <v>2413.6749943750001</v>
      </c>
      <c r="J8943" s="5">
        <v>17600</v>
      </c>
      <c r="K8943" s="6">
        <f t="shared" si="367"/>
        <v>3.1735838577486235</v>
      </c>
    </row>
    <row r="8944" spans="1:11" hidden="1">
      <c r="A8944" s="4">
        <v>2026</v>
      </c>
      <c r="B8944">
        <v>31</v>
      </c>
      <c r="C8944" t="s">
        <v>10</v>
      </c>
      <c r="D8944" t="s">
        <v>11</v>
      </c>
      <c r="E8944" t="s">
        <v>47</v>
      </c>
      <c r="F8944" t="s">
        <v>13</v>
      </c>
      <c r="G8944" t="str">
        <f t="shared" si="368"/>
        <v>030SOMERSET</v>
      </c>
      <c r="H8944" s="5">
        <f>VLOOKUP(G8944,[8]Astroflores!$G$2:$H$110,2,FALSE)</f>
        <v>3620</v>
      </c>
      <c r="I8944" s="6">
        <v>1645.6875</v>
      </c>
      <c r="J8944" s="5">
        <v>12000</v>
      </c>
      <c r="K8944" s="6">
        <f t="shared" si="367"/>
        <v>2.1996885800007595</v>
      </c>
    </row>
    <row r="8945" spans="1:11" hidden="1">
      <c r="A8945" s="4">
        <v>2026</v>
      </c>
      <c r="B8945">
        <v>31</v>
      </c>
      <c r="C8945" t="s">
        <v>10</v>
      </c>
      <c r="D8945" t="s">
        <v>11</v>
      </c>
      <c r="E8945" t="s">
        <v>48</v>
      </c>
      <c r="F8945" t="s">
        <v>49</v>
      </c>
      <c r="G8945" t="str">
        <f t="shared" si="368"/>
        <v>03182989</v>
      </c>
      <c r="H8945" s="5">
        <f>VLOOKUP(G8945,[8]Astroflores!$G$2:$H$110,2,FALSE)</f>
        <v>820</v>
      </c>
      <c r="I8945" s="6">
        <v>726.32013058333712</v>
      </c>
      <c r="J8945" s="5">
        <v>5712</v>
      </c>
      <c r="K8945" s="6">
        <f t="shared" si="367"/>
        <v>1.1289787594644043</v>
      </c>
    </row>
    <row r="8946" spans="1:11" hidden="1">
      <c r="A8946" s="4">
        <v>2026</v>
      </c>
      <c r="B8946">
        <v>31</v>
      </c>
      <c r="C8946" t="s">
        <v>10</v>
      </c>
      <c r="D8946" t="s">
        <v>11</v>
      </c>
      <c r="E8946" t="s">
        <v>48</v>
      </c>
      <c r="F8946" t="s">
        <v>34</v>
      </c>
      <c r="G8946" t="str">
        <f t="shared" si="368"/>
        <v>031RUBICON</v>
      </c>
      <c r="H8946" s="5">
        <f>VLOOKUP(G8946,[8]Astroflores!$G$2:$H$110,2,FALSE)</f>
        <v>2310</v>
      </c>
      <c r="I8946" s="6">
        <v>924.39958333667107</v>
      </c>
      <c r="J8946" s="5">
        <v>6720</v>
      </c>
      <c r="K8946" s="6">
        <f t="shared" si="367"/>
        <v>2.4989193435829211</v>
      </c>
    </row>
    <row r="8947" spans="1:11" hidden="1">
      <c r="A8947" s="4">
        <v>2026</v>
      </c>
      <c r="B8947">
        <v>31</v>
      </c>
      <c r="C8947" t="s">
        <v>10</v>
      </c>
      <c r="D8947" t="s">
        <v>11</v>
      </c>
      <c r="E8947" t="s">
        <v>48</v>
      </c>
      <c r="F8947" t="s">
        <v>13</v>
      </c>
      <c r="G8947" t="str">
        <f t="shared" si="368"/>
        <v>031SOMERSET</v>
      </c>
      <c r="H8947" s="5">
        <f>VLOOKUP(G8947,[8]Astroflores!$G$2:$H$110,2,FALSE)</f>
        <v>1040</v>
      </c>
      <c r="I8947" s="6">
        <v>1122.485208333339</v>
      </c>
      <c r="J8947" s="5">
        <v>8160</v>
      </c>
      <c r="K8947" s="6">
        <f t="shared" si="367"/>
        <v>0.92651554985226703</v>
      </c>
    </row>
    <row r="8948" spans="1:11" hidden="1">
      <c r="A8948" s="4">
        <v>2026</v>
      </c>
      <c r="B8948">
        <v>31</v>
      </c>
      <c r="C8948" t="s">
        <v>10</v>
      </c>
      <c r="D8948" t="s">
        <v>11</v>
      </c>
      <c r="E8948" t="s">
        <v>48</v>
      </c>
      <c r="F8948" t="s">
        <v>50</v>
      </c>
      <c r="G8948" t="str">
        <f t="shared" si="368"/>
        <v>031VELVET BLOSSOMS</v>
      </c>
      <c r="H8948" s="5">
        <f>VLOOKUP(G8948,[8]Astroflores!$G$2:$H$110,2,FALSE)</f>
        <v>920</v>
      </c>
      <c r="I8948" s="6">
        <v>396.17125000000198</v>
      </c>
      <c r="J8948" s="5">
        <v>2880</v>
      </c>
      <c r="K8948" s="6">
        <f t="shared" si="367"/>
        <v>2.3222280768733103</v>
      </c>
    </row>
    <row r="8949" spans="1:11" hidden="1">
      <c r="A8949" s="4">
        <v>2026</v>
      </c>
      <c r="B8949">
        <v>31</v>
      </c>
      <c r="C8949" t="s">
        <v>10</v>
      </c>
      <c r="D8949" t="s">
        <v>11</v>
      </c>
      <c r="E8949" t="s">
        <v>51</v>
      </c>
      <c r="F8949" t="s">
        <v>17</v>
      </c>
      <c r="G8949" t="str">
        <f t="shared" si="368"/>
        <v>032ELBA</v>
      </c>
      <c r="H8949" s="5">
        <f>VLOOKUP(G8949,[8]Astroflores!$G$2:$H$110,2,FALSE)</f>
        <v>2670</v>
      </c>
      <c r="I8949" s="6">
        <v>1535.9749999999999</v>
      </c>
      <c r="J8949" s="5">
        <v>11200</v>
      </c>
      <c r="K8949" s="6">
        <f t="shared" si="367"/>
        <v>1.7383095427985482</v>
      </c>
    </row>
    <row r="8950" spans="1:11" hidden="1">
      <c r="A8950" s="4">
        <v>2026</v>
      </c>
      <c r="B8950">
        <v>31</v>
      </c>
      <c r="C8950" t="s">
        <v>10</v>
      </c>
      <c r="D8950" t="s">
        <v>11</v>
      </c>
      <c r="E8950" t="s">
        <v>51</v>
      </c>
      <c r="F8950" t="s">
        <v>44</v>
      </c>
      <c r="G8950" t="str">
        <f t="shared" si="368"/>
        <v>032MIRABEL</v>
      </c>
      <c r="H8950" s="5">
        <f>VLOOKUP(G8950,[8]Astroflores!$G$2:$H$110,2,FALSE)</f>
        <v>2480</v>
      </c>
      <c r="I8950" s="6">
        <v>1535.9749999999999</v>
      </c>
      <c r="J8950" s="5">
        <v>11200</v>
      </c>
      <c r="K8950" s="6">
        <f t="shared" si="367"/>
        <v>1.6146096127866665</v>
      </c>
    </row>
    <row r="8951" spans="1:11" hidden="1">
      <c r="A8951" s="4">
        <v>2026</v>
      </c>
      <c r="B8951">
        <v>31</v>
      </c>
      <c r="C8951" t="s">
        <v>10</v>
      </c>
      <c r="D8951" t="s">
        <v>11</v>
      </c>
      <c r="E8951" t="s">
        <v>52</v>
      </c>
      <c r="F8951" t="s">
        <v>53</v>
      </c>
      <c r="G8951" t="str">
        <f t="shared" si="368"/>
        <v>033CREAMY FOLIES</v>
      </c>
      <c r="H8951" s="5">
        <f>VLOOKUP(G8951,[8]Astroflores!$G$2:$H$110,2,FALSE)</f>
        <v>1110</v>
      </c>
      <c r="I8951" s="6">
        <v>594.25687500000299</v>
      </c>
      <c r="J8951" s="5">
        <v>4320</v>
      </c>
      <c r="K8951" s="6">
        <f t="shared" si="367"/>
        <v>1.8678791053111408</v>
      </c>
    </row>
    <row r="8952" spans="1:11" hidden="1">
      <c r="A8952" s="4">
        <v>2026</v>
      </c>
      <c r="B8952">
        <v>31</v>
      </c>
      <c r="C8952" t="s">
        <v>10</v>
      </c>
      <c r="D8952" t="s">
        <v>11</v>
      </c>
      <c r="E8952" t="s">
        <v>52</v>
      </c>
      <c r="F8952" t="s">
        <v>18</v>
      </c>
      <c r="G8952" t="str">
        <f t="shared" si="368"/>
        <v>033HOT BUBBLES</v>
      </c>
      <c r="H8952" s="5">
        <f>VLOOKUP(G8952,[8]Astroflores!$G$2:$H$110,2,FALSE)</f>
        <v>5640</v>
      </c>
      <c r="I8952" s="6">
        <v>2575.1131250013459</v>
      </c>
      <c r="J8952" s="5">
        <v>18720</v>
      </c>
      <c r="K8952" s="6">
        <f t="shared" si="367"/>
        <v>2.1901950424011187</v>
      </c>
    </row>
    <row r="8953" spans="1:11" hidden="1">
      <c r="A8953" s="4">
        <v>2026</v>
      </c>
      <c r="B8953">
        <v>31</v>
      </c>
      <c r="C8953" t="s">
        <v>54</v>
      </c>
      <c r="D8953" t="s">
        <v>11</v>
      </c>
      <c r="E8953" t="s">
        <v>55</v>
      </c>
      <c r="F8953" t="s">
        <v>56</v>
      </c>
      <c r="G8953" t="str">
        <f t="shared" si="368"/>
        <v>001BELIEVE IN PINK</v>
      </c>
      <c r="H8953" s="5">
        <f>VLOOKUP(G8953,[8]Astroflores!$G$2:$H$110,2,FALSE)</f>
        <v>1110</v>
      </c>
      <c r="I8953" s="6">
        <v>528.37931032368999</v>
      </c>
      <c r="J8953" s="5">
        <v>4000</v>
      </c>
      <c r="K8953" s="6">
        <f t="shared" ref="K8953:K8958" si="369">IFERROR(H8953/I8953,"")</f>
        <v>2.1007635581340303</v>
      </c>
    </row>
    <row r="8954" spans="1:11" hidden="1">
      <c r="A8954" s="4">
        <v>2026</v>
      </c>
      <c r="B8954">
        <v>31</v>
      </c>
      <c r="C8954" t="s">
        <v>54</v>
      </c>
      <c r="D8954" t="s">
        <v>11</v>
      </c>
      <c r="E8954" t="s">
        <v>55</v>
      </c>
      <c r="F8954" t="s">
        <v>57</v>
      </c>
      <c r="G8954" t="str">
        <f t="shared" si="368"/>
        <v>001EXPLORER</v>
      </c>
      <c r="H8954" s="5">
        <f>VLOOKUP(G8954,[8]Astroflores!$G$2:$H$110,2,FALSE)</f>
        <v>4950</v>
      </c>
      <c r="I8954" s="6">
        <v>2272.0310343918732</v>
      </c>
      <c r="J8954" s="5">
        <v>17200</v>
      </c>
      <c r="K8954" s="6">
        <f t="shared" si="369"/>
        <v>2.1786674235833692</v>
      </c>
    </row>
    <row r="8955" spans="1:11" hidden="1">
      <c r="A8955" s="4">
        <v>2026</v>
      </c>
      <c r="B8955">
        <v>31</v>
      </c>
      <c r="C8955" t="s">
        <v>54</v>
      </c>
      <c r="D8955" t="s">
        <v>11</v>
      </c>
      <c r="E8955" t="s">
        <v>55</v>
      </c>
      <c r="F8955" t="s">
        <v>58</v>
      </c>
      <c r="G8955" t="str">
        <f t="shared" si="368"/>
        <v>001GRACE KELLY</v>
      </c>
      <c r="H8955" s="5">
        <f>VLOOKUP(G8955,[8]Astroflores!$G$2:$H$110,2,FALSE)</f>
        <v>2010</v>
      </c>
      <c r="I8955" s="6">
        <v>1162.4344827121224</v>
      </c>
      <c r="J8955" s="5">
        <v>8800</v>
      </c>
      <c r="K8955" s="6">
        <f t="shared" si="369"/>
        <v>1.7291297100120331</v>
      </c>
    </row>
    <row r="8956" spans="1:11" hidden="1">
      <c r="A8956" s="4">
        <v>2026</v>
      </c>
      <c r="B8956">
        <v>31</v>
      </c>
      <c r="C8956" t="s">
        <v>54</v>
      </c>
      <c r="D8956" t="s">
        <v>11</v>
      </c>
      <c r="E8956" t="s">
        <v>55</v>
      </c>
      <c r="F8956" t="s">
        <v>60</v>
      </c>
      <c r="G8956" t="str">
        <f t="shared" si="368"/>
        <v>001LIGHT HOUSE</v>
      </c>
      <c r="H8956" s="5">
        <f>VLOOKUP(G8956,[8]Astroflores!$G$2:$H$110,2,FALSE)</f>
        <v>2010</v>
      </c>
      <c r="I8956" s="6">
        <v>1056.7586206473827</v>
      </c>
      <c r="J8956" s="5">
        <v>8000</v>
      </c>
      <c r="K8956" s="6">
        <f t="shared" si="369"/>
        <v>1.9020426810132387</v>
      </c>
    </row>
    <row r="8957" spans="1:11" hidden="1">
      <c r="A8957" s="4">
        <v>2026</v>
      </c>
      <c r="B8957">
        <v>31</v>
      </c>
      <c r="C8957" t="s">
        <v>54</v>
      </c>
      <c r="D8957" t="s">
        <v>11</v>
      </c>
      <c r="E8957" t="s">
        <v>55</v>
      </c>
      <c r="F8957" t="s">
        <v>61</v>
      </c>
      <c r="G8957" t="str">
        <f t="shared" si="368"/>
        <v>001LUMIA</v>
      </c>
      <c r="H8957" s="5">
        <f>VLOOKUP(G8957,[8]Astroflores!$G$2:$H$110,2,FALSE)</f>
        <v>3300</v>
      </c>
      <c r="I8957" s="6">
        <v>1109.596551679753</v>
      </c>
      <c r="J8957" s="5">
        <v>8400</v>
      </c>
      <c r="K8957" s="6">
        <f t="shared" si="369"/>
        <v>2.9740539433042792</v>
      </c>
    </row>
    <row r="8958" spans="1:11" hidden="1">
      <c r="A8958" s="4">
        <v>2026</v>
      </c>
      <c r="B8958">
        <v>31</v>
      </c>
      <c r="C8958" t="s">
        <v>54</v>
      </c>
      <c r="D8958" t="s">
        <v>11</v>
      </c>
      <c r="E8958" t="s">
        <v>55</v>
      </c>
      <c r="F8958" t="s">
        <v>62</v>
      </c>
      <c r="G8958" t="str">
        <f t="shared" si="368"/>
        <v>001MOMENTUM</v>
      </c>
      <c r="H8958" s="5">
        <f>VLOOKUP(G8958,[8]Astroflores!$G$2:$H$110,2,FALSE)</f>
        <v>5825</v>
      </c>
      <c r="I8958" s="6">
        <v>1902.1655171652881</v>
      </c>
      <c r="J8958" s="5">
        <v>14400</v>
      </c>
      <c r="K8958" s="6">
        <f t="shared" si="369"/>
        <v>3.0622992307634385</v>
      </c>
    </row>
    <row r="8959" spans="1:11" hidden="1">
      <c r="A8959" s="4">
        <v>2026</v>
      </c>
      <c r="B8959">
        <v>31</v>
      </c>
      <c r="C8959" t="s">
        <v>54</v>
      </c>
      <c r="D8959" t="s">
        <v>11</v>
      </c>
      <c r="E8959" t="s">
        <v>12</v>
      </c>
      <c r="F8959" t="s">
        <v>63</v>
      </c>
      <c r="G8959" t="str">
        <f t="shared" si="368"/>
        <v>002SUMMER ROMANCE</v>
      </c>
      <c r="H8959" s="5">
        <f>VLOOKUP(G8959,[8]Astroflores!$G$2:$H$110,2,FALSE)</f>
        <v>1575</v>
      </c>
      <c r="I8959" s="6">
        <v>951.10714281909407</v>
      </c>
      <c r="J8959" s="5">
        <v>7200</v>
      </c>
      <c r="K8959" s="6">
        <f t="shared" ref="K8959:K9019" si="370">+H8959/I8959</f>
        <v>1.6559648530571218</v>
      </c>
    </row>
    <row r="8960" spans="1:11" hidden="1">
      <c r="A8960" s="4">
        <v>2026</v>
      </c>
      <c r="B8960">
        <v>31</v>
      </c>
      <c r="C8960" t="s">
        <v>54</v>
      </c>
      <c r="D8960" t="s">
        <v>11</v>
      </c>
      <c r="E8960" t="s">
        <v>12</v>
      </c>
      <c r="F8960" t="s">
        <v>64</v>
      </c>
      <c r="G8960" t="str">
        <f t="shared" si="368"/>
        <v>002SWEETNESS</v>
      </c>
      <c r="H8960" s="5">
        <f>VLOOKUP(G8960,[8]Astroflores!$G$2:$H$110,2,FALSE)</f>
        <v>7110</v>
      </c>
      <c r="I8960" s="6">
        <v>3804.4285712763772</v>
      </c>
      <c r="J8960" s="5">
        <v>28800</v>
      </c>
      <c r="K8960" s="6">
        <f t="shared" si="370"/>
        <v>1.8688746198787511</v>
      </c>
    </row>
    <row r="8961" spans="1:11" hidden="1">
      <c r="A8961" s="4">
        <v>2026</v>
      </c>
      <c r="B8961">
        <v>31</v>
      </c>
      <c r="C8961" t="s">
        <v>54</v>
      </c>
      <c r="D8961" t="s">
        <v>11</v>
      </c>
      <c r="E8961" t="s">
        <v>65</v>
      </c>
      <c r="F8961" t="s">
        <v>66</v>
      </c>
      <c r="G8961" t="str">
        <f t="shared" si="368"/>
        <v>003CABARET</v>
      </c>
      <c r="H8961" s="5">
        <f>VLOOKUP(G8961,[8]Astroflores!$G$2:$H$110,2,FALSE)</f>
        <v>4860</v>
      </c>
      <c r="I8961" s="6">
        <v>2641.8965516184649</v>
      </c>
      <c r="J8961" s="5">
        <v>20000</v>
      </c>
      <c r="K8961" s="6">
        <f t="shared" si="370"/>
        <v>1.8395875482038433</v>
      </c>
    </row>
    <row r="8962" spans="1:11" hidden="1">
      <c r="A8962" s="4">
        <v>2026</v>
      </c>
      <c r="B8962">
        <v>31</v>
      </c>
      <c r="C8962" t="s">
        <v>54</v>
      </c>
      <c r="D8962" t="s">
        <v>11</v>
      </c>
      <c r="E8962" t="s">
        <v>65</v>
      </c>
      <c r="F8962" t="s">
        <v>67</v>
      </c>
      <c r="G8962" t="str">
        <f t="shared" si="368"/>
        <v>003DEEP PURPLE</v>
      </c>
      <c r="H8962" s="5">
        <f>VLOOKUP(G8962,[8]Astroflores!$G$2:$H$110,2,FALSE)</f>
        <v>7890</v>
      </c>
      <c r="I8962" s="6">
        <v>3592.9793102010913</v>
      </c>
      <c r="J8962" s="5">
        <v>26044</v>
      </c>
      <c r="K8962" s="6">
        <f t="shared" si="370"/>
        <v>2.1959491883515505</v>
      </c>
    </row>
    <row r="8963" spans="1:11" hidden="1">
      <c r="A8963" s="4">
        <v>2026</v>
      </c>
      <c r="B8963">
        <v>31</v>
      </c>
      <c r="C8963" t="s">
        <v>54</v>
      </c>
      <c r="D8963" t="s">
        <v>11</v>
      </c>
      <c r="E8963" t="s">
        <v>65</v>
      </c>
      <c r="F8963" t="s">
        <v>57</v>
      </c>
      <c r="G8963" t="str">
        <f t="shared" si="368"/>
        <v>003EXPLORER</v>
      </c>
      <c r="H8963" s="5">
        <f>VLOOKUP(G8963,[8]Astroflores!$G$2:$H$110,2,FALSE)</f>
        <v>2225</v>
      </c>
      <c r="I8963" s="6">
        <v>1268.1103447768633</v>
      </c>
      <c r="J8963" s="5">
        <v>9600</v>
      </c>
      <c r="K8963" s="6">
        <f t="shared" si="370"/>
        <v>1.7545791729910627</v>
      </c>
    </row>
    <row r="8964" spans="1:11" hidden="1">
      <c r="A8964" s="4">
        <v>2026</v>
      </c>
      <c r="B8964">
        <v>31</v>
      </c>
      <c r="C8964" t="s">
        <v>54</v>
      </c>
      <c r="D8964" t="s">
        <v>11</v>
      </c>
      <c r="E8964" t="s">
        <v>65</v>
      </c>
      <c r="F8964" t="s">
        <v>68</v>
      </c>
      <c r="G8964" t="str">
        <f t="shared" si="368"/>
        <v>003JOCKER</v>
      </c>
      <c r="H8964" s="5">
        <f>VLOOKUP(G8964,[8]Astroflores!$G$2:$H$110,2,FALSE)</f>
        <v>1325</v>
      </c>
      <c r="I8964" s="6">
        <v>528.37931032368999</v>
      </c>
      <c r="J8964" s="5">
        <v>4000</v>
      </c>
      <c r="K8964" s="6">
        <f t="shared" si="370"/>
        <v>2.5076682112861173</v>
      </c>
    </row>
    <row r="8965" spans="1:11" hidden="1">
      <c r="A8965" s="4">
        <v>2026</v>
      </c>
      <c r="B8965">
        <v>31</v>
      </c>
      <c r="C8965" t="s">
        <v>54</v>
      </c>
      <c r="D8965" t="s">
        <v>11</v>
      </c>
      <c r="E8965" t="s">
        <v>65</v>
      </c>
      <c r="F8965" t="s">
        <v>69</v>
      </c>
      <c r="G8965" t="str">
        <f t="shared" si="368"/>
        <v>003QUICKSAND</v>
      </c>
      <c r="H8965" s="5">
        <f>VLOOKUP(G8965,[8]Astroflores!$G$2:$H$110,2,FALSE)</f>
        <v>2910</v>
      </c>
      <c r="I8965" s="6">
        <v>1162.4344827121247</v>
      </c>
      <c r="J8965" s="5">
        <v>8800</v>
      </c>
      <c r="K8965" s="6">
        <f t="shared" si="370"/>
        <v>2.5033668935995057</v>
      </c>
    </row>
    <row r="8966" spans="1:11" hidden="1">
      <c r="A8966" s="4">
        <v>2026</v>
      </c>
      <c r="B8966">
        <v>31</v>
      </c>
      <c r="C8966" t="s">
        <v>54</v>
      </c>
      <c r="D8966" t="s">
        <v>11</v>
      </c>
      <c r="E8966" t="s">
        <v>14</v>
      </c>
      <c r="F8966" t="s">
        <v>70</v>
      </c>
      <c r="G8966" t="str">
        <f t="shared" si="368"/>
        <v>004COTOPAXI</v>
      </c>
      <c r="H8966" s="5">
        <f>VLOOKUP(G8966,[8]Astroflores!$G$2:$H$110,2,FALSE)</f>
        <v>1980</v>
      </c>
      <c r="I8966" s="6">
        <v>528.3915024419166</v>
      </c>
      <c r="J8966" s="5">
        <v>4000</v>
      </c>
      <c r="K8966" s="6">
        <f t="shared" si="370"/>
        <v>3.7472215030892766</v>
      </c>
    </row>
    <row r="8967" spans="1:11" hidden="1">
      <c r="A8967" s="4">
        <v>2026</v>
      </c>
      <c r="B8967">
        <v>31</v>
      </c>
      <c r="C8967" t="s">
        <v>54</v>
      </c>
      <c r="D8967" t="s">
        <v>11</v>
      </c>
      <c r="E8967" t="s">
        <v>14</v>
      </c>
      <c r="F8967" t="s">
        <v>67</v>
      </c>
      <c r="G8967" t="str">
        <f t="shared" si="368"/>
        <v>004DEEP PURPLE</v>
      </c>
      <c r="H8967" s="5">
        <f>VLOOKUP(G8967,[8]Astroflores!$G$2:$H$110,2,FALSE)</f>
        <v>7590</v>
      </c>
      <c r="I8967" s="6">
        <v>3910.1071427007282</v>
      </c>
      <c r="J8967" s="5">
        <v>29260</v>
      </c>
      <c r="K8967" s="6">
        <f t="shared" si="370"/>
        <v>1.9411232794908924</v>
      </c>
    </row>
    <row r="8968" spans="1:11" hidden="1">
      <c r="A8968" s="4">
        <v>2026</v>
      </c>
      <c r="B8968">
        <v>31</v>
      </c>
      <c r="C8968" t="s">
        <v>54</v>
      </c>
      <c r="D8968" t="s">
        <v>11</v>
      </c>
      <c r="E8968" t="s">
        <v>14</v>
      </c>
      <c r="F8968" t="s">
        <v>71</v>
      </c>
      <c r="G8968" t="str">
        <f t="shared" si="368"/>
        <v>004HOT EXPLORER</v>
      </c>
      <c r="H8968" s="5">
        <f>VLOOKUP(G8968,[8]Astroflores!$G$2:$H$110,2,FALSE)</f>
        <v>2150</v>
      </c>
      <c r="I8968" s="6">
        <v>1902.2142856381945</v>
      </c>
      <c r="J8968" s="5">
        <v>14400</v>
      </c>
      <c r="K8968" s="6">
        <f t="shared" si="370"/>
        <v>1.130261725102476</v>
      </c>
    </row>
    <row r="8969" spans="1:11" hidden="1">
      <c r="A8969" s="4">
        <v>2026</v>
      </c>
      <c r="B8969">
        <v>31</v>
      </c>
      <c r="C8969" t="s">
        <v>54</v>
      </c>
      <c r="D8969" t="s">
        <v>11</v>
      </c>
      <c r="E8969" t="s">
        <v>14</v>
      </c>
      <c r="F8969" t="s">
        <v>72</v>
      </c>
      <c r="G8969" t="str">
        <f t="shared" si="368"/>
        <v>004HOT MERENGUE</v>
      </c>
      <c r="H8969" s="5">
        <f>VLOOKUP(G8969,[8]Astroflores!$G$2:$H$110,2,FALSE)</f>
        <v>2490</v>
      </c>
      <c r="I8969" s="6">
        <v>1162.4642856677858</v>
      </c>
      <c r="J8969" s="5">
        <v>8800</v>
      </c>
      <c r="K8969" s="6">
        <f t="shared" si="370"/>
        <v>2.1420012904479058</v>
      </c>
    </row>
    <row r="8970" spans="1:11" hidden="1">
      <c r="A8970" s="4">
        <v>2026</v>
      </c>
      <c r="B8970">
        <v>31</v>
      </c>
      <c r="C8970" t="s">
        <v>54</v>
      </c>
      <c r="D8970" t="s">
        <v>11</v>
      </c>
      <c r="E8970" t="s">
        <v>14</v>
      </c>
      <c r="F8970" t="s">
        <v>64</v>
      </c>
      <c r="G8970" t="str">
        <f t="shared" si="368"/>
        <v>004SWEETNESS</v>
      </c>
      <c r="H8970" s="5">
        <f>VLOOKUP(G8970,[8]Astroflores!$G$2:$H$110,2,FALSE)</f>
        <v>630</v>
      </c>
      <c r="I8970" s="6">
        <v>317.03571427303262</v>
      </c>
      <c r="J8970" s="5">
        <v>2400</v>
      </c>
      <c r="K8970" s="6">
        <f t="shared" si="370"/>
        <v>1.9871578236685381</v>
      </c>
    </row>
    <row r="8971" spans="1:11" hidden="1">
      <c r="A8971" s="4">
        <v>2026</v>
      </c>
      <c r="B8971">
        <v>31</v>
      </c>
      <c r="C8971" t="s">
        <v>54</v>
      </c>
      <c r="D8971" t="s">
        <v>11</v>
      </c>
      <c r="E8971" t="s">
        <v>16</v>
      </c>
      <c r="F8971" t="s">
        <v>57</v>
      </c>
      <c r="G8971" t="str">
        <f t="shared" si="368"/>
        <v>005EXPLORER</v>
      </c>
      <c r="H8971" s="5">
        <f>VLOOKUP(G8971,[8]Astroflores!$G$2:$H$110,2,FALSE)</f>
        <v>1775</v>
      </c>
      <c r="I8971" s="6">
        <v>951.10714281875391</v>
      </c>
      <c r="J8971" s="5">
        <v>7200</v>
      </c>
      <c r="K8971" s="6">
        <f t="shared" si="370"/>
        <v>1.8662461042396459</v>
      </c>
    </row>
    <row r="8972" spans="1:11" hidden="1">
      <c r="A8972" s="4">
        <v>2026</v>
      </c>
      <c r="B8972">
        <v>31</v>
      </c>
      <c r="C8972" t="s">
        <v>54</v>
      </c>
      <c r="D8972" t="s">
        <v>11</v>
      </c>
      <c r="E8972" t="s">
        <v>16</v>
      </c>
      <c r="F8972" t="s">
        <v>73</v>
      </c>
      <c r="G8972" t="str">
        <f t="shared" si="368"/>
        <v>005GOLDFINCH</v>
      </c>
      <c r="H8972" s="5">
        <f>VLOOKUP(G8972,[8]Astroflores!$G$2:$H$110,2,FALSE)</f>
        <v>575</v>
      </c>
      <c r="I8972" s="6">
        <v>898.26785710660101</v>
      </c>
      <c r="J8972" s="5">
        <v>6800</v>
      </c>
      <c r="K8972" s="6">
        <f t="shared" si="370"/>
        <v>0.64012086756852804</v>
      </c>
    </row>
    <row r="8973" spans="1:11" hidden="1">
      <c r="A8973" s="4">
        <v>2026</v>
      </c>
      <c r="B8973">
        <v>31</v>
      </c>
      <c r="C8973" t="s">
        <v>54</v>
      </c>
      <c r="D8973" t="s">
        <v>11</v>
      </c>
      <c r="E8973" t="s">
        <v>16</v>
      </c>
      <c r="F8973" t="s">
        <v>68</v>
      </c>
      <c r="G8973" t="str">
        <f t="shared" si="368"/>
        <v>005JOCKER</v>
      </c>
      <c r="H8973" s="5">
        <f>VLOOKUP(G8973,[8]Astroflores!$G$2:$H$110,2,FALSE)</f>
        <v>2075</v>
      </c>
      <c r="I8973" s="6">
        <v>1162.4642856673661</v>
      </c>
      <c r="J8973" s="5">
        <v>8800</v>
      </c>
      <c r="K8973" s="6">
        <f t="shared" si="370"/>
        <v>1.7850010753738992</v>
      </c>
    </row>
    <row r="8974" spans="1:11" hidden="1">
      <c r="A8974" s="4">
        <v>2026</v>
      </c>
      <c r="B8974">
        <v>31</v>
      </c>
      <c r="C8974" t="s">
        <v>54</v>
      </c>
      <c r="D8974" t="s">
        <v>11</v>
      </c>
      <c r="E8974" t="s">
        <v>16</v>
      </c>
      <c r="F8974" t="s">
        <v>74</v>
      </c>
      <c r="G8974" t="str">
        <f t="shared" si="368"/>
        <v>005VENDELA</v>
      </c>
      <c r="H8974" s="5">
        <f>VLOOKUP(G8974,[8]Astroflores!$G$2:$H$110,2,FALSE)</f>
        <v>2070</v>
      </c>
      <c r="I8974" s="6">
        <v>686.91071425798896</v>
      </c>
      <c r="J8974" s="5">
        <v>5200</v>
      </c>
      <c r="K8974" s="6">
        <f t="shared" si="370"/>
        <v>3.0134920842456858</v>
      </c>
    </row>
    <row r="8975" spans="1:11" hidden="1">
      <c r="A8975" s="4">
        <v>2026</v>
      </c>
      <c r="B8975">
        <v>31</v>
      </c>
      <c r="C8975" t="s">
        <v>54</v>
      </c>
      <c r="D8975" t="s">
        <v>11</v>
      </c>
      <c r="E8975" t="s">
        <v>75</v>
      </c>
      <c r="F8975" t="s">
        <v>76</v>
      </c>
      <c r="G8975" t="str">
        <f t="shared" si="368"/>
        <v>006ATOMIC</v>
      </c>
      <c r="H8975" s="5">
        <f>VLOOKUP(G8975,[8]Astroflores!$G$2:$H$110,2,FALSE)</f>
        <v>1575</v>
      </c>
      <c r="I8975" s="6">
        <v>845.428571394752</v>
      </c>
      <c r="J8975" s="5">
        <v>6400</v>
      </c>
      <c r="K8975" s="6">
        <f t="shared" si="370"/>
        <v>1.8629604596892582</v>
      </c>
    </row>
    <row r="8976" spans="1:11" hidden="1">
      <c r="A8976" s="4">
        <v>2026</v>
      </c>
      <c r="B8976">
        <v>31</v>
      </c>
      <c r="C8976" t="s">
        <v>54</v>
      </c>
      <c r="D8976" t="s">
        <v>11</v>
      </c>
      <c r="E8976" t="s">
        <v>75</v>
      </c>
      <c r="F8976" t="s">
        <v>57</v>
      </c>
      <c r="G8976" t="str">
        <f t="shared" si="368"/>
        <v>006EXPLORER</v>
      </c>
      <c r="H8976" s="5">
        <f>VLOOKUP(G8976,[8]Astroflores!$G$2:$H$110,2,FALSE)</f>
        <v>8050</v>
      </c>
      <c r="I8976" s="6">
        <v>3910.1071427007355</v>
      </c>
      <c r="J8976" s="5">
        <v>29600</v>
      </c>
      <c r="K8976" s="6">
        <f t="shared" si="370"/>
        <v>2.0587671146115487</v>
      </c>
    </row>
    <row r="8977" spans="1:11" hidden="1">
      <c r="A8977" s="4">
        <v>2026</v>
      </c>
      <c r="B8977">
        <v>31</v>
      </c>
      <c r="C8977" t="s">
        <v>54</v>
      </c>
      <c r="D8977" t="s">
        <v>11</v>
      </c>
      <c r="E8977" t="s">
        <v>75</v>
      </c>
      <c r="F8977" t="s">
        <v>77</v>
      </c>
      <c r="G8977" t="str">
        <f t="shared" si="368"/>
        <v>006MONDIAL</v>
      </c>
      <c r="H8977" s="5">
        <f>VLOOKUP(G8977,[8]Astroflores!$G$2:$H$110,2,FALSE)</f>
        <v>8450</v>
      </c>
      <c r="I8977" s="6">
        <v>4015.7857141250793</v>
      </c>
      <c r="J8977" s="5">
        <v>30400</v>
      </c>
      <c r="K8977" s="6">
        <f t="shared" si="370"/>
        <v>2.1041959411026503</v>
      </c>
    </row>
    <row r="8978" spans="1:11" hidden="1">
      <c r="A8978" s="4">
        <v>2026</v>
      </c>
      <c r="B8978">
        <v>31</v>
      </c>
      <c r="C8978" t="s">
        <v>54</v>
      </c>
      <c r="D8978" t="s">
        <v>11</v>
      </c>
      <c r="E8978" t="s">
        <v>20</v>
      </c>
      <c r="F8978" t="s">
        <v>70</v>
      </c>
      <c r="G8978" t="str">
        <f t="shared" si="368"/>
        <v>007COTOPAXI</v>
      </c>
      <c r="H8978" s="5">
        <f>VLOOKUP(G8978,[8]Astroflores!$G$2:$H$110,2,FALSE)</f>
        <v>6450</v>
      </c>
      <c r="I8978" s="6">
        <v>2747.5751230427709</v>
      </c>
      <c r="J8978" s="5">
        <v>20800</v>
      </c>
      <c r="K8978" s="6">
        <f t="shared" si="370"/>
        <v>2.3475245302326879</v>
      </c>
    </row>
    <row r="8979" spans="1:11" hidden="1">
      <c r="A8979" s="4">
        <v>2026</v>
      </c>
      <c r="B8979">
        <v>31</v>
      </c>
      <c r="C8979" t="s">
        <v>54</v>
      </c>
      <c r="D8979" t="s">
        <v>11</v>
      </c>
      <c r="E8979" t="s">
        <v>20</v>
      </c>
      <c r="F8979" t="s">
        <v>78</v>
      </c>
      <c r="G8979" t="str">
        <f t="shared" si="368"/>
        <v>007REDIANT</v>
      </c>
      <c r="H8979" s="5">
        <f>VLOOKUP(G8979,[8]Astroflores!$G$2:$H$110,2,FALSE)</f>
        <v>2100</v>
      </c>
      <c r="I8979" s="6">
        <v>1056.75862064738</v>
      </c>
      <c r="J8979" s="5">
        <v>9600</v>
      </c>
      <c r="K8979" s="6">
        <f t="shared" si="370"/>
        <v>1.9872087712078665</v>
      </c>
    </row>
    <row r="8980" spans="1:11" hidden="1">
      <c r="A8980" s="4">
        <v>2026</v>
      </c>
      <c r="B8980">
        <v>31</v>
      </c>
      <c r="C8980" t="s">
        <v>54</v>
      </c>
      <c r="D8980" t="s">
        <v>11</v>
      </c>
      <c r="E8980" t="s">
        <v>20</v>
      </c>
      <c r="F8980" t="s">
        <v>74</v>
      </c>
      <c r="G8980" t="str">
        <f t="shared" si="368"/>
        <v>007VENDELA</v>
      </c>
      <c r="H8980" s="5">
        <f>VLOOKUP(G8980,[8]Astroflores!$G$2:$H$110,2,FALSE)</f>
        <v>11250</v>
      </c>
      <c r="I8980" s="6">
        <v>3592.9793102011122</v>
      </c>
      <c r="J8980" s="5">
        <v>27820</v>
      </c>
      <c r="K8980" s="6">
        <f t="shared" si="370"/>
        <v>3.1311062571552344</v>
      </c>
    </row>
    <row r="8981" spans="1:11" hidden="1">
      <c r="A8981" s="4">
        <v>2026</v>
      </c>
      <c r="B8981">
        <v>31</v>
      </c>
      <c r="C8981" t="s">
        <v>54</v>
      </c>
      <c r="D8981" t="s">
        <v>11</v>
      </c>
      <c r="E8981" t="s">
        <v>79</v>
      </c>
      <c r="F8981" t="s">
        <v>67</v>
      </c>
      <c r="G8981" t="str">
        <f t="shared" si="368"/>
        <v>008DEEP PURPLE</v>
      </c>
      <c r="H8981" s="5">
        <f>VLOOKUP(G8981,[8]Astroflores!$G$2:$H$110,2,FALSE)</f>
        <v>3450</v>
      </c>
      <c r="I8981" s="6">
        <v>1585.2222221588099</v>
      </c>
      <c r="J8981" s="5">
        <v>11490</v>
      </c>
      <c r="K8981" s="6">
        <f t="shared" si="370"/>
        <v>2.176351019923044</v>
      </c>
    </row>
    <row r="8982" spans="1:11" hidden="1">
      <c r="A8982" s="4">
        <v>2026</v>
      </c>
      <c r="B8982">
        <v>31</v>
      </c>
      <c r="C8982" t="s">
        <v>54</v>
      </c>
      <c r="D8982" t="s">
        <v>11</v>
      </c>
      <c r="E8982" t="s">
        <v>79</v>
      </c>
      <c r="F8982" t="s">
        <v>81</v>
      </c>
      <c r="G8982" t="str">
        <f t="shared" si="368"/>
        <v>008FREEDOM</v>
      </c>
      <c r="H8982" s="5">
        <f>VLOOKUP(G8982,[8]Astroflores!$G$2:$H$110,2,FALSE)</f>
        <v>3420</v>
      </c>
      <c r="I8982" s="6">
        <v>2219.311111022334</v>
      </c>
      <c r="J8982" s="5">
        <v>16800</v>
      </c>
      <c r="K8982" s="6">
        <f t="shared" si="370"/>
        <v>1.5410187346038944</v>
      </c>
    </row>
    <row r="8983" spans="1:11" hidden="1">
      <c r="A8983" s="4">
        <v>2026</v>
      </c>
      <c r="B8983">
        <v>31</v>
      </c>
      <c r="C8983" t="s">
        <v>54</v>
      </c>
      <c r="D8983" t="s">
        <v>11</v>
      </c>
      <c r="E8983" t="s">
        <v>79</v>
      </c>
      <c r="F8983" t="s">
        <v>68</v>
      </c>
      <c r="G8983" t="str">
        <f t="shared" ref="G8983:G9023" si="371">+E8983&amp;F8983</f>
        <v>008JOCKER</v>
      </c>
      <c r="H8983" s="5">
        <f>VLOOKUP(G8983,[8]Astroflores!$G$2:$H$110,2,FALSE)</f>
        <v>5425</v>
      </c>
      <c r="I8983" s="6">
        <v>2959.0814813631118</v>
      </c>
      <c r="J8983" s="5">
        <v>22400</v>
      </c>
      <c r="K8983" s="6">
        <f t="shared" si="370"/>
        <v>1.8333391743916945</v>
      </c>
    </row>
    <row r="8984" spans="1:11" hidden="1">
      <c r="A8984" s="4">
        <v>2026</v>
      </c>
      <c r="B8984">
        <v>31</v>
      </c>
      <c r="C8984" t="s">
        <v>54</v>
      </c>
      <c r="D8984" t="s">
        <v>11</v>
      </c>
      <c r="E8984" t="s">
        <v>82</v>
      </c>
      <c r="F8984" t="s">
        <v>83</v>
      </c>
      <c r="G8984" t="str">
        <f t="shared" si="371"/>
        <v>010COOLDOWN</v>
      </c>
      <c r="H8984" s="5">
        <f>VLOOKUP(G8984,[8]Astroflores!$G$2:$H$110,2,FALSE)</f>
        <v>2525</v>
      </c>
      <c r="I8984" s="6">
        <v>1912.3542857142861</v>
      </c>
      <c r="J8984" s="5">
        <v>16320</v>
      </c>
      <c r="K8984" s="6">
        <f t="shared" si="370"/>
        <v>1.3203620369208333</v>
      </c>
    </row>
    <row r="8985" spans="1:11" hidden="1">
      <c r="A8985" s="4">
        <v>2026</v>
      </c>
      <c r="B8985">
        <v>31</v>
      </c>
      <c r="C8985" t="s">
        <v>54</v>
      </c>
      <c r="D8985" t="s">
        <v>11</v>
      </c>
      <c r="E8985" t="s">
        <v>82</v>
      </c>
      <c r="F8985" t="s">
        <v>84</v>
      </c>
      <c r="G8985" t="str">
        <f t="shared" si="371"/>
        <v>010VIOLET HILL</v>
      </c>
      <c r="H8985" s="5">
        <f>VLOOKUP(G8985,[8]Astroflores!$G$2:$H$110,2,FALSE)</f>
        <v>4740</v>
      </c>
      <c r="I8985" s="6">
        <v>2812.2857142428579</v>
      </c>
      <c r="J8985" s="5">
        <v>20000</v>
      </c>
      <c r="K8985" s="6">
        <f t="shared" si="370"/>
        <v>1.6854617494923108</v>
      </c>
    </row>
    <row r="8986" spans="1:11" hidden="1">
      <c r="A8986" s="4">
        <v>2026</v>
      </c>
      <c r="B8986">
        <v>31</v>
      </c>
      <c r="C8986" t="s">
        <v>54</v>
      </c>
      <c r="D8986" t="s">
        <v>11</v>
      </c>
      <c r="E8986" t="s">
        <v>85</v>
      </c>
      <c r="F8986" t="s">
        <v>86</v>
      </c>
      <c r="G8986" t="str">
        <f t="shared" si="371"/>
        <v>011BRIGHTON</v>
      </c>
      <c r="H8986" s="5">
        <f>VLOOKUP(G8986,[8]Astroflores!$G$2:$H$110,2,FALSE)</f>
        <v>3950</v>
      </c>
      <c r="I8986" s="6">
        <v>1768.8376470588223</v>
      </c>
      <c r="J8986" s="5">
        <v>12800</v>
      </c>
      <c r="K8986" s="6">
        <f t="shared" si="370"/>
        <v>2.2331048904165729</v>
      </c>
    </row>
    <row r="8987" spans="1:11" hidden="1">
      <c r="A8987" s="4">
        <v>2026</v>
      </c>
      <c r="B8987">
        <v>31</v>
      </c>
      <c r="C8987" t="s">
        <v>54</v>
      </c>
      <c r="D8987" t="s">
        <v>11</v>
      </c>
      <c r="E8987" t="s">
        <v>85</v>
      </c>
      <c r="F8987" t="s">
        <v>87</v>
      </c>
      <c r="G8987" t="str">
        <f t="shared" si="371"/>
        <v>011CANDLELIGHT</v>
      </c>
      <c r="H8987" s="5">
        <f>VLOOKUP(G8987,[8]Astroflores!$G$2:$H$110,2,FALSE)</f>
        <v>4200</v>
      </c>
      <c r="I8987" s="6">
        <v>2263.7999998868127</v>
      </c>
      <c r="J8987" s="5">
        <v>17920</v>
      </c>
      <c r="K8987" s="6">
        <f t="shared" si="370"/>
        <v>1.855287569666046</v>
      </c>
    </row>
    <row r="8988" spans="1:11" hidden="1">
      <c r="A8988" s="4">
        <v>2026</v>
      </c>
      <c r="B8988">
        <v>31</v>
      </c>
      <c r="C8988" t="s">
        <v>54</v>
      </c>
      <c r="D8988" t="s">
        <v>11</v>
      </c>
      <c r="E8988" t="s">
        <v>85</v>
      </c>
      <c r="F8988" t="s">
        <v>88</v>
      </c>
      <c r="G8988" t="str">
        <f t="shared" si="371"/>
        <v>011CAYENNE</v>
      </c>
      <c r="H8988" s="5">
        <f>VLOOKUP(G8988,[8]Astroflores!$G$2:$H$110,2,FALSE)</f>
        <v>1290</v>
      </c>
      <c r="I8988" s="6">
        <v>994.97117647058747</v>
      </c>
      <c r="J8988" s="5">
        <v>7200</v>
      </c>
      <c r="K8988" s="6">
        <f t="shared" si="370"/>
        <v>1.2965199701321539</v>
      </c>
    </row>
    <row r="8989" spans="1:11" hidden="1">
      <c r="A8989" s="4">
        <v>2026</v>
      </c>
      <c r="B8989">
        <v>31</v>
      </c>
      <c r="C8989" t="s">
        <v>54</v>
      </c>
      <c r="D8989" t="s">
        <v>11</v>
      </c>
      <c r="E8989" t="s">
        <v>85</v>
      </c>
      <c r="F8989" t="s">
        <v>61</v>
      </c>
      <c r="G8989" t="str">
        <f t="shared" si="371"/>
        <v>011LUMIA</v>
      </c>
      <c r="H8989" s="5">
        <f>VLOOKUP(G8989,[8]Astroflores!$G$2:$H$110,2,FALSE)</f>
        <v>2070</v>
      </c>
      <c r="I8989" s="6">
        <v>994.97117647058747</v>
      </c>
      <c r="J8989" s="5">
        <v>7920</v>
      </c>
      <c r="K8989" s="6">
        <f t="shared" si="370"/>
        <v>2.0804622776539214</v>
      </c>
    </row>
    <row r="8990" spans="1:11" hidden="1">
      <c r="A8990" s="4">
        <v>2026</v>
      </c>
      <c r="B8990">
        <v>31</v>
      </c>
      <c r="C8990" t="s">
        <v>54</v>
      </c>
      <c r="D8990" t="s">
        <v>11</v>
      </c>
      <c r="E8990" t="s">
        <v>85</v>
      </c>
      <c r="F8990" t="s">
        <v>89</v>
      </c>
      <c r="G8990" t="str">
        <f t="shared" si="371"/>
        <v>011STARDUST</v>
      </c>
      <c r="H8990" s="5">
        <f>VLOOKUP(G8990,[8]Astroflores!$G$2:$H$110,2,FALSE)</f>
        <v>4425</v>
      </c>
      <c r="I8990" s="6">
        <v>2263.7999998868127</v>
      </c>
      <c r="J8990" s="5">
        <v>17920</v>
      </c>
      <c r="K8990" s="6">
        <f t="shared" si="370"/>
        <v>1.9546779751838699</v>
      </c>
    </row>
    <row r="8991" spans="1:11" hidden="1">
      <c r="A8991" s="4">
        <v>2026</v>
      </c>
      <c r="B8991">
        <v>31</v>
      </c>
      <c r="C8991" t="s">
        <v>54</v>
      </c>
      <c r="D8991" t="s">
        <v>11</v>
      </c>
      <c r="E8991" t="s">
        <v>90</v>
      </c>
      <c r="F8991" t="s">
        <v>67</v>
      </c>
      <c r="G8991" t="str">
        <f t="shared" si="371"/>
        <v>012DEEP PURPLE</v>
      </c>
      <c r="H8991" s="5">
        <f>VLOOKUP(G8991,[8]Astroflores!$G$2:$H$110,2,FALSE)</f>
        <v>16800</v>
      </c>
      <c r="I8991" s="6">
        <v>6727.0499997982479</v>
      </c>
      <c r="J8991" s="5">
        <v>49210</v>
      </c>
      <c r="K8991" s="6">
        <f t="shared" si="370"/>
        <v>2.4973799808985886</v>
      </c>
    </row>
    <row r="8992" spans="1:11" hidden="1">
      <c r="A8992" s="4">
        <v>2026</v>
      </c>
      <c r="B8992">
        <v>31</v>
      </c>
      <c r="C8992" t="s">
        <v>54</v>
      </c>
      <c r="D8992" t="s">
        <v>11</v>
      </c>
      <c r="E8992" t="s">
        <v>90</v>
      </c>
      <c r="F8992" t="s">
        <v>60</v>
      </c>
      <c r="G8992" t="str">
        <f t="shared" si="371"/>
        <v>012LIGHT HOUSE</v>
      </c>
      <c r="H8992" s="5">
        <f>VLOOKUP(G8992,[8]Astroflores!$G$2:$H$110,2,FALSE)</f>
        <v>1440</v>
      </c>
      <c r="I8992" s="6">
        <v>994.95</v>
      </c>
      <c r="J8992" s="5">
        <v>7200</v>
      </c>
      <c r="K8992" s="6">
        <f t="shared" si="370"/>
        <v>1.447308909995477</v>
      </c>
    </row>
    <row r="8993" spans="1:11" hidden="1">
      <c r="A8993" s="4">
        <v>2026</v>
      </c>
      <c r="B8993">
        <v>31</v>
      </c>
      <c r="C8993" t="s">
        <v>54</v>
      </c>
      <c r="D8993" t="s">
        <v>11</v>
      </c>
      <c r="E8993" t="s">
        <v>91</v>
      </c>
      <c r="F8993" t="s">
        <v>92</v>
      </c>
      <c r="G8993" t="str">
        <f t="shared" si="371"/>
        <v>013COUNTRY BLUES</v>
      </c>
      <c r="H8993" s="5">
        <f>VLOOKUP(G8993,[8]Astroflores!$G$2:$H$110,2,FALSE)</f>
        <v>1200</v>
      </c>
      <c r="I8993" s="6">
        <v>831.6</v>
      </c>
      <c r="J8993" s="5">
        <v>6300</v>
      </c>
      <c r="K8993" s="6">
        <f t="shared" si="370"/>
        <v>1.4430014430014431</v>
      </c>
    </row>
    <row r="8994" spans="1:11" hidden="1">
      <c r="A8994" s="4">
        <v>2026</v>
      </c>
      <c r="B8994">
        <v>31</v>
      </c>
      <c r="C8994" t="s">
        <v>54</v>
      </c>
      <c r="D8994" t="s">
        <v>11</v>
      </c>
      <c r="E8994" t="s">
        <v>91</v>
      </c>
      <c r="F8994" t="s">
        <v>93</v>
      </c>
      <c r="G8994" t="str">
        <f t="shared" si="371"/>
        <v>013LORRAINE</v>
      </c>
      <c r="H8994" s="5">
        <f>VLOOKUP(G8994,[8]Astroflores!$G$2:$H$110,2,FALSE)</f>
        <v>3825</v>
      </c>
      <c r="I8994" s="6">
        <v>1267.2</v>
      </c>
      <c r="J8994" s="5">
        <v>9600</v>
      </c>
      <c r="K8994" s="6">
        <f t="shared" si="370"/>
        <v>3.0184659090909092</v>
      </c>
    </row>
    <row r="8995" spans="1:11" hidden="1">
      <c r="A8995" s="4">
        <v>2026</v>
      </c>
      <c r="B8995">
        <v>31</v>
      </c>
      <c r="C8995" t="s">
        <v>54</v>
      </c>
      <c r="D8995" t="s">
        <v>11</v>
      </c>
      <c r="E8995" t="s">
        <v>91</v>
      </c>
      <c r="F8995" t="s">
        <v>61</v>
      </c>
      <c r="G8995" t="str">
        <f t="shared" si="371"/>
        <v>013LUMIA</v>
      </c>
      <c r="H8995" s="5">
        <f>VLOOKUP(G8995,[8]Astroflores!$G$2:$H$110,2,FALSE)</f>
        <v>660</v>
      </c>
      <c r="I8995" s="6">
        <v>316.8</v>
      </c>
      <c r="J8995" s="5">
        <v>2400</v>
      </c>
      <c r="K8995" s="6">
        <f t="shared" si="370"/>
        <v>2.083333333333333</v>
      </c>
    </row>
    <row r="8996" spans="1:11" hidden="1">
      <c r="A8996" s="4">
        <v>2026</v>
      </c>
      <c r="B8996">
        <v>31</v>
      </c>
      <c r="C8996" t="s">
        <v>54</v>
      </c>
      <c r="D8996" t="s">
        <v>11</v>
      </c>
      <c r="E8996" t="s">
        <v>91</v>
      </c>
      <c r="F8996" t="s">
        <v>74</v>
      </c>
      <c r="G8996" t="str">
        <f t="shared" si="371"/>
        <v>013VENDELA</v>
      </c>
      <c r="H8996" s="5">
        <f>VLOOKUP(G8996,[8]Astroflores!$G$2:$H$110,2,FALSE)</f>
        <v>11610</v>
      </c>
      <c r="I8996" s="6">
        <v>3603.6</v>
      </c>
      <c r="J8996" s="5">
        <v>27296</v>
      </c>
      <c r="K8996" s="6">
        <f t="shared" si="370"/>
        <v>3.221778221778222</v>
      </c>
    </row>
    <row r="8997" spans="1:11" hidden="1">
      <c r="A8997" s="4">
        <v>2026</v>
      </c>
      <c r="B8997">
        <v>31</v>
      </c>
      <c r="C8997" t="s">
        <v>54</v>
      </c>
      <c r="D8997" t="s">
        <v>11</v>
      </c>
      <c r="E8997" t="s">
        <v>23</v>
      </c>
      <c r="F8997" t="s">
        <v>89</v>
      </c>
      <c r="G8997" t="str">
        <f t="shared" si="371"/>
        <v>014STARDUST</v>
      </c>
      <c r="H8997" s="5">
        <f>VLOOKUP(G8997,[8]Astroflores!$G$2:$H$110,2,FALSE)</f>
        <v>6900</v>
      </c>
      <c r="I8997" s="6">
        <v>3682.8</v>
      </c>
      <c r="J8997" s="5">
        <v>27900</v>
      </c>
      <c r="K8997" s="6">
        <f t="shared" si="370"/>
        <v>1.8735744542196153</v>
      </c>
    </row>
    <row r="8998" spans="1:11" hidden="1">
      <c r="A8998" s="4">
        <v>2026</v>
      </c>
      <c r="B8998">
        <v>31</v>
      </c>
      <c r="C8998" t="s">
        <v>54</v>
      </c>
      <c r="D8998" t="s">
        <v>11</v>
      </c>
      <c r="E8998" t="s">
        <v>25</v>
      </c>
      <c r="F8998" t="s">
        <v>68</v>
      </c>
      <c r="G8998" t="str">
        <f t="shared" si="371"/>
        <v>015JOCKER</v>
      </c>
      <c r="H8998" s="5">
        <f>VLOOKUP(G8998,[8]Astroflores!$G$2:$H$110,2,FALSE)</f>
        <v>4625</v>
      </c>
      <c r="I8998" s="6">
        <v>2376</v>
      </c>
      <c r="J8998" s="5">
        <v>18000</v>
      </c>
      <c r="K8998" s="6">
        <f t="shared" si="370"/>
        <v>1.9465488215488216</v>
      </c>
    </row>
    <row r="8999" spans="1:11" hidden="1">
      <c r="A8999" s="4">
        <v>2026</v>
      </c>
      <c r="B8999">
        <v>31</v>
      </c>
      <c r="C8999" t="s">
        <v>54</v>
      </c>
      <c r="D8999" t="s">
        <v>11</v>
      </c>
      <c r="E8999" t="s">
        <v>27</v>
      </c>
      <c r="F8999" t="s">
        <v>94</v>
      </c>
      <c r="G8999" t="str">
        <f t="shared" si="371"/>
        <v>016DREAM IN PEACH</v>
      </c>
      <c r="H8999" s="5">
        <f>VLOOKUP(G8999,[8]Astroflores!$G$2:$H$110,2,FALSE)</f>
        <v>1710</v>
      </c>
      <c r="I8999" s="6">
        <v>950.4</v>
      </c>
      <c r="J8999" s="5">
        <v>7200</v>
      </c>
      <c r="K8999" s="6">
        <f t="shared" si="370"/>
        <v>1.7992424242424243</v>
      </c>
    </row>
    <row r="9000" spans="1:11" hidden="1">
      <c r="A9000" s="4">
        <v>2026</v>
      </c>
      <c r="B9000">
        <v>31</v>
      </c>
      <c r="C9000" t="s">
        <v>54</v>
      </c>
      <c r="D9000" t="s">
        <v>11</v>
      </c>
      <c r="E9000" t="s">
        <v>27</v>
      </c>
      <c r="F9000" t="s">
        <v>95</v>
      </c>
      <c r="G9000" t="str">
        <f t="shared" si="371"/>
        <v>016NINA</v>
      </c>
      <c r="H9000" s="5">
        <f>VLOOKUP(G9000,[8]Astroflores!$G$2:$H$110,2,FALSE)</f>
        <v>2425</v>
      </c>
      <c r="I9000" s="6">
        <v>1346.4</v>
      </c>
      <c r="J9000" s="5">
        <v>10200</v>
      </c>
      <c r="K9000" s="6">
        <f t="shared" si="370"/>
        <v>1.8010992275698157</v>
      </c>
    </row>
    <row r="9001" spans="1:11" hidden="1">
      <c r="A9001" s="4">
        <v>2026</v>
      </c>
      <c r="B9001">
        <v>31</v>
      </c>
      <c r="C9001" t="s">
        <v>54</v>
      </c>
      <c r="D9001" t="s">
        <v>11</v>
      </c>
      <c r="E9001" t="s">
        <v>30</v>
      </c>
      <c r="F9001" t="s">
        <v>81</v>
      </c>
      <c r="G9001" t="str">
        <f t="shared" si="371"/>
        <v>017FREEDOM</v>
      </c>
      <c r="H9001" s="5">
        <f>VLOOKUP(G9001,[8]Astroflores!$G$2:$H$110,2,FALSE)</f>
        <v>4470</v>
      </c>
      <c r="I9001" s="6">
        <v>2851.2</v>
      </c>
      <c r="J9001" s="5">
        <v>21600</v>
      </c>
      <c r="K9001" s="6">
        <f t="shared" si="370"/>
        <v>1.5677609427609429</v>
      </c>
    </row>
    <row r="9002" spans="1:11" hidden="1">
      <c r="A9002" s="4">
        <v>2026</v>
      </c>
      <c r="B9002">
        <v>31</v>
      </c>
      <c r="C9002" t="s">
        <v>54</v>
      </c>
      <c r="D9002" t="s">
        <v>11</v>
      </c>
      <c r="E9002" t="s">
        <v>30</v>
      </c>
      <c r="F9002" t="s">
        <v>73</v>
      </c>
      <c r="G9002" t="str">
        <f t="shared" si="371"/>
        <v>017GOLDFINCH</v>
      </c>
      <c r="H9002" s="5">
        <f>VLOOKUP(G9002,[8]Astroflores!$G$2:$H$110,2,FALSE)</f>
        <v>3075</v>
      </c>
      <c r="I9002" s="6">
        <v>2138.4</v>
      </c>
      <c r="J9002" s="5">
        <v>16200</v>
      </c>
      <c r="K9002" s="6">
        <f t="shared" si="370"/>
        <v>1.4379910213243545</v>
      </c>
    </row>
    <row r="9003" spans="1:11" hidden="1">
      <c r="A9003" s="4">
        <v>2026</v>
      </c>
      <c r="B9003">
        <v>31</v>
      </c>
      <c r="C9003" t="s">
        <v>54</v>
      </c>
      <c r="D9003" t="s">
        <v>11</v>
      </c>
      <c r="E9003" t="s">
        <v>32</v>
      </c>
      <c r="F9003" t="s">
        <v>86</v>
      </c>
      <c r="G9003" t="str">
        <f t="shared" si="371"/>
        <v>018BRIGHTON</v>
      </c>
      <c r="H9003" s="5">
        <f>VLOOKUP(G9003,[8]Astroflores!$G$2:$H$110,2,FALSE)</f>
        <v>1850</v>
      </c>
      <c r="I9003" s="6">
        <v>963.6</v>
      </c>
      <c r="J9003" s="5">
        <v>7570</v>
      </c>
      <c r="K9003" s="6">
        <f t="shared" si="370"/>
        <v>1.9198837691988377</v>
      </c>
    </row>
    <row r="9004" spans="1:11" hidden="1">
      <c r="A9004" s="4">
        <v>2026</v>
      </c>
      <c r="B9004">
        <v>31</v>
      </c>
      <c r="C9004" t="s">
        <v>54</v>
      </c>
      <c r="D9004" t="s">
        <v>11</v>
      </c>
      <c r="E9004" t="s">
        <v>35</v>
      </c>
      <c r="F9004" t="s">
        <v>86</v>
      </c>
      <c r="G9004" t="str">
        <f t="shared" si="371"/>
        <v>019BRIGHTON</v>
      </c>
      <c r="H9004" s="5">
        <f>VLOOKUP(G9004,[8]Astroflores!$G$2:$H$110,2,FALSE)</f>
        <v>6325</v>
      </c>
      <c r="I9004" s="6">
        <v>3168</v>
      </c>
      <c r="J9004" s="5">
        <v>24000</v>
      </c>
      <c r="K9004" s="6">
        <f t="shared" si="370"/>
        <v>1.9965277777777777</v>
      </c>
    </row>
    <row r="9005" spans="1:11" hidden="1">
      <c r="A9005" s="4">
        <v>2026</v>
      </c>
      <c r="B9005">
        <v>31</v>
      </c>
      <c r="C9005" t="s">
        <v>54</v>
      </c>
      <c r="D9005" t="s">
        <v>11</v>
      </c>
      <c r="E9005" t="s">
        <v>35</v>
      </c>
      <c r="F9005" t="s">
        <v>96</v>
      </c>
      <c r="G9005" t="str">
        <f t="shared" si="371"/>
        <v>019TABATHA</v>
      </c>
      <c r="H9005" s="5">
        <f>VLOOKUP(G9005,[8]Astroflores!$G$2:$H$110,2,FALSE)</f>
        <v>3540</v>
      </c>
      <c r="I9005" s="6">
        <v>1188</v>
      </c>
      <c r="J9005" s="5">
        <v>9000</v>
      </c>
      <c r="K9005" s="6">
        <f t="shared" si="370"/>
        <v>2.9797979797979797</v>
      </c>
    </row>
    <row r="9006" spans="1:11" hidden="1">
      <c r="A9006" s="4">
        <v>2026</v>
      </c>
      <c r="B9006">
        <v>31</v>
      </c>
      <c r="C9006" t="s">
        <v>54</v>
      </c>
      <c r="D9006" t="s">
        <v>11</v>
      </c>
      <c r="E9006" t="s">
        <v>36</v>
      </c>
      <c r="F9006" t="s">
        <v>86</v>
      </c>
      <c r="G9006" t="str">
        <f t="shared" si="371"/>
        <v>020BRIGHTON</v>
      </c>
      <c r="H9006" s="5">
        <f>VLOOKUP(G9006,[8]Astroflores!$G$2:$H$110,2,FALSE)</f>
        <v>5575</v>
      </c>
      <c r="I9006" s="6">
        <v>2732.4</v>
      </c>
      <c r="J9006" s="5">
        <v>20700</v>
      </c>
      <c r="K9006" s="6">
        <f t="shared" si="370"/>
        <v>2.0403308446786705</v>
      </c>
    </row>
    <row r="9007" spans="1:11" hidden="1">
      <c r="A9007" s="4">
        <v>2026</v>
      </c>
      <c r="B9007">
        <v>31</v>
      </c>
      <c r="C9007" t="s">
        <v>54</v>
      </c>
      <c r="D9007" t="s">
        <v>11</v>
      </c>
      <c r="E9007" t="s">
        <v>36</v>
      </c>
      <c r="F9007" t="s">
        <v>97</v>
      </c>
      <c r="G9007" t="str">
        <f t="shared" si="371"/>
        <v>020TYCOON</v>
      </c>
      <c r="H9007" s="5">
        <f>VLOOKUP(G9007,[8]Astroflores!$G$2:$H$110,2,FALSE)</f>
        <v>1290</v>
      </c>
      <c r="I9007" s="6">
        <v>673.2</v>
      </c>
      <c r="J9007" s="5">
        <v>5100</v>
      </c>
      <c r="K9007" s="6">
        <f t="shared" si="370"/>
        <v>1.9162210338680925</v>
      </c>
    </row>
    <row r="9008" spans="1:11" hidden="1">
      <c r="A9008" s="4">
        <v>2026</v>
      </c>
      <c r="B9008">
        <v>31</v>
      </c>
      <c r="C9008" t="s">
        <v>54</v>
      </c>
      <c r="D9008" t="s">
        <v>11</v>
      </c>
      <c r="E9008" t="s">
        <v>38</v>
      </c>
      <c r="F9008" t="s">
        <v>98</v>
      </c>
      <c r="G9008" t="str">
        <f t="shared" si="371"/>
        <v>021SHOW GIRL</v>
      </c>
      <c r="H9008" s="5">
        <f>VLOOKUP(G9008,[8]Astroflores!$G$2:$H$110,2,FALSE)</f>
        <v>1775</v>
      </c>
      <c r="I9008" s="6">
        <v>1100.4749999999999</v>
      </c>
      <c r="J9008" s="5">
        <v>8000</v>
      </c>
      <c r="K9008" s="6">
        <f t="shared" si="370"/>
        <v>1.6129398668756674</v>
      </c>
    </row>
    <row r="9009" spans="1:11" hidden="1">
      <c r="A9009" s="4">
        <v>2026</v>
      </c>
      <c r="B9009">
        <v>31</v>
      </c>
      <c r="C9009" t="s">
        <v>54</v>
      </c>
      <c r="D9009" t="s">
        <v>11</v>
      </c>
      <c r="E9009" t="s">
        <v>43</v>
      </c>
      <c r="F9009" t="s">
        <v>99</v>
      </c>
      <c r="G9009" t="str">
        <f t="shared" si="371"/>
        <v>022CORAL REEF</v>
      </c>
      <c r="H9009" s="5">
        <f>VLOOKUP(G9009,[8]Astroflores!$G$2:$H$110,2,FALSE)</f>
        <v>2625</v>
      </c>
      <c r="I9009" s="6">
        <v>1287</v>
      </c>
      <c r="J9009" s="5">
        <v>9400</v>
      </c>
      <c r="K9009" s="6">
        <f t="shared" si="370"/>
        <v>2.0396270396270397</v>
      </c>
    </row>
    <row r="9010" spans="1:11" hidden="1">
      <c r="A9010" s="4">
        <v>2026</v>
      </c>
      <c r="B9010">
        <v>31</v>
      </c>
      <c r="C9010" t="s">
        <v>54</v>
      </c>
      <c r="D9010" t="s">
        <v>11</v>
      </c>
      <c r="E9010" t="s">
        <v>100</v>
      </c>
      <c r="F9010" t="s">
        <v>70</v>
      </c>
      <c r="G9010" t="str">
        <f t="shared" si="371"/>
        <v>023COTOPAXI</v>
      </c>
      <c r="H9010" s="5">
        <f>VLOOKUP(G9010,[8]Astroflores!$G$2:$H$110,2,FALSE)</f>
        <v>8760</v>
      </c>
      <c r="I9010" s="6">
        <v>2641.14</v>
      </c>
      <c r="J9010" s="5">
        <v>19200</v>
      </c>
      <c r="K9010" s="6">
        <f t="shared" si="370"/>
        <v>3.3167495854063018</v>
      </c>
    </row>
    <row r="9011" spans="1:11" hidden="1">
      <c r="A9011" s="4">
        <v>2026</v>
      </c>
      <c r="B9011">
        <v>31</v>
      </c>
      <c r="C9011" t="s">
        <v>54</v>
      </c>
      <c r="D9011" t="s">
        <v>11</v>
      </c>
      <c r="E9011" t="s">
        <v>100</v>
      </c>
      <c r="F9011" t="s">
        <v>101</v>
      </c>
      <c r="G9011" t="str">
        <f t="shared" si="371"/>
        <v>023FRUTTETO</v>
      </c>
      <c r="H9011" s="5">
        <f>VLOOKUP(G9011,[8]Astroflores!$G$2:$H$110,2,FALSE)</f>
        <v>5040</v>
      </c>
      <c r="I9011" s="6">
        <v>2641.14</v>
      </c>
      <c r="J9011" s="5">
        <v>19200</v>
      </c>
      <c r="K9011" s="6">
        <f t="shared" si="370"/>
        <v>1.9082668847543107</v>
      </c>
    </row>
    <row r="9012" spans="1:11" hidden="1">
      <c r="A9012" s="4">
        <v>2026</v>
      </c>
      <c r="B9012">
        <v>31</v>
      </c>
      <c r="C9012" t="s">
        <v>54</v>
      </c>
      <c r="D9012" t="s">
        <v>11</v>
      </c>
      <c r="E9012" t="s">
        <v>102</v>
      </c>
      <c r="F9012" t="s">
        <v>70</v>
      </c>
      <c r="G9012" t="str">
        <f t="shared" si="371"/>
        <v>024COTOPAXI</v>
      </c>
      <c r="H9012" s="5">
        <f>VLOOKUP(G9012,[8]Astroflores!$G$2:$H$110,2,FALSE)</f>
        <v>4050</v>
      </c>
      <c r="I9012" s="6">
        <v>1430.6174906250001</v>
      </c>
      <c r="J9012" s="5">
        <v>10400</v>
      </c>
      <c r="K9012" s="6">
        <f t="shared" si="370"/>
        <v>2.8309453970331782</v>
      </c>
    </row>
    <row r="9013" spans="1:11" hidden="1">
      <c r="A9013" s="4">
        <v>2026</v>
      </c>
      <c r="B9013">
        <v>31</v>
      </c>
      <c r="C9013" t="s">
        <v>54</v>
      </c>
      <c r="D9013" t="s">
        <v>11</v>
      </c>
      <c r="E9013" t="s">
        <v>102</v>
      </c>
      <c r="F9013" t="s">
        <v>64</v>
      </c>
      <c r="G9013" t="str">
        <f t="shared" si="371"/>
        <v>024SWEETNESS</v>
      </c>
      <c r="H9013" s="5">
        <f>VLOOKUP(G9013,[8]Astroflores!$G$2:$H$110,2,FALSE)</f>
        <v>2340</v>
      </c>
      <c r="I9013" s="6">
        <v>1430.6175000000001</v>
      </c>
      <c r="J9013" s="5">
        <v>10400</v>
      </c>
      <c r="K9013" s="6">
        <f t="shared" si="370"/>
        <v>1.635657329789409</v>
      </c>
    </row>
    <row r="9014" spans="1:11" hidden="1">
      <c r="A9014" s="4">
        <v>2026</v>
      </c>
      <c r="B9014">
        <v>31</v>
      </c>
      <c r="C9014" t="s">
        <v>54</v>
      </c>
      <c r="D9014" t="s">
        <v>11</v>
      </c>
      <c r="E9014" t="s">
        <v>102</v>
      </c>
      <c r="F9014" t="s">
        <v>97</v>
      </c>
      <c r="G9014" t="str">
        <f t="shared" si="371"/>
        <v>024TYCOON</v>
      </c>
      <c r="H9014" s="5">
        <f>VLOOKUP(G9014,[8]Astroflores!$G$2:$H$110,2,FALSE)</f>
        <v>4290</v>
      </c>
      <c r="I9014" s="6">
        <v>2861.2350000000001</v>
      </c>
      <c r="J9014" s="5">
        <v>20800</v>
      </c>
      <c r="K9014" s="6">
        <f t="shared" si="370"/>
        <v>1.4993525523069582</v>
      </c>
    </row>
    <row r="9015" spans="1:11" hidden="1">
      <c r="A9015" s="4">
        <v>2026</v>
      </c>
      <c r="B9015">
        <v>31</v>
      </c>
      <c r="C9015" t="s">
        <v>54</v>
      </c>
      <c r="D9015" t="s">
        <v>11</v>
      </c>
      <c r="E9015" t="s">
        <v>103</v>
      </c>
      <c r="F9015" t="s">
        <v>104</v>
      </c>
      <c r="G9015" t="str">
        <f t="shared" si="371"/>
        <v>025PINK MONDIAL</v>
      </c>
      <c r="H9015" s="5">
        <f>VLOOKUP(G9015,[8]Astroflores!$G$2:$H$110,2,FALSE)</f>
        <v>6400</v>
      </c>
      <c r="I9015" s="6">
        <v>3071.9505625000002</v>
      </c>
      <c r="J9015" s="5">
        <v>22400</v>
      </c>
      <c r="K9015" s="6">
        <f t="shared" si="370"/>
        <v>2.0833668608233014</v>
      </c>
    </row>
    <row r="9016" spans="1:11" hidden="1">
      <c r="A9016" s="4">
        <v>2026</v>
      </c>
      <c r="B9016">
        <v>31</v>
      </c>
      <c r="C9016" t="s">
        <v>54</v>
      </c>
      <c r="D9016" t="s">
        <v>11</v>
      </c>
      <c r="E9016" t="s">
        <v>45</v>
      </c>
      <c r="F9016" t="s">
        <v>105</v>
      </c>
      <c r="G9016" t="str">
        <f t="shared" si="371"/>
        <v>026LOLA</v>
      </c>
      <c r="H9016" s="5">
        <f>VLOOKUP(G9016,[8]Astroflores!$G$2:$H$110,2,FALSE)</f>
        <v>3625</v>
      </c>
      <c r="I9016" s="6">
        <v>1097.125</v>
      </c>
      <c r="J9016" s="5">
        <v>8000</v>
      </c>
      <c r="K9016" s="6">
        <f t="shared" si="370"/>
        <v>3.3040902358436823</v>
      </c>
    </row>
    <row r="9017" spans="1:11" hidden="1">
      <c r="A9017" s="4">
        <v>2026</v>
      </c>
      <c r="B9017">
        <v>31</v>
      </c>
      <c r="C9017" t="s">
        <v>54</v>
      </c>
      <c r="D9017" t="s">
        <v>11</v>
      </c>
      <c r="E9017" t="s">
        <v>45</v>
      </c>
      <c r="F9017" t="s">
        <v>106</v>
      </c>
      <c r="G9017" t="str">
        <f t="shared" si="371"/>
        <v>026PALOMA</v>
      </c>
      <c r="H9017" s="5">
        <f>VLOOKUP(G9017,[8]Astroflores!$G$2:$H$110,2,FALSE)</f>
        <v>4150</v>
      </c>
      <c r="I9017" s="6">
        <v>2852.5250000000001</v>
      </c>
      <c r="J9017" s="5">
        <v>20800</v>
      </c>
      <c r="K9017" s="6">
        <f t="shared" si="370"/>
        <v>1.4548514035810378</v>
      </c>
    </row>
    <row r="9018" spans="1:11" hidden="1">
      <c r="A9018" s="4">
        <v>2026</v>
      </c>
      <c r="B9018">
        <v>31</v>
      </c>
      <c r="C9018" t="s">
        <v>54</v>
      </c>
      <c r="D9018" t="s">
        <v>11</v>
      </c>
      <c r="E9018" t="s">
        <v>107</v>
      </c>
      <c r="F9018" t="s">
        <v>108</v>
      </c>
      <c r="G9018" t="str">
        <f t="shared" si="371"/>
        <v>027SATISFACTION</v>
      </c>
      <c r="H9018" s="5">
        <f>VLOOKUP(G9018,[8]Astroflores!$G$2:$H$110,2,FALSE)</f>
        <v>5370</v>
      </c>
      <c r="I9018" s="6">
        <v>2633.1</v>
      </c>
      <c r="J9018" s="5">
        <v>19200</v>
      </c>
      <c r="K9018" s="6">
        <f t="shared" si="370"/>
        <v>2.0394212145379971</v>
      </c>
    </row>
    <row r="9019" spans="1:11" hidden="1">
      <c r="A9019" s="4">
        <v>2026</v>
      </c>
      <c r="B9019">
        <v>31</v>
      </c>
      <c r="C9019" t="s">
        <v>54</v>
      </c>
      <c r="D9019" t="s">
        <v>11</v>
      </c>
      <c r="E9019" t="s">
        <v>107</v>
      </c>
      <c r="F9019" t="s">
        <v>109</v>
      </c>
      <c r="G9019" t="str">
        <f t="shared" si="371"/>
        <v>027TIFFANY</v>
      </c>
      <c r="H9019" s="5">
        <f>VLOOKUP(G9019,[8]Astroflores!$G$2:$H$110,2,FALSE)</f>
        <v>5910</v>
      </c>
      <c r="I9019" s="6">
        <v>2633.1</v>
      </c>
      <c r="J9019" s="5">
        <v>19200</v>
      </c>
      <c r="K9019" s="6">
        <f t="shared" si="370"/>
        <v>2.2445026774524326</v>
      </c>
    </row>
    <row r="9020" spans="1:11" hidden="1">
      <c r="A9020" s="4">
        <v>2026</v>
      </c>
      <c r="B9020">
        <v>31</v>
      </c>
      <c r="C9020" t="s">
        <v>54</v>
      </c>
      <c r="D9020" t="s">
        <v>11</v>
      </c>
      <c r="E9020" t="s">
        <v>110</v>
      </c>
      <c r="F9020" t="s">
        <v>70</v>
      </c>
      <c r="G9020" t="str">
        <f t="shared" si="371"/>
        <v>028COTOPAXI</v>
      </c>
      <c r="H9020" s="5">
        <f>VLOOKUP(G9020,[8]Astroflores!$G$2:$H$110,2,FALSE)</f>
        <v>7230</v>
      </c>
      <c r="I9020" s="6">
        <v>2852.5250000000001</v>
      </c>
      <c r="J9020" s="5">
        <v>20800</v>
      </c>
      <c r="K9020" s="6">
        <f t="shared" ref="K9020:K9058" si="372">+H9020/I9020</f>
        <v>2.5345965416604588</v>
      </c>
    </row>
    <row r="9021" spans="1:11" hidden="1">
      <c r="A9021" s="4">
        <v>2026</v>
      </c>
      <c r="B9021">
        <v>31</v>
      </c>
      <c r="C9021" t="s">
        <v>54</v>
      </c>
      <c r="D9021" t="s">
        <v>11</v>
      </c>
      <c r="E9021" t="s">
        <v>110</v>
      </c>
      <c r="F9021" t="s">
        <v>67</v>
      </c>
      <c r="G9021" t="str">
        <f t="shared" si="371"/>
        <v>028DEEP PURPLE</v>
      </c>
      <c r="H9021" s="5">
        <f>VLOOKUP(G9021,[8]Astroflores!$G$2:$H$110,2,FALSE)</f>
        <v>5670</v>
      </c>
      <c r="I9021" s="6">
        <v>2852.5250000000001</v>
      </c>
      <c r="J9021" s="5">
        <v>20800</v>
      </c>
      <c r="K9021" s="6">
        <f t="shared" si="372"/>
        <v>1.9877126405552974</v>
      </c>
    </row>
    <row r="9022" spans="1:11" hidden="1">
      <c r="A9022" s="4">
        <v>2026</v>
      </c>
      <c r="B9022">
        <v>31</v>
      </c>
      <c r="C9022" t="s">
        <v>54</v>
      </c>
      <c r="D9022" t="s">
        <v>11</v>
      </c>
      <c r="E9022" t="s">
        <v>111</v>
      </c>
      <c r="F9022" t="s">
        <v>112</v>
      </c>
      <c r="G9022" t="str">
        <f t="shared" si="371"/>
        <v>029PINK FLOYD</v>
      </c>
      <c r="H9022" s="5">
        <f>VLOOKUP(G9022,[8]Astroflores!$G$2:$H$110,2,FALSE)</f>
        <v>3525</v>
      </c>
      <c r="I9022" s="6">
        <v>3071.95</v>
      </c>
      <c r="J9022" s="5">
        <v>22400</v>
      </c>
      <c r="K9022" s="6">
        <f t="shared" si="372"/>
        <v>1.1474796139260079</v>
      </c>
    </row>
    <row r="9023" spans="1:11" hidden="1">
      <c r="A9023" s="4">
        <v>2026</v>
      </c>
      <c r="B9023">
        <v>31</v>
      </c>
      <c r="C9023" t="s">
        <v>54</v>
      </c>
      <c r="D9023" t="s">
        <v>11</v>
      </c>
      <c r="E9023" t="s">
        <v>47</v>
      </c>
      <c r="F9023" t="s">
        <v>57</v>
      </c>
      <c r="G9023" t="str">
        <f t="shared" si="371"/>
        <v>030EXPLORER</v>
      </c>
      <c r="H9023" s="5">
        <f>VLOOKUP(G9023,[8]Astroflores!$G$2:$H$110,2,FALSE)</f>
        <v>2950</v>
      </c>
      <c r="I9023" s="6">
        <v>1645.6875</v>
      </c>
      <c r="J9023" s="5">
        <v>12000</v>
      </c>
      <c r="K9023" s="6">
        <f t="shared" si="372"/>
        <v>1.7925638980669174</v>
      </c>
    </row>
    <row r="9024" spans="1:11" hidden="1">
      <c r="A9024" s="4">
        <v>2026</v>
      </c>
      <c r="B9024">
        <v>32</v>
      </c>
      <c r="C9024" t="s">
        <v>10</v>
      </c>
      <c r="D9024" t="s">
        <v>11</v>
      </c>
      <c r="E9024" t="s">
        <v>12</v>
      </c>
      <c r="F9024" t="s">
        <v>13</v>
      </c>
      <c r="G9024" t="str">
        <f t="shared" ref="G9024:G9043" si="373">+E9024&amp;F9024</f>
        <v>002SOMERSET</v>
      </c>
      <c r="H9024" s="5">
        <f>VLOOKUP(G9024,[9]Astroflores!$G$2:$H$110,2,FALSE)</f>
        <v>7920</v>
      </c>
      <c r="I9024" s="6">
        <v>4121.4642855494085</v>
      </c>
      <c r="J9024" s="5">
        <v>31200</v>
      </c>
      <c r="K9024" s="6">
        <f t="shared" si="372"/>
        <v>1.9216471261849672</v>
      </c>
    </row>
    <row r="9025" spans="1:11" hidden="1">
      <c r="A9025" s="4">
        <v>2026</v>
      </c>
      <c r="B9025">
        <v>32</v>
      </c>
      <c r="C9025" t="s">
        <v>10</v>
      </c>
      <c r="D9025" t="s">
        <v>11</v>
      </c>
      <c r="E9025" t="s">
        <v>14</v>
      </c>
      <c r="F9025" t="s">
        <v>15</v>
      </c>
      <c r="G9025" t="str">
        <f t="shared" si="373"/>
        <v>004BELLINA</v>
      </c>
      <c r="H9025" s="5">
        <f>VLOOKUP(G9025,[9]Astroflores!$G$2:$H$110,2,FALSE)</f>
        <v>1755</v>
      </c>
      <c r="I9025" s="6">
        <v>1056.7857142434418</v>
      </c>
      <c r="J9025" s="5">
        <v>8000</v>
      </c>
      <c r="K9025" s="6">
        <f t="shared" si="372"/>
        <v>1.6606961812087073</v>
      </c>
    </row>
    <row r="9026" spans="1:11" hidden="1">
      <c r="A9026" s="4">
        <v>2026</v>
      </c>
      <c r="B9026">
        <v>32</v>
      </c>
      <c r="C9026" t="s">
        <v>10</v>
      </c>
      <c r="D9026" t="s">
        <v>11</v>
      </c>
      <c r="E9026" t="s">
        <v>16</v>
      </c>
      <c r="F9026" t="s">
        <v>17</v>
      </c>
      <c r="G9026" t="str">
        <f t="shared" si="373"/>
        <v>005ELBA</v>
      </c>
      <c r="H9026" s="5">
        <f>VLOOKUP(G9026,[9]Astroflores!$G$2:$H$110,2,FALSE)</f>
        <v>6300</v>
      </c>
      <c r="I9026" s="6">
        <v>2641.9642856076484</v>
      </c>
      <c r="J9026" s="5">
        <v>19996</v>
      </c>
      <c r="K9026" s="6">
        <f t="shared" si="372"/>
        <v>2.3845893884031093</v>
      </c>
    </row>
    <row r="9027" spans="1:11" hidden="1">
      <c r="A9027" s="4">
        <v>2026</v>
      </c>
      <c r="B9027">
        <v>32</v>
      </c>
      <c r="C9027" t="s">
        <v>10</v>
      </c>
      <c r="D9027" t="s">
        <v>11</v>
      </c>
      <c r="E9027" t="s">
        <v>16</v>
      </c>
      <c r="F9027" t="s">
        <v>18</v>
      </c>
      <c r="G9027" t="str">
        <f t="shared" si="373"/>
        <v>005HOT BUBBLES</v>
      </c>
      <c r="H9027" s="5">
        <f>VLOOKUP(G9027,[9]Astroflores!$G$2:$H$110,2,FALSE)</f>
        <v>1060</v>
      </c>
      <c r="I9027" s="6">
        <v>528.39285712153003</v>
      </c>
      <c r="J9027" s="5">
        <v>4000</v>
      </c>
      <c r="K9027" s="6">
        <f t="shared" si="372"/>
        <v>2.0060831362756302</v>
      </c>
    </row>
    <row r="9028" spans="1:11" hidden="1">
      <c r="A9028" s="4">
        <v>2026</v>
      </c>
      <c r="B9028">
        <v>32</v>
      </c>
      <c r="C9028" t="s">
        <v>10</v>
      </c>
      <c r="D9028" t="s">
        <v>11</v>
      </c>
      <c r="E9028" t="s">
        <v>16</v>
      </c>
      <c r="F9028" t="s">
        <v>19</v>
      </c>
      <c r="G9028" t="str">
        <f t="shared" si="373"/>
        <v>005SUSPIRO</v>
      </c>
      <c r="H9028" s="5">
        <f>VLOOKUP(G9028,[9]Astroflores!$G$2:$H$110,2,FALSE)</f>
        <v>4740</v>
      </c>
      <c r="I9028" s="6">
        <v>1902.2142856375078</v>
      </c>
      <c r="J9028" s="5">
        <v>14400</v>
      </c>
      <c r="K9028" s="6">
        <f t="shared" si="372"/>
        <v>2.4918328265058936</v>
      </c>
    </row>
    <row r="9029" spans="1:11" hidden="1">
      <c r="A9029" s="4">
        <v>2026</v>
      </c>
      <c r="B9029">
        <v>32</v>
      </c>
      <c r="C9029" t="s">
        <v>10</v>
      </c>
      <c r="D9029" t="s">
        <v>11</v>
      </c>
      <c r="E9029" t="s">
        <v>20</v>
      </c>
      <c r="F9029" t="s">
        <v>21</v>
      </c>
      <c r="G9029" t="str">
        <f t="shared" si="373"/>
        <v>007SNOW BUBBLES</v>
      </c>
      <c r="H9029" s="5">
        <f>VLOOKUP(G9029,[9]Astroflores!$G$2:$H$110,2,FALSE)</f>
        <v>880</v>
      </c>
      <c r="I9029" s="6">
        <v>634.05652706821195</v>
      </c>
      <c r="J9029" s="5">
        <v>4800</v>
      </c>
      <c r="K9029" s="6">
        <f t="shared" si="372"/>
        <v>1.3878888749383214</v>
      </c>
    </row>
    <row r="9030" spans="1:11" hidden="1">
      <c r="A9030" s="4">
        <v>2026</v>
      </c>
      <c r="B9030">
        <v>32</v>
      </c>
      <c r="C9030" t="s">
        <v>10</v>
      </c>
      <c r="D9030" t="s">
        <v>11</v>
      </c>
      <c r="E9030" t="s">
        <v>22</v>
      </c>
      <c r="F9030" t="s">
        <v>18</v>
      </c>
      <c r="G9030" t="str">
        <f t="shared" si="373"/>
        <v>009HOT BUBBLES</v>
      </c>
      <c r="H9030" s="5">
        <f>VLOOKUP(G9030,[9]Astroflores!$G$2:$H$110,2,FALSE)</f>
        <v>7560</v>
      </c>
      <c r="I9030" s="6">
        <v>4487.9999999102474</v>
      </c>
      <c r="J9030" s="5">
        <v>31740</v>
      </c>
      <c r="K9030" s="6">
        <f t="shared" si="372"/>
        <v>1.6844919786433128</v>
      </c>
    </row>
    <row r="9031" spans="1:11" hidden="1">
      <c r="A9031" s="4">
        <v>2026</v>
      </c>
      <c r="B9031">
        <v>32</v>
      </c>
      <c r="C9031" t="s">
        <v>10</v>
      </c>
      <c r="D9031" t="s">
        <v>11</v>
      </c>
      <c r="E9031" t="s">
        <v>23</v>
      </c>
      <c r="F9031" t="s">
        <v>24</v>
      </c>
      <c r="G9031" t="str">
        <f t="shared" si="373"/>
        <v>014FRUITY BUBBLES</v>
      </c>
      <c r="H9031" s="5">
        <f>VLOOKUP(G9031,[9]Astroflores!$G$2:$H$110,2,FALSE)</f>
        <v>3000</v>
      </c>
      <c r="I9031" s="6">
        <v>1702.8</v>
      </c>
      <c r="J9031" s="5">
        <v>12900</v>
      </c>
      <c r="K9031" s="6">
        <f t="shared" si="372"/>
        <v>1.7618040873854828</v>
      </c>
    </row>
    <row r="9032" spans="1:11" hidden="1">
      <c r="A9032" s="4">
        <v>2026</v>
      </c>
      <c r="B9032">
        <v>32</v>
      </c>
      <c r="C9032" t="s">
        <v>10</v>
      </c>
      <c r="D9032" t="s">
        <v>11</v>
      </c>
      <c r="E9032" t="s">
        <v>25</v>
      </c>
      <c r="F9032" t="s">
        <v>26</v>
      </c>
      <c r="G9032" t="str">
        <f t="shared" si="373"/>
        <v>015FELLINI</v>
      </c>
      <c r="H9032" s="5">
        <f>VLOOKUP(G9032,[9]Astroflores!$G$2:$H$110,2,FALSE)</f>
        <v>6280</v>
      </c>
      <c r="I9032" s="6">
        <v>3009.6</v>
      </c>
      <c r="J9032" s="5">
        <v>22800</v>
      </c>
      <c r="K9032" s="6">
        <f t="shared" si="372"/>
        <v>2.0866560340244553</v>
      </c>
    </row>
    <row r="9033" spans="1:11" hidden="1">
      <c r="A9033" s="4">
        <v>2026</v>
      </c>
      <c r="B9033">
        <v>32</v>
      </c>
      <c r="C9033" t="s">
        <v>10</v>
      </c>
      <c r="D9033" t="s">
        <v>11</v>
      </c>
      <c r="E9033" t="s">
        <v>27</v>
      </c>
      <c r="F9033" t="s">
        <v>28</v>
      </c>
      <c r="G9033" t="str">
        <f t="shared" si="373"/>
        <v>016GOOD PEACH</v>
      </c>
      <c r="H9033" s="5">
        <f>VLOOKUP(G9033,[9]Astroflores!$G$2:$H$110,2,FALSE)</f>
        <v>3540</v>
      </c>
      <c r="I9033" s="6">
        <v>1386</v>
      </c>
      <c r="J9033" s="5">
        <v>10500</v>
      </c>
      <c r="K9033" s="6">
        <f t="shared" si="372"/>
        <v>2.554112554112554</v>
      </c>
    </row>
    <row r="9034" spans="1:11" hidden="1">
      <c r="A9034" s="4">
        <v>2026</v>
      </c>
      <c r="B9034">
        <v>32</v>
      </c>
      <c r="C9034" t="s">
        <v>10</v>
      </c>
      <c r="D9034" t="s">
        <v>11</v>
      </c>
      <c r="E9034" t="s">
        <v>27</v>
      </c>
      <c r="F9034" t="s">
        <v>29</v>
      </c>
      <c r="G9034" t="str">
        <f t="shared" si="373"/>
        <v>016GOOD YELLOW</v>
      </c>
      <c r="H9034" s="5">
        <f>VLOOKUP(G9034,[9]Astroflores!$G$2:$H$110,2,FALSE)</f>
        <v>4260</v>
      </c>
      <c r="I9034" s="6">
        <v>1386</v>
      </c>
      <c r="J9034" s="5">
        <v>10500</v>
      </c>
      <c r="K9034" s="6">
        <f t="shared" si="372"/>
        <v>3.0735930735930737</v>
      </c>
    </row>
    <row r="9035" spans="1:11" hidden="1">
      <c r="A9035" s="4">
        <v>2026</v>
      </c>
      <c r="B9035">
        <v>32</v>
      </c>
      <c r="C9035" t="s">
        <v>10</v>
      </c>
      <c r="D9035" t="s">
        <v>11</v>
      </c>
      <c r="E9035" t="s">
        <v>30</v>
      </c>
      <c r="F9035" t="s">
        <v>31</v>
      </c>
      <c r="G9035" t="str">
        <f t="shared" si="373"/>
        <v>017ORANGE STAR</v>
      </c>
      <c r="H9035" s="5">
        <f>VLOOKUP(G9035,[9]Astroflores!$G$2:$H$110,2,FALSE)</f>
        <v>1175</v>
      </c>
      <c r="I9035" s="6">
        <v>1029.5999999999999</v>
      </c>
      <c r="J9035" s="5">
        <v>7800</v>
      </c>
      <c r="K9035" s="6">
        <f t="shared" si="372"/>
        <v>1.1412198912198914</v>
      </c>
    </row>
    <row r="9036" spans="1:11" hidden="1">
      <c r="A9036" s="4">
        <v>2026</v>
      </c>
      <c r="B9036">
        <v>32</v>
      </c>
      <c r="C9036" t="s">
        <v>10</v>
      </c>
      <c r="D9036" t="s">
        <v>11</v>
      </c>
      <c r="E9036" t="s">
        <v>32</v>
      </c>
      <c r="F9036" t="s">
        <v>33</v>
      </c>
      <c r="G9036" t="str">
        <f t="shared" si="373"/>
        <v>018COSMO</v>
      </c>
      <c r="H9036" s="5">
        <f>VLOOKUP(G9036,[9]Astroflores!$G$2:$H$110,2,FALSE)</f>
        <v>3775</v>
      </c>
      <c r="I9036" s="6">
        <v>2653.2</v>
      </c>
      <c r="J9036" s="5">
        <v>20100</v>
      </c>
      <c r="K9036" s="6">
        <f t="shared" si="372"/>
        <v>1.422810191466908</v>
      </c>
    </row>
    <row r="9037" spans="1:11" hidden="1">
      <c r="A9037" s="4">
        <v>2026</v>
      </c>
      <c r="B9037">
        <v>32</v>
      </c>
      <c r="C9037" t="s">
        <v>10</v>
      </c>
      <c r="D9037" t="s">
        <v>11</v>
      </c>
      <c r="E9037" t="s">
        <v>32</v>
      </c>
      <c r="F9037" t="s">
        <v>34</v>
      </c>
      <c r="G9037" t="str">
        <f t="shared" si="373"/>
        <v>018RUBICON</v>
      </c>
      <c r="H9037" s="5">
        <f>VLOOKUP(G9037,[9]Astroflores!$G$2:$H$110,2,FALSE)</f>
        <v>3630</v>
      </c>
      <c r="I9037" s="6">
        <v>1768.8</v>
      </c>
      <c r="J9037" s="5">
        <v>13400</v>
      </c>
      <c r="K9037" s="6">
        <f t="shared" si="372"/>
        <v>2.0522388059701493</v>
      </c>
    </row>
    <row r="9038" spans="1:11" hidden="1">
      <c r="A9038" s="4">
        <v>2026</v>
      </c>
      <c r="B9038">
        <v>32</v>
      </c>
      <c r="C9038" t="s">
        <v>10</v>
      </c>
      <c r="D9038" t="s">
        <v>11</v>
      </c>
      <c r="E9038" t="s">
        <v>35</v>
      </c>
      <c r="F9038" t="s">
        <v>15</v>
      </c>
      <c r="G9038" t="str">
        <f t="shared" si="373"/>
        <v>019BELLINA</v>
      </c>
      <c r="H9038" s="5">
        <f>VLOOKUP(G9038,[9]Astroflores!$G$2:$H$110,2,FALSE)</f>
        <v>2340</v>
      </c>
      <c r="I9038" s="6">
        <v>1029.5999999999999</v>
      </c>
      <c r="J9038" s="5">
        <v>7800</v>
      </c>
      <c r="K9038" s="6">
        <f t="shared" si="372"/>
        <v>2.2727272727272729</v>
      </c>
    </row>
    <row r="9039" spans="1:11" hidden="1">
      <c r="A9039" s="4">
        <v>2026</v>
      </c>
      <c r="B9039">
        <v>32</v>
      </c>
      <c r="C9039" t="s">
        <v>10</v>
      </c>
      <c r="D9039" t="s">
        <v>11</v>
      </c>
      <c r="E9039" t="s">
        <v>36</v>
      </c>
      <c r="F9039" t="s">
        <v>37</v>
      </c>
      <c r="G9039" t="str">
        <f t="shared" si="373"/>
        <v>020SUMMER DANCE</v>
      </c>
      <c r="H9039" s="5">
        <f>VLOOKUP(G9039,[9]Astroflores!$G$2:$H$110,2,FALSE)</f>
        <v>3125</v>
      </c>
      <c r="I9039" s="6">
        <v>1346.4</v>
      </c>
      <c r="J9039" s="5">
        <v>10200</v>
      </c>
      <c r="K9039" s="6">
        <f t="shared" si="372"/>
        <v>2.321004159239453</v>
      </c>
    </row>
    <row r="9040" spans="1:11" hidden="1">
      <c r="A9040" s="4">
        <v>2026</v>
      </c>
      <c r="B9040">
        <v>32</v>
      </c>
      <c r="C9040" t="s">
        <v>10</v>
      </c>
      <c r="D9040" t="s">
        <v>11</v>
      </c>
      <c r="E9040" t="s">
        <v>38</v>
      </c>
      <c r="F9040" t="s">
        <v>39</v>
      </c>
      <c r="G9040" t="str">
        <f t="shared" si="373"/>
        <v>021ELEGANT ROSEVER</v>
      </c>
      <c r="H9040" s="5">
        <f>VLOOKUP(G9040,[9]Astroflores!$G$2:$H$110,2,FALSE)</f>
        <v>690</v>
      </c>
      <c r="I9040" s="6">
        <v>440.18999062500001</v>
      </c>
      <c r="J9040" s="5">
        <v>3200</v>
      </c>
      <c r="K9040" s="6">
        <f t="shared" si="372"/>
        <v>1.5675049744323113</v>
      </c>
    </row>
    <row r="9041" spans="1:11" hidden="1">
      <c r="A9041" s="4">
        <v>2026</v>
      </c>
      <c r="B9041">
        <v>32</v>
      </c>
      <c r="C9041" t="s">
        <v>10</v>
      </c>
      <c r="D9041" t="s">
        <v>11</v>
      </c>
      <c r="E9041" t="s">
        <v>38</v>
      </c>
      <c r="F9041" t="s">
        <v>40</v>
      </c>
      <c r="G9041" t="str">
        <f t="shared" si="373"/>
        <v>021FLAME CLUB</v>
      </c>
      <c r="H9041" s="5">
        <f>VLOOKUP(G9041,[9]Astroflores!$G$2:$H$110,2,FALSE)</f>
        <v>1650</v>
      </c>
      <c r="I9041" s="6">
        <v>880.38</v>
      </c>
      <c r="J9041" s="5">
        <v>6400</v>
      </c>
      <c r="K9041" s="6">
        <f t="shared" si="372"/>
        <v>1.874190690383698</v>
      </c>
    </row>
    <row r="9042" spans="1:11" hidden="1">
      <c r="A9042" s="4">
        <v>2026</v>
      </c>
      <c r="B9042">
        <v>32</v>
      </c>
      <c r="C9042" t="s">
        <v>10</v>
      </c>
      <c r="D9042" t="s">
        <v>11</v>
      </c>
      <c r="E9042" t="s">
        <v>38</v>
      </c>
      <c r="F9042" t="s">
        <v>41</v>
      </c>
      <c r="G9042" t="str">
        <f t="shared" si="373"/>
        <v>021KELLY</v>
      </c>
      <c r="H9042" s="5">
        <f>VLOOKUP(G9042,[9]Astroflores!$G$2:$H$110,2,FALSE)</f>
        <v>525</v>
      </c>
      <c r="I9042" s="6">
        <v>330.14249999999998</v>
      </c>
      <c r="J9042" s="5">
        <v>2400</v>
      </c>
      <c r="K9042" s="6">
        <f t="shared" si="372"/>
        <v>1.5902224039619257</v>
      </c>
    </row>
    <row r="9043" spans="1:11" hidden="1">
      <c r="A9043" s="4">
        <v>2026</v>
      </c>
      <c r="B9043">
        <v>32</v>
      </c>
      <c r="C9043" t="s">
        <v>10</v>
      </c>
      <c r="D9043" t="s">
        <v>11</v>
      </c>
      <c r="E9043" t="s">
        <v>38</v>
      </c>
      <c r="F9043" t="s">
        <v>42</v>
      </c>
      <c r="G9043" t="str">
        <f t="shared" si="373"/>
        <v>021LEILA</v>
      </c>
      <c r="H9043" s="5">
        <f>VLOOKUP(G9043,[9]Astroflores!$G$2:$H$110,2,FALSE)</f>
        <v>1475</v>
      </c>
      <c r="I9043" s="6">
        <v>1650.7125000000001</v>
      </c>
      <c r="J9043" s="5">
        <v>12000</v>
      </c>
      <c r="K9043" s="6">
        <f t="shared" si="372"/>
        <v>0.89355354127384379</v>
      </c>
    </row>
    <row r="9044" spans="1:11" hidden="1">
      <c r="A9044" s="4">
        <v>2026</v>
      </c>
      <c r="B9044">
        <v>32</v>
      </c>
      <c r="C9044" t="s">
        <v>10</v>
      </c>
      <c r="D9044" t="s">
        <v>11</v>
      </c>
      <c r="E9044" t="s">
        <v>38</v>
      </c>
      <c r="F9044" t="s">
        <v>21</v>
      </c>
      <c r="G9044" t="str">
        <f t="shared" ref="G9044:G9106" si="374">+E9044&amp;F9044</f>
        <v>021SNOW BUBBLES</v>
      </c>
      <c r="H9044" s="5">
        <f>VLOOKUP(G9044,[9]Astroflores!$G$2:$H$110,2,FALSE)</f>
        <v>3520</v>
      </c>
      <c r="I9044" s="6">
        <v>1287.0000000000018</v>
      </c>
      <c r="J9044" s="5">
        <v>9400</v>
      </c>
      <c r="K9044" s="6">
        <f t="shared" si="372"/>
        <v>2.7350427350427311</v>
      </c>
    </row>
    <row r="9045" spans="1:11" hidden="1">
      <c r="A9045" s="4">
        <v>2026</v>
      </c>
      <c r="B9045">
        <v>32</v>
      </c>
      <c r="C9045" t="s">
        <v>10</v>
      </c>
      <c r="D9045" t="s">
        <v>11</v>
      </c>
      <c r="E9045" t="s">
        <v>43</v>
      </c>
      <c r="F9045" t="s">
        <v>24</v>
      </c>
      <c r="G9045" t="str">
        <f t="shared" si="374"/>
        <v>022FRUITY BUBBLES</v>
      </c>
      <c r="H9045" s="5">
        <f>VLOOKUP(G9045,[9]Astroflores!$G$2:$H$110,2,FALSE)</f>
        <v>4700</v>
      </c>
      <c r="I9045" s="6">
        <v>2641.14</v>
      </c>
      <c r="J9045" s="5">
        <v>19200</v>
      </c>
      <c r="K9045" s="6">
        <f t="shared" si="372"/>
        <v>1.7795345949097738</v>
      </c>
    </row>
    <row r="9046" spans="1:11" hidden="1">
      <c r="A9046" s="4">
        <v>2026</v>
      </c>
      <c r="B9046">
        <v>32</v>
      </c>
      <c r="C9046" t="s">
        <v>10</v>
      </c>
      <c r="D9046" t="s">
        <v>11</v>
      </c>
      <c r="E9046" t="s">
        <v>43</v>
      </c>
      <c r="F9046" t="s">
        <v>28</v>
      </c>
      <c r="G9046" t="str">
        <f t="shared" si="374"/>
        <v>022GOOD PEACH</v>
      </c>
      <c r="H9046" s="5">
        <f>VLOOKUP(G9046,[9]Astroflores!$G$2:$H$110,2,FALSE)</f>
        <v>2790</v>
      </c>
      <c r="I9046" s="6">
        <v>880.38</v>
      </c>
      <c r="J9046" s="5">
        <v>6400</v>
      </c>
      <c r="K9046" s="6">
        <f t="shared" si="372"/>
        <v>3.1690860764669804</v>
      </c>
    </row>
    <row r="9047" spans="1:11" hidden="1">
      <c r="A9047" s="4">
        <v>2026</v>
      </c>
      <c r="B9047">
        <v>32</v>
      </c>
      <c r="C9047" t="s">
        <v>10</v>
      </c>
      <c r="D9047" t="s">
        <v>11</v>
      </c>
      <c r="E9047" t="s">
        <v>43</v>
      </c>
      <c r="F9047" t="s">
        <v>44</v>
      </c>
      <c r="G9047" t="str">
        <f t="shared" si="374"/>
        <v>022MIRABEL</v>
      </c>
      <c r="H9047" s="5">
        <f>VLOOKUP(G9047,[9]Astroflores!$G$2:$H$110,2,FALSE)</f>
        <v>2280</v>
      </c>
      <c r="I9047" s="6">
        <v>880.38</v>
      </c>
      <c r="J9047" s="5">
        <v>6400</v>
      </c>
      <c r="K9047" s="6">
        <f t="shared" si="372"/>
        <v>2.5897907721665643</v>
      </c>
    </row>
    <row r="9048" spans="1:11" hidden="1">
      <c r="A9048" s="4">
        <v>2026</v>
      </c>
      <c r="B9048">
        <v>32</v>
      </c>
      <c r="C9048" t="s">
        <v>10</v>
      </c>
      <c r="D9048" t="s">
        <v>11</v>
      </c>
      <c r="E9048" t="s">
        <v>45</v>
      </c>
      <c r="F9048" t="s">
        <v>46</v>
      </c>
      <c r="G9048" t="str">
        <f t="shared" si="374"/>
        <v>026PURPLE BUBBLY</v>
      </c>
      <c r="H9048" s="5" t="e">
        <f>VLOOKUP(G9048,[9]Astroflores!$G$2:$H$110,2,FALSE)</f>
        <v>#N/A</v>
      </c>
      <c r="I9048" s="6">
        <v>1755.4</v>
      </c>
      <c r="J9048" s="5">
        <v>12800</v>
      </c>
      <c r="K9048" s="6" t="e">
        <f t="shared" si="372"/>
        <v>#N/A</v>
      </c>
    </row>
    <row r="9049" spans="1:11" hidden="1">
      <c r="A9049" s="4">
        <v>2026</v>
      </c>
      <c r="B9049">
        <v>32</v>
      </c>
      <c r="C9049" t="s">
        <v>10</v>
      </c>
      <c r="D9049" t="s">
        <v>11</v>
      </c>
      <c r="E9049" t="s">
        <v>47</v>
      </c>
      <c r="F9049" t="s">
        <v>44</v>
      </c>
      <c r="G9049" t="str">
        <f t="shared" si="374"/>
        <v>030MIRABEL</v>
      </c>
      <c r="H9049" s="5">
        <f>VLOOKUP(G9049,[9]Astroflores!$G$2:$H$110,2,FALSE)</f>
        <v>5660</v>
      </c>
      <c r="I9049" s="6">
        <v>2413.6749943750001</v>
      </c>
      <c r="J9049" s="5">
        <v>17600</v>
      </c>
      <c r="K9049" s="6">
        <f t="shared" si="372"/>
        <v>2.3449718844461107</v>
      </c>
    </row>
    <row r="9050" spans="1:11" hidden="1">
      <c r="A9050" s="4">
        <v>2026</v>
      </c>
      <c r="B9050">
        <v>32</v>
      </c>
      <c r="C9050" t="s">
        <v>10</v>
      </c>
      <c r="D9050" t="s">
        <v>11</v>
      </c>
      <c r="E9050" t="s">
        <v>47</v>
      </c>
      <c r="F9050" t="s">
        <v>13</v>
      </c>
      <c r="G9050" t="str">
        <f t="shared" si="374"/>
        <v>030SOMERSET</v>
      </c>
      <c r="H9050" s="5">
        <f>VLOOKUP(G9050,[9]Astroflores!$G$2:$H$110,2,FALSE)</f>
        <v>3215</v>
      </c>
      <c r="I9050" s="6">
        <v>1645.6875</v>
      </c>
      <c r="J9050" s="5">
        <v>12000</v>
      </c>
      <c r="K9050" s="6">
        <f t="shared" si="372"/>
        <v>1.953590824503437</v>
      </c>
    </row>
    <row r="9051" spans="1:11" hidden="1">
      <c r="A9051" s="4">
        <v>2026</v>
      </c>
      <c r="B9051">
        <v>32</v>
      </c>
      <c r="C9051" t="s">
        <v>10</v>
      </c>
      <c r="D9051" t="s">
        <v>11</v>
      </c>
      <c r="E9051" t="s">
        <v>48</v>
      </c>
      <c r="F9051" t="s">
        <v>49</v>
      </c>
      <c r="G9051" t="str">
        <f t="shared" si="374"/>
        <v>03182989</v>
      </c>
      <c r="H9051" s="5">
        <f>VLOOKUP(G9051,[9]Astroflores!$G$2:$H$110,2,FALSE)</f>
        <v>740</v>
      </c>
      <c r="I9051" s="6">
        <v>726.32013058333712</v>
      </c>
      <c r="J9051" s="5">
        <v>5712</v>
      </c>
      <c r="K9051" s="6">
        <f t="shared" si="372"/>
        <v>1.0188344902483648</v>
      </c>
    </row>
    <row r="9052" spans="1:11" hidden="1">
      <c r="A9052" s="4">
        <v>2026</v>
      </c>
      <c r="B9052">
        <v>32</v>
      </c>
      <c r="C9052" t="s">
        <v>10</v>
      </c>
      <c r="D9052" t="s">
        <v>11</v>
      </c>
      <c r="E9052" t="s">
        <v>48</v>
      </c>
      <c r="F9052" t="s">
        <v>34</v>
      </c>
      <c r="G9052" t="str">
        <f t="shared" si="374"/>
        <v>031RUBICON</v>
      </c>
      <c r="H9052" s="5">
        <f>VLOOKUP(G9052,[9]Astroflores!$G$2:$H$110,2,FALSE)</f>
        <v>1800</v>
      </c>
      <c r="I9052" s="6">
        <v>924.39958333667107</v>
      </c>
      <c r="J9052" s="5">
        <v>6720</v>
      </c>
      <c r="K9052" s="6">
        <f t="shared" si="372"/>
        <v>1.9472098781165621</v>
      </c>
    </row>
    <row r="9053" spans="1:11" hidden="1">
      <c r="A9053" s="4">
        <v>2026</v>
      </c>
      <c r="B9053">
        <v>32</v>
      </c>
      <c r="C9053" t="s">
        <v>10</v>
      </c>
      <c r="D9053" t="s">
        <v>11</v>
      </c>
      <c r="E9053" t="s">
        <v>48</v>
      </c>
      <c r="F9053" t="s">
        <v>13</v>
      </c>
      <c r="G9053" t="str">
        <f t="shared" si="374"/>
        <v>031SOMERSET</v>
      </c>
      <c r="H9053" s="5">
        <f>VLOOKUP(G9053,[9]Astroflores!$G$2:$H$110,2,FALSE)</f>
        <v>1520</v>
      </c>
      <c r="I9053" s="6">
        <v>1122.485208333339</v>
      </c>
      <c r="J9053" s="5">
        <v>8160</v>
      </c>
      <c r="K9053" s="6">
        <f t="shared" si="372"/>
        <v>1.3541381113225441</v>
      </c>
    </row>
    <row r="9054" spans="1:11" hidden="1">
      <c r="A9054" s="4">
        <v>2026</v>
      </c>
      <c r="B9054">
        <v>32</v>
      </c>
      <c r="C9054" t="s">
        <v>10</v>
      </c>
      <c r="D9054" t="s">
        <v>11</v>
      </c>
      <c r="E9054" t="s">
        <v>48</v>
      </c>
      <c r="F9054" t="s">
        <v>50</v>
      </c>
      <c r="G9054" t="str">
        <f t="shared" si="374"/>
        <v>031VELVET BLOSSOMS</v>
      </c>
      <c r="H9054" s="5">
        <f>VLOOKUP(G9054,[9]Astroflores!$G$2:$H$110,2,FALSE)</f>
        <v>740</v>
      </c>
      <c r="I9054" s="6">
        <v>396.17125000000198</v>
      </c>
      <c r="J9054" s="5">
        <v>2880</v>
      </c>
      <c r="K9054" s="6">
        <f t="shared" si="372"/>
        <v>1.8678791053111408</v>
      </c>
    </row>
    <row r="9055" spans="1:11" hidden="1">
      <c r="A9055" s="4">
        <v>2026</v>
      </c>
      <c r="B9055">
        <v>32</v>
      </c>
      <c r="C9055" t="s">
        <v>10</v>
      </c>
      <c r="D9055" t="s">
        <v>11</v>
      </c>
      <c r="E9055" t="s">
        <v>51</v>
      </c>
      <c r="F9055" t="s">
        <v>17</v>
      </c>
      <c r="G9055" t="str">
        <f t="shared" si="374"/>
        <v>032ELBA</v>
      </c>
      <c r="H9055" s="5">
        <f>VLOOKUP(G9055,[9]Astroflores!$G$2:$H$110,2,FALSE)</f>
        <v>2130</v>
      </c>
      <c r="I9055" s="6">
        <v>1535.9749999999999</v>
      </c>
      <c r="J9055" s="5">
        <v>11200</v>
      </c>
      <c r="K9055" s="6">
        <f t="shared" si="372"/>
        <v>1.3867413206595161</v>
      </c>
    </row>
    <row r="9056" spans="1:11" hidden="1">
      <c r="A9056" s="4">
        <v>2026</v>
      </c>
      <c r="B9056">
        <v>32</v>
      </c>
      <c r="C9056" t="s">
        <v>10</v>
      </c>
      <c r="D9056" t="s">
        <v>11</v>
      </c>
      <c r="E9056" t="s">
        <v>51</v>
      </c>
      <c r="F9056" t="s">
        <v>44</v>
      </c>
      <c r="G9056" t="str">
        <f t="shared" si="374"/>
        <v>032MIRABEL</v>
      </c>
      <c r="H9056" s="5">
        <f>VLOOKUP(G9056,[9]Astroflores!$G$2:$H$110,2,FALSE)</f>
        <v>2040</v>
      </c>
      <c r="I9056" s="6">
        <v>1535.9749999999999</v>
      </c>
      <c r="J9056" s="5">
        <v>11200</v>
      </c>
      <c r="K9056" s="6">
        <f t="shared" si="372"/>
        <v>1.3281466169696774</v>
      </c>
    </row>
    <row r="9057" spans="1:11" hidden="1">
      <c r="A9057" s="4">
        <v>2026</v>
      </c>
      <c r="B9057">
        <v>32</v>
      </c>
      <c r="C9057" t="s">
        <v>10</v>
      </c>
      <c r="D9057" t="s">
        <v>11</v>
      </c>
      <c r="E9057" t="s">
        <v>52</v>
      </c>
      <c r="F9057" t="s">
        <v>53</v>
      </c>
      <c r="G9057" t="str">
        <f t="shared" si="374"/>
        <v>033CREAMY FOLIES</v>
      </c>
      <c r="H9057" s="5">
        <f>VLOOKUP(G9057,[9]Astroflores!$G$2:$H$110,2,FALSE)</f>
        <v>1350</v>
      </c>
      <c r="I9057" s="6">
        <v>594.25687500000299</v>
      </c>
      <c r="J9057" s="5">
        <v>4320</v>
      </c>
      <c r="K9057" s="6">
        <f t="shared" si="372"/>
        <v>2.2717448578108468</v>
      </c>
    </row>
    <row r="9058" spans="1:11" hidden="1">
      <c r="A9058" s="4">
        <v>2026</v>
      </c>
      <c r="B9058">
        <v>32</v>
      </c>
      <c r="C9058" t="s">
        <v>10</v>
      </c>
      <c r="D9058" t="s">
        <v>11</v>
      </c>
      <c r="E9058" t="s">
        <v>52</v>
      </c>
      <c r="F9058" t="s">
        <v>18</v>
      </c>
      <c r="G9058" t="str">
        <f t="shared" si="374"/>
        <v>033HOT BUBBLES</v>
      </c>
      <c r="H9058" s="5">
        <f>VLOOKUP(G9058,[9]Astroflores!$G$2:$H$110,2,FALSE)</f>
        <v>5860</v>
      </c>
      <c r="I9058" s="6">
        <v>2575.1131250013459</v>
      </c>
      <c r="J9058" s="5">
        <v>18720</v>
      </c>
      <c r="K9058" s="6">
        <f t="shared" si="372"/>
        <v>2.2756281823529352</v>
      </c>
    </row>
    <row r="9059" spans="1:11" hidden="1">
      <c r="A9059" s="4">
        <v>2026</v>
      </c>
      <c r="B9059">
        <v>32</v>
      </c>
      <c r="C9059" t="s">
        <v>54</v>
      </c>
      <c r="D9059" t="s">
        <v>11</v>
      </c>
      <c r="E9059" t="s">
        <v>55</v>
      </c>
      <c r="F9059" t="s">
        <v>56</v>
      </c>
      <c r="G9059" t="str">
        <f t="shared" si="374"/>
        <v>001BELIEVE IN PINK</v>
      </c>
      <c r="H9059" s="5">
        <f>VLOOKUP(G9059,[9]Astroflores!$G$2:$H$110,2,FALSE)</f>
        <v>1290</v>
      </c>
      <c r="I9059" s="6">
        <v>528.37931032368999</v>
      </c>
      <c r="J9059" s="5">
        <v>4000</v>
      </c>
      <c r="K9059" s="6">
        <f t="shared" ref="K9059:K9064" si="375">IFERROR(H9059/I9059,"")</f>
        <v>2.4414279189125216</v>
      </c>
    </row>
    <row r="9060" spans="1:11" hidden="1">
      <c r="A9060" s="4">
        <v>2026</v>
      </c>
      <c r="B9060">
        <v>32</v>
      </c>
      <c r="C9060" t="s">
        <v>54</v>
      </c>
      <c r="D9060" t="s">
        <v>11</v>
      </c>
      <c r="E9060" t="s">
        <v>55</v>
      </c>
      <c r="F9060" t="s">
        <v>57</v>
      </c>
      <c r="G9060" t="str">
        <f t="shared" si="374"/>
        <v>001EXPLORER</v>
      </c>
      <c r="H9060" s="5">
        <f>VLOOKUP(G9060,[9]Astroflores!$G$2:$H$110,2,FALSE)</f>
        <v>6400</v>
      </c>
      <c r="I9060" s="6">
        <v>2272.0310343918732</v>
      </c>
      <c r="J9060" s="5">
        <v>17200</v>
      </c>
      <c r="K9060" s="6">
        <f t="shared" si="375"/>
        <v>2.8168629315017299</v>
      </c>
    </row>
    <row r="9061" spans="1:11" hidden="1">
      <c r="A9061" s="4">
        <v>2026</v>
      </c>
      <c r="B9061">
        <v>32</v>
      </c>
      <c r="C9061" t="s">
        <v>54</v>
      </c>
      <c r="D9061" t="s">
        <v>11</v>
      </c>
      <c r="E9061" t="s">
        <v>55</v>
      </c>
      <c r="F9061" t="s">
        <v>58</v>
      </c>
      <c r="G9061" t="str">
        <f t="shared" si="374"/>
        <v>001GRACE KELLY</v>
      </c>
      <c r="H9061" s="5">
        <f>VLOOKUP(G9061,[9]Astroflores!$G$2:$H$110,2,FALSE)</f>
        <v>1860</v>
      </c>
      <c r="I9061" s="6">
        <v>1162.4344827121224</v>
      </c>
      <c r="J9061" s="5">
        <v>8800</v>
      </c>
      <c r="K9061" s="6">
        <f t="shared" si="375"/>
        <v>1.6000901794141202</v>
      </c>
    </row>
    <row r="9062" spans="1:11" hidden="1">
      <c r="A9062" s="4">
        <v>2026</v>
      </c>
      <c r="B9062">
        <v>32</v>
      </c>
      <c r="C9062" t="s">
        <v>54</v>
      </c>
      <c r="D9062" t="s">
        <v>11</v>
      </c>
      <c r="E9062" t="s">
        <v>55</v>
      </c>
      <c r="F9062" t="s">
        <v>60</v>
      </c>
      <c r="G9062" t="str">
        <f t="shared" si="374"/>
        <v>001LIGHT HOUSE</v>
      </c>
      <c r="H9062" s="5">
        <f>VLOOKUP(G9062,[9]Astroflores!$G$2:$H$110,2,FALSE)</f>
        <v>2070</v>
      </c>
      <c r="I9062" s="6">
        <v>1056.7586206473827</v>
      </c>
      <c r="J9062" s="5">
        <v>8000</v>
      </c>
      <c r="K9062" s="6">
        <f t="shared" si="375"/>
        <v>1.9588200744763207</v>
      </c>
    </row>
    <row r="9063" spans="1:11" hidden="1">
      <c r="A9063" s="4">
        <v>2026</v>
      </c>
      <c r="B9063">
        <v>32</v>
      </c>
      <c r="C9063" t="s">
        <v>54</v>
      </c>
      <c r="D9063" t="s">
        <v>11</v>
      </c>
      <c r="E9063" t="s">
        <v>55</v>
      </c>
      <c r="F9063" t="s">
        <v>61</v>
      </c>
      <c r="G9063" t="str">
        <f t="shared" si="374"/>
        <v>001LUMIA</v>
      </c>
      <c r="H9063" s="5">
        <f>VLOOKUP(G9063,[9]Astroflores!$G$2:$H$110,2,FALSE)</f>
        <v>2160</v>
      </c>
      <c r="I9063" s="6">
        <v>1109.596551679753</v>
      </c>
      <c r="J9063" s="5">
        <v>8400</v>
      </c>
      <c r="K9063" s="6">
        <f t="shared" si="375"/>
        <v>1.946653490162801</v>
      </c>
    </row>
    <row r="9064" spans="1:11" hidden="1">
      <c r="A9064" s="4">
        <v>2026</v>
      </c>
      <c r="B9064">
        <v>32</v>
      </c>
      <c r="C9064" t="s">
        <v>54</v>
      </c>
      <c r="D9064" t="s">
        <v>11</v>
      </c>
      <c r="E9064" t="s">
        <v>55</v>
      </c>
      <c r="F9064" t="s">
        <v>62</v>
      </c>
      <c r="G9064" t="str">
        <f t="shared" si="374"/>
        <v>001MOMENTUM</v>
      </c>
      <c r="H9064" s="5">
        <f>VLOOKUP(G9064,[9]Astroflores!$G$2:$H$110,2,FALSE)</f>
        <v>4300</v>
      </c>
      <c r="I9064" s="6">
        <v>1902.1655171652881</v>
      </c>
      <c r="J9064" s="5">
        <v>14400</v>
      </c>
      <c r="K9064" s="6">
        <f t="shared" si="375"/>
        <v>2.2605814064004783</v>
      </c>
    </row>
    <row r="9065" spans="1:11" hidden="1">
      <c r="A9065" s="4">
        <v>2026</v>
      </c>
      <c r="B9065">
        <v>32</v>
      </c>
      <c r="C9065" t="s">
        <v>54</v>
      </c>
      <c r="D9065" t="s">
        <v>11</v>
      </c>
      <c r="E9065" t="s">
        <v>12</v>
      </c>
      <c r="F9065" t="s">
        <v>63</v>
      </c>
      <c r="G9065" t="str">
        <f t="shared" si="374"/>
        <v>002SUMMER ROMANCE</v>
      </c>
      <c r="H9065" s="5">
        <f>VLOOKUP(G9065,[9]Astroflores!$G$2:$H$110,2,FALSE)</f>
        <v>1925</v>
      </c>
      <c r="I9065" s="6">
        <v>951.10714281909407</v>
      </c>
      <c r="J9065" s="5">
        <v>7200</v>
      </c>
      <c r="K9065" s="6">
        <f t="shared" ref="K9065:K9128" si="376">+H9065/I9065</f>
        <v>2.023957042625371</v>
      </c>
    </row>
    <row r="9066" spans="1:11" hidden="1">
      <c r="A9066" s="4">
        <v>2026</v>
      </c>
      <c r="B9066">
        <v>32</v>
      </c>
      <c r="C9066" t="s">
        <v>54</v>
      </c>
      <c r="D9066" t="s">
        <v>11</v>
      </c>
      <c r="E9066" t="s">
        <v>12</v>
      </c>
      <c r="F9066" t="s">
        <v>64</v>
      </c>
      <c r="G9066" t="str">
        <f t="shared" si="374"/>
        <v>002SWEETNESS</v>
      </c>
      <c r="H9066" s="5">
        <f>VLOOKUP(G9066,[9]Astroflores!$G$2:$H$110,2,FALSE)</f>
        <v>6030</v>
      </c>
      <c r="I9066" s="6">
        <v>3804.4285712763772</v>
      </c>
      <c r="J9066" s="5">
        <v>28800</v>
      </c>
      <c r="K9066" s="6">
        <f t="shared" si="376"/>
        <v>1.5849949307832447</v>
      </c>
    </row>
    <row r="9067" spans="1:11" hidden="1">
      <c r="A9067" s="4">
        <v>2026</v>
      </c>
      <c r="B9067">
        <v>32</v>
      </c>
      <c r="C9067" t="s">
        <v>54</v>
      </c>
      <c r="D9067" t="s">
        <v>11</v>
      </c>
      <c r="E9067" t="s">
        <v>65</v>
      </c>
      <c r="F9067" t="s">
        <v>66</v>
      </c>
      <c r="G9067" t="str">
        <f t="shared" si="374"/>
        <v>003CABARET</v>
      </c>
      <c r="H9067" s="5">
        <f>VLOOKUP(G9067,[9]Astroflores!$G$2:$H$110,2,FALSE)</f>
        <v>3660</v>
      </c>
      <c r="I9067" s="6">
        <v>2641.8965516184649</v>
      </c>
      <c r="J9067" s="5">
        <v>20000</v>
      </c>
      <c r="K9067" s="6">
        <f t="shared" si="376"/>
        <v>1.3853684004991906</v>
      </c>
    </row>
    <row r="9068" spans="1:11" hidden="1">
      <c r="A9068" s="4">
        <v>2026</v>
      </c>
      <c r="B9068">
        <v>32</v>
      </c>
      <c r="C9068" t="s">
        <v>54</v>
      </c>
      <c r="D9068" t="s">
        <v>11</v>
      </c>
      <c r="E9068" t="s">
        <v>65</v>
      </c>
      <c r="F9068" t="s">
        <v>67</v>
      </c>
      <c r="G9068" t="str">
        <f t="shared" si="374"/>
        <v>003DEEP PURPLE</v>
      </c>
      <c r="H9068" s="5">
        <f>VLOOKUP(G9068,[9]Astroflores!$G$2:$H$110,2,FALSE)</f>
        <v>8340</v>
      </c>
      <c r="I9068" s="6">
        <v>3592.9793102010913</v>
      </c>
      <c r="J9068" s="5">
        <v>26044</v>
      </c>
      <c r="K9068" s="6">
        <f t="shared" si="376"/>
        <v>2.3211934386377604</v>
      </c>
    </row>
    <row r="9069" spans="1:11" hidden="1">
      <c r="A9069" s="4">
        <v>2026</v>
      </c>
      <c r="B9069">
        <v>32</v>
      </c>
      <c r="C9069" t="s">
        <v>54</v>
      </c>
      <c r="D9069" t="s">
        <v>11</v>
      </c>
      <c r="E9069" t="s">
        <v>65</v>
      </c>
      <c r="F9069" t="s">
        <v>57</v>
      </c>
      <c r="G9069" t="str">
        <f t="shared" si="374"/>
        <v>003EXPLORER</v>
      </c>
      <c r="H9069" s="5">
        <f>VLOOKUP(G9069,[9]Astroflores!$G$2:$H$110,2,FALSE)</f>
        <v>2025</v>
      </c>
      <c r="I9069" s="6">
        <v>1268.1103447768633</v>
      </c>
      <c r="J9069" s="5">
        <v>9600</v>
      </c>
      <c r="K9069" s="6">
        <f t="shared" si="376"/>
        <v>1.5968641911491694</v>
      </c>
    </row>
    <row r="9070" spans="1:11" hidden="1">
      <c r="A9070" s="4">
        <v>2026</v>
      </c>
      <c r="B9070">
        <v>32</v>
      </c>
      <c r="C9070" t="s">
        <v>54</v>
      </c>
      <c r="D9070" t="s">
        <v>11</v>
      </c>
      <c r="E9070" t="s">
        <v>65</v>
      </c>
      <c r="F9070" t="s">
        <v>68</v>
      </c>
      <c r="G9070" t="str">
        <f t="shared" si="374"/>
        <v>003JOCKER</v>
      </c>
      <c r="H9070" s="5">
        <f>VLOOKUP(G9070,[9]Astroflores!$G$2:$H$110,2,FALSE)</f>
        <v>850</v>
      </c>
      <c r="I9070" s="6">
        <v>528.37931032368999</v>
      </c>
      <c r="J9070" s="5">
        <v>4000</v>
      </c>
      <c r="K9070" s="6">
        <f t="shared" si="376"/>
        <v>1.6086928147873205</v>
      </c>
    </row>
    <row r="9071" spans="1:11" hidden="1">
      <c r="A9071" s="4">
        <v>2026</v>
      </c>
      <c r="B9071">
        <v>32</v>
      </c>
      <c r="C9071" t="s">
        <v>54</v>
      </c>
      <c r="D9071" t="s">
        <v>11</v>
      </c>
      <c r="E9071" t="s">
        <v>65</v>
      </c>
      <c r="F9071" t="s">
        <v>69</v>
      </c>
      <c r="G9071" t="str">
        <f t="shared" si="374"/>
        <v>003QUICKSAND</v>
      </c>
      <c r="H9071" s="5">
        <f>VLOOKUP(G9071,[9]Astroflores!$G$2:$H$110,2,FALSE)</f>
        <v>1950</v>
      </c>
      <c r="I9071" s="6">
        <v>1162.4344827121247</v>
      </c>
      <c r="J9071" s="5">
        <v>8800</v>
      </c>
      <c r="K9071" s="6">
        <f t="shared" si="376"/>
        <v>1.6775138977728647</v>
      </c>
    </row>
    <row r="9072" spans="1:11" hidden="1">
      <c r="A9072" s="4">
        <v>2026</v>
      </c>
      <c r="B9072">
        <v>32</v>
      </c>
      <c r="C9072" t="s">
        <v>54</v>
      </c>
      <c r="D9072" t="s">
        <v>11</v>
      </c>
      <c r="E9072" t="s">
        <v>14</v>
      </c>
      <c r="F9072" t="s">
        <v>70</v>
      </c>
      <c r="G9072" t="str">
        <f t="shared" si="374"/>
        <v>004COTOPAXI</v>
      </c>
      <c r="H9072" s="5">
        <f>VLOOKUP(G9072,[9]Astroflores!$G$2:$H$110,2,FALSE)</f>
        <v>1260</v>
      </c>
      <c r="I9072" s="6">
        <v>528.3915024419166</v>
      </c>
      <c r="J9072" s="5">
        <v>4000</v>
      </c>
      <c r="K9072" s="6">
        <f t="shared" si="376"/>
        <v>2.3845955019659035</v>
      </c>
    </row>
    <row r="9073" spans="1:11" hidden="1">
      <c r="A9073" s="4">
        <v>2026</v>
      </c>
      <c r="B9073">
        <v>32</v>
      </c>
      <c r="C9073" t="s">
        <v>54</v>
      </c>
      <c r="D9073" t="s">
        <v>11</v>
      </c>
      <c r="E9073" t="s">
        <v>14</v>
      </c>
      <c r="F9073" t="s">
        <v>67</v>
      </c>
      <c r="G9073" t="str">
        <f t="shared" si="374"/>
        <v>004DEEP PURPLE</v>
      </c>
      <c r="H9073" s="5">
        <f>VLOOKUP(G9073,[9]Astroflores!$G$2:$H$110,2,FALSE)</f>
        <v>6930</v>
      </c>
      <c r="I9073" s="6">
        <v>3910.1071427007282</v>
      </c>
      <c r="J9073" s="5">
        <v>29260</v>
      </c>
      <c r="K9073" s="6">
        <f t="shared" si="376"/>
        <v>1.7723299508395103</v>
      </c>
    </row>
    <row r="9074" spans="1:11" hidden="1">
      <c r="A9074" s="4">
        <v>2026</v>
      </c>
      <c r="B9074">
        <v>32</v>
      </c>
      <c r="C9074" t="s">
        <v>54</v>
      </c>
      <c r="D9074" t="s">
        <v>11</v>
      </c>
      <c r="E9074" t="s">
        <v>14</v>
      </c>
      <c r="F9074" t="s">
        <v>71</v>
      </c>
      <c r="G9074" t="str">
        <f t="shared" si="374"/>
        <v>004HOT EXPLORER</v>
      </c>
      <c r="H9074" s="5">
        <f>VLOOKUP(G9074,[9]Astroflores!$G$2:$H$110,2,FALSE)</f>
        <v>2300</v>
      </c>
      <c r="I9074" s="6">
        <v>1902.2142856381945</v>
      </c>
      <c r="J9074" s="5">
        <v>14400</v>
      </c>
      <c r="K9074" s="6">
        <f t="shared" si="376"/>
        <v>1.2091171942956722</v>
      </c>
    </row>
    <row r="9075" spans="1:11" hidden="1">
      <c r="A9075" s="4">
        <v>2026</v>
      </c>
      <c r="B9075">
        <v>32</v>
      </c>
      <c r="C9075" t="s">
        <v>54</v>
      </c>
      <c r="D9075" t="s">
        <v>11</v>
      </c>
      <c r="E9075" t="s">
        <v>14</v>
      </c>
      <c r="F9075" t="s">
        <v>72</v>
      </c>
      <c r="G9075" t="str">
        <f t="shared" si="374"/>
        <v>004HOT MERENGUE</v>
      </c>
      <c r="H9075" s="5">
        <f>VLOOKUP(G9075,[9]Astroflores!$G$2:$H$110,2,FALSE)</f>
        <v>3120</v>
      </c>
      <c r="I9075" s="6">
        <v>1162.4642856677858</v>
      </c>
      <c r="J9075" s="5">
        <v>8800</v>
      </c>
      <c r="K9075" s="6">
        <f t="shared" si="376"/>
        <v>2.6839534241756891</v>
      </c>
    </row>
    <row r="9076" spans="1:11" hidden="1">
      <c r="A9076" s="4">
        <v>2026</v>
      </c>
      <c r="B9076">
        <v>32</v>
      </c>
      <c r="C9076" t="s">
        <v>54</v>
      </c>
      <c r="D9076" t="s">
        <v>11</v>
      </c>
      <c r="E9076" t="s">
        <v>14</v>
      </c>
      <c r="F9076" t="s">
        <v>64</v>
      </c>
      <c r="G9076" t="str">
        <f t="shared" si="374"/>
        <v>004SWEETNESS</v>
      </c>
      <c r="H9076" s="5">
        <f>VLOOKUP(G9076,[9]Astroflores!$G$2:$H$110,2,FALSE)</f>
        <v>360</v>
      </c>
      <c r="I9076" s="6">
        <v>317.03571427303262</v>
      </c>
      <c r="J9076" s="5">
        <v>2400</v>
      </c>
      <c r="K9076" s="6">
        <f t="shared" si="376"/>
        <v>1.1355187563820217</v>
      </c>
    </row>
    <row r="9077" spans="1:11" hidden="1">
      <c r="A9077" s="4">
        <v>2026</v>
      </c>
      <c r="B9077">
        <v>32</v>
      </c>
      <c r="C9077" t="s">
        <v>54</v>
      </c>
      <c r="D9077" t="s">
        <v>11</v>
      </c>
      <c r="E9077" t="s">
        <v>16</v>
      </c>
      <c r="F9077" t="s">
        <v>57</v>
      </c>
      <c r="G9077" t="str">
        <f t="shared" si="374"/>
        <v>005EXPLORER</v>
      </c>
      <c r="H9077" s="5">
        <f>VLOOKUP(G9077,[9]Astroflores!$G$2:$H$110,2,FALSE)</f>
        <v>2200</v>
      </c>
      <c r="I9077" s="6">
        <v>951.10714281875391</v>
      </c>
      <c r="J9077" s="5">
        <v>7200</v>
      </c>
      <c r="K9077" s="6">
        <f t="shared" si="376"/>
        <v>2.3130937630012514</v>
      </c>
    </row>
    <row r="9078" spans="1:11" hidden="1">
      <c r="A9078" s="4">
        <v>2026</v>
      </c>
      <c r="B9078">
        <v>32</v>
      </c>
      <c r="C9078" t="s">
        <v>54</v>
      </c>
      <c r="D9078" t="s">
        <v>11</v>
      </c>
      <c r="E9078" t="s">
        <v>16</v>
      </c>
      <c r="F9078" t="s">
        <v>73</v>
      </c>
      <c r="G9078" t="str">
        <f t="shared" si="374"/>
        <v>005GOLDFINCH</v>
      </c>
      <c r="H9078" s="5">
        <f>VLOOKUP(G9078,[9]Astroflores!$G$2:$H$110,2,FALSE)</f>
        <v>600</v>
      </c>
      <c r="I9078" s="6">
        <v>898.26785710660101</v>
      </c>
      <c r="J9078" s="5">
        <v>6800</v>
      </c>
      <c r="K9078" s="6">
        <f t="shared" si="376"/>
        <v>0.66795220963672486</v>
      </c>
    </row>
    <row r="9079" spans="1:11" hidden="1">
      <c r="A9079" s="4">
        <v>2026</v>
      </c>
      <c r="B9079">
        <v>32</v>
      </c>
      <c r="C9079" t="s">
        <v>54</v>
      </c>
      <c r="D9079" t="s">
        <v>11</v>
      </c>
      <c r="E9079" t="s">
        <v>16</v>
      </c>
      <c r="F9079" t="s">
        <v>68</v>
      </c>
      <c r="G9079" t="str">
        <f t="shared" si="374"/>
        <v>005JOCKER</v>
      </c>
      <c r="H9079" s="5">
        <f>VLOOKUP(G9079,[9]Astroflores!$G$2:$H$110,2,FALSE)</f>
        <v>1975</v>
      </c>
      <c r="I9079" s="6">
        <v>1162.4642856673661</v>
      </c>
      <c r="J9079" s="5">
        <v>8800</v>
      </c>
      <c r="K9079" s="6">
        <f t="shared" si="376"/>
        <v>1.6989769271631088</v>
      </c>
    </row>
    <row r="9080" spans="1:11" hidden="1">
      <c r="A9080" s="4">
        <v>2026</v>
      </c>
      <c r="B9080">
        <v>32</v>
      </c>
      <c r="C9080" t="s">
        <v>54</v>
      </c>
      <c r="D9080" t="s">
        <v>11</v>
      </c>
      <c r="E9080" t="s">
        <v>16</v>
      </c>
      <c r="F9080" t="s">
        <v>74</v>
      </c>
      <c r="G9080" t="str">
        <f t="shared" si="374"/>
        <v>005VENDELA</v>
      </c>
      <c r="H9080" s="5">
        <f>VLOOKUP(G9080,[9]Astroflores!$G$2:$H$110,2,FALSE)</f>
        <v>1890</v>
      </c>
      <c r="I9080" s="6">
        <v>686.91071425798896</v>
      </c>
      <c r="J9080" s="5">
        <v>5200</v>
      </c>
      <c r="K9080" s="6">
        <f t="shared" si="376"/>
        <v>2.7514492943112785</v>
      </c>
    </row>
    <row r="9081" spans="1:11" hidden="1">
      <c r="A9081" s="4">
        <v>2026</v>
      </c>
      <c r="B9081">
        <v>32</v>
      </c>
      <c r="C9081" t="s">
        <v>54</v>
      </c>
      <c r="D9081" t="s">
        <v>11</v>
      </c>
      <c r="E9081" t="s">
        <v>75</v>
      </c>
      <c r="F9081" t="s">
        <v>76</v>
      </c>
      <c r="G9081" t="str">
        <f t="shared" si="374"/>
        <v>006ATOMIC</v>
      </c>
      <c r="H9081" s="5">
        <f>VLOOKUP(G9081,[9]Astroflores!$G$2:$H$110,2,FALSE)</f>
        <v>1225</v>
      </c>
      <c r="I9081" s="6">
        <v>845.428571394752</v>
      </c>
      <c r="J9081" s="5">
        <v>6400</v>
      </c>
      <c r="K9081" s="6">
        <f t="shared" si="376"/>
        <v>1.4489692464249786</v>
      </c>
    </row>
    <row r="9082" spans="1:11" hidden="1">
      <c r="A9082" s="4">
        <v>2026</v>
      </c>
      <c r="B9082">
        <v>32</v>
      </c>
      <c r="C9082" t="s">
        <v>54</v>
      </c>
      <c r="D9082" t="s">
        <v>11</v>
      </c>
      <c r="E9082" t="s">
        <v>75</v>
      </c>
      <c r="F9082" t="s">
        <v>57</v>
      </c>
      <c r="G9082" t="str">
        <f t="shared" si="374"/>
        <v>006EXPLORER</v>
      </c>
      <c r="H9082" s="5">
        <f>VLOOKUP(G9082,[9]Astroflores!$G$2:$H$110,2,FALSE)</f>
        <v>9350</v>
      </c>
      <c r="I9082" s="6">
        <v>3910.1071427007355</v>
      </c>
      <c r="J9082" s="5">
        <v>29600</v>
      </c>
      <c r="K9082" s="6">
        <f t="shared" si="376"/>
        <v>2.3912388225612395</v>
      </c>
    </row>
    <row r="9083" spans="1:11" hidden="1">
      <c r="A9083" s="4">
        <v>2026</v>
      </c>
      <c r="B9083">
        <v>32</v>
      </c>
      <c r="C9083" t="s">
        <v>54</v>
      </c>
      <c r="D9083" t="s">
        <v>11</v>
      </c>
      <c r="E9083" t="s">
        <v>75</v>
      </c>
      <c r="F9083" t="s">
        <v>77</v>
      </c>
      <c r="G9083" t="str">
        <f t="shared" si="374"/>
        <v>006MONDIAL</v>
      </c>
      <c r="H9083" s="5">
        <f>VLOOKUP(G9083,[9]Astroflores!$G$2:$H$110,2,FALSE)</f>
        <v>6500</v>
      </c>
      <c r="I9083" s="6">
        <v>4015.7857141250793</v>
      </c>
      <c r="J9083" s="5">
        <v>30400</v>
      </c>
      <c r="K9083" s="6">
        <f t="shared" si="376"/>
        <v>1.6186122623866541</v>
      </c>
    </row>
    <row r="9084" spans="1:11" hidden="1">
      <c r="A9084" s="4">
        <v>2026</v>
      </c>
      <c r="B9084">
        <v>32</v>
      </c>
      <c r="C9084" t="s">
        <v>54</v>
      </c>
      <c r="D9084" t="s">
        <v>11</v>
      </c>
      <c r="E9084" t="s">
        <v>20</v>
      </c>
      <c r="F9084" t="s">
        <v>70</v>
      </c>
      <c r="G9084" t="str">
        <f t="shared" si="374"/>
        <v>007COTOPAXI</v>
      </c>
      <c r="H9084" s="5">
        <f>VLOOKUP(G9084,[9]Astroflores!$G$2:$H$110,2,FALSE)</f>
        <v>7890</v>
      </c>
      <c r="I9084" s="6">
        <v>2747.5751230427709</v>
      </c>
      <c r="J9084" s="5">
        <v>20800</v>
      </c>
      <c r="K9084" s="6">
        <f t="shared" si="376"/>
        <v>2.871623030005567</v>
      </c>
    </row>
    <row r="9085" spans="1:11" hidden="1">
      <c r="A9085" s="4">
        <v>2026</v>
      </c>
      <c r="B9085">
        <v>32</v>
      </c>
      <c r="C9085" t="s">
        <v>54</v>
      </c>
      <c r="D9085" t="s">
        <v>11</v>
      </c>
      <c r="E9085" t="s">
        <v>20</v>
      </c>
      <c r="F9085" t="s">
        <v>78</v>
      </c>
      <c r="G9085" t="str">
        <f t="shared" si="374"/>
        <v>007REDIANT</v>
      </c>
      <c r="H9085" s="5">
        <f>VLOOKUP(G9085,[9]Astroflores!$G$2:$H$110,2,FALSE)</f>
        <v>2100</v>
      </c>
      <c r="I9085" s="6">
        <v>1056.75862064738</v>
      </c>
      <c r="J9085" s="5">
        <v>9600</v>
      </c>
      <c r="K9085" s="6">
        <f t="shared" si="376"/>
        <v>1.9872087712078665</v>
      </c>
    </row>
    <row r="9086" spans="1:11" hidden="1">
      <c r="A9086" s="4">
        <v>2026</v>
      </c>
      <c r="B9086">
        <v>32</v>
      </c>
      <c r="C9086" t="s">
        <v>54</v>
      </c>
      <c r="D9086" t="s">
        <v>11</v>
      </c>
      <c r="E9086" t="s">
        <v>20</v>
      </c>
      <c r="F9086" t="s">
        <v>63</v>
      </c>
      <c r="G9086" t="str">
        <f t="shared" si="374"/>
        <v>007SUMMER ROMANCE</v>
      </c>
      <c r="H9086" s="5">
        <f>VLOOKUP(G9086,[9]Astroflores!$G$2:$H$110,2,FALSE)</f>
        <v>775</v>
      </c>
      <c r="I9086" s="6">
        <v>317.02758619421581</v>
      </c>
      <c r="J9086" s="5">
        <v>2640</v>
      </c>
      <c r="K9086" s="6">
        <f t="shared" si="376"/>
        <v>2.4445822185493458</v>
      </c>
    </row>
    <row r="9087" spans="1:11" hidden="1">
      <c r="A9087" s="4">
        <v>2026</v>
      </c>
      <c r="B9087">
        <v>32</v>
      </c>
      <c r="C9087" t="s">
        <v>54</v>
      </c>
      <c r="D9087" t="s">
        <v>11</v>
      </c>
      <c r="E9087" t="s">
        <v>20</v>
      </c>
      <c r="F9087" t="s">
        <v>114</v>
      </c>
      <c r="G9087" t="str">
        <f t="shared" si="374"/>
        <v>007TOPACIO</v>
      </c>
      <c r="H9087" s="5" t="e">
        <f>VLOOKUP(G9087,[9]Astroflores!$G$2:$H$110,2,FALSE)</f>
        <v>#N/A</v>
      </c>
      <c r="I9087" s="6">
        <v>52.837931032368999</v>
      </c>
      <c r="J9087" s="5">
        <v>440</v>
      </c>
      <c r="K9087" s="6" t="e">
        <f t="shared" si="376"/>
        <v>#N/A</v>
      </c>
    </row>
    <row r="9088" spans="1:11" hidden="1">
      <c r="A9088" s="4">
        <v>2026</v>
      </c>
      <c r="B9088">
        <v>32</v>
      </c>
      <c r="C9088" t="s">
        <v>54</v>
      </c>
      <c r="D9088" t="s">
        <v>11</v>
      </c>
      <c r="E9088" t="s">
        <v>20</v>
      </c>
      <c r="F9088" t="s">
        <v>74</v>
      </c>
      <c r="G9088" t="str">
        <f t="shared" si="374"/>
        <v>007VENDELA</v>
      </c>
      <c r="H9088" s="5">
        <f>VLOOKUP(G9088,[9]Astroflores!$G$2:$H$110,2,FALSE)</f>
        <v>10110</v>
      </c>
      <c r="I9088" s="6">
        <v>3592.9793102011122</v>
      </c>
      <c r="J9088" s="5">
        <v>27820</v>
      </c>
      <c r="K9088" s="6">
        <f t="shared" si="376"/>
        <v>2.8138208230968371</v>
      </c>
    </row>
    <row r="9089" spans="1:11" hidden="1">
      <c r="A9089" s="4">
        <v>2026</v>
      </c>
      <c r="B9089">
        <v>32</v>
      </c>
      <c r="C9089" t="s">
        <v>54</v>
      </c>
      <c r="D9089" t="s">
        <v>11</v>
      </c>
      <c r="E9089" t="s">
        <v>79</v>
      </c>
      <c r="F9089" t="s">
        <v>67</v>
      </c>
      <c r="G9089" t="str">
        <f t="shared" si="374"/>
        <v>008DEEP PURPLE</v>
      </c>
      <c r="H9089" s="5">
        <f>VLOOKUP(G9089,[9]Astroflores!$G$2:$H$110,2,FALSE)</f>
        <v>3450</v>
      </c>
      <c r="I9089" s="6">
        <v>1585.2222221588099</v>
      </c>
      <c r="J9089" s="5">
        <v>11490</v>
      </c>
      <c r="K9089" s="6">
        <f t="shared" si="376"/>
        <v>2.176351019923044</v>
      </c>
    </row>
    <row r="9090" spans="1:11" hidden="1">
      <c r="A9090" s="4">
        <v>2026</v>
      </c>
      <c r="B9090">
        <v>32</v>
      </c>
      <c r="C9090" t="s">
        <v>54</v>
      </c>
      <c r="D9090" t="s">
        <v>11</v>
      </c>
      <c r="E9090" t="s">
        <v>79</v>
      </c>
      <c r="F9090" t="s">
        <v>81</v>
      </c>
      <c r="G9090" t="str">
        <f t="shared" si="374"/>
        <v>008FREEDOM</v>
      </c>
      <c r="H9090" s="5">
        <f>VLOOKUP(G9090,[9]Astroflores!$G$2:$H$110,2,FALSE)</f>
        <v>3390</v>
      </c>
      <c r="I9090" s="6">
        <v>2219.311111022334</v>
      </c>
      <c r="J9090" s="5">
        <v>16800</v>
      </c>
      <c r="K9090" s="6">
        <f t="shared" si="376"/>
        <v>1.5275010264056146</v>
      </c>
    </row>
    <row r="9091" spans="1:11" hidden="1">
      <c r="A9091" s="4">
        <v>2026</v>
      </c>
      <c r="B9091">
        <v>32</v>
      </c>
      <c r="C9091" t="s">
        <v>54</v>
      </c>
      <c r="D9091" t="s">
        <v>11</v>
      </c>
      <c r="E9091" t="s">
        <v>79</v>
      </c>
      <c r="F9091" t="s">
        <v>68</v>
      </c>
      <c r="G9091" t="str">
        <f t="shared" si="374"/>
        <v>008JOCKER</v>
      </c>
      <c r="H9091" s="5">
        <f>VLOOKUP(G9091,[9]Astroflores!$G$2:$H$110,2,FALSE)</f>
        <v>4425</v>
      </c>
      <c r="I9091" s="6">
        <v>2959.0814813631118</v>
      </c>
      <c r="J9091" s="5">
        <v>22400</v>
      </c>
      <c r="K9091" s="6">
        <f t="shared" si="376"/>
        <v>1.4953964694347002</v>
      </c>
    </row>
    <row r="9092" spans="1:11" hidden="1">
      <c r="A9092" s="4">
        <v>2026</v>
      </c>
      <c r="B9092">
        <v>32</v>
      </c>
      <c r="C9092" t="s">
        <v>54</v>
      </c>
      <c r="D9092" t="s">
        <v>11</v>
      </c>
      <c r="E9092" t="s">
        <v>79</v>
      </c>
      <c r="F9092" t="s">
        <v>63</v>
      </c>
      <c r="G9092" t="str">
        <f t="shared" si="374"/>
        <v>008SUMMER ROMANCE</v>
      </c>
      <c r="H9092" s="5" t="e">
        <f>VLOOKUP(G9092,[9]Astroflores!$G$2:$H$110,2,FALSE)</f>
        <v>#N/A</v>
      </c>
      <c r="I9092" s="6">
        <v>1796.5851851133182</v>
      </c>
      <c r="J9092" s="5">
        <v>13600</v>
      </c>
      <c r="K9092" s="6" t="e">
        <f t="shared" si="376"/>
        <v>#N/A</v>
      </c>
    </row>
    <row r="9093" spans="1:11" hidden="1">
      <c r="A9093" s="4">
        <v>2026</v>
      </c>
      <c r="B9093">
        <v>32</v>
      </c>
      <c r="C9093" t="s">
        <v>54</v>
      </c>
      <c r="D9093" t="s">
        <v>11</v>
      </c>
      <c r="E9093" t="s">
        <v>82</v>
      </c>
      <c r="F9093" t="s">
        <v>83</v>
      </c>
      <c r="G9093" t="str">
        <f t="shared" si="374"/>
        <v>010COOLDOWN</v>
      </c>
      <c r="H9093" s="5">
        <f>VLOOKUP(G9093,[9]Astroflores!$G$2:$H$110,2,FALSE)</f>
        <v>3575</v>
      </c>
      <c r="I9093" s="6">
        <v>1912.3542857142861</v>
      </c>
      <c r="J9093" s="5">
        <v>16320</v>
      </c>
      <c r="K9093" s="6">
        <f t="shared" si="376"/>
        <v>1.8694234780166255</v>
      </c>
    </row>
    <row r="9094" spans="1:11" hidden="1">
      <c r="A9094" s="4">
        <v>2026</v>
      </c>
      <c r="B9094">
        <v>32</v>
      </c>
      <c r="C9094" t="s">
        <v>54</v>
      </c>
      <c r="D9094" t="s">
        <v>11</v>
      </c>
      <c r="E9094" t="s">
        <v>82</v>
      </c>
      <c r="F9094" t="s">
        <v>84</v>
      </c>
      <c r="G9094" t="str">
        <f t="shared" si="374"/>
        <v>010VIOLET HILL</v>
      </c>
      <c r="H9094" s="5">
        <f>VLOOKUP(G9094,[9]Astroflores!$G$2:$H$110,2,FALSE)</f>
        <v>6390</v>
      </c>
      <c r="I9094" s="6">
        <v>2812.2857142428579</v>
      </c>
      <c r="J9094" s="5">
        <v>20000</v>
      </c>
      <c r="K9094" s="6">
        <f t="shared" si="376"/>
        <v>2.2721731179864695</v>
      </c>
    </row>
    <row r="9095" spans="1:11" hidden="1">
      <c r="A9095" s="4">
        <v>2026</v>
      </c>
      <c r="B9095">
        <v>32</v>
      </c>
      <c r="C9095" t="s">
        <v>54</v>
      </c>
      <c r="D9095" t="s">
        <v>11</v>
      </c>
      <c r="E9095" t="s">
        <v>85</v>
      </c>
      <c r="F9095" t="s">
        <v>86</v>
      </c>
      <c r="G9095" t="str">
        <f t="shared" si="374"/>
        <v>011BRIGHTON</v>
      </c>
      <c r="H9095" s="5">
        <f>VLOOKUP(G9095,[9]Astroflores!$G$2:$H$110,2,FALSE)</f>
        <v>3550</v>
      </c>
      <c r="I9095" s="6">
        <v>1768.8376470588223</v>
      </c>
      <c r="J9095" s="5">
        <v>12800</v>
      </c>
      <c r="K9095" s="6">
        <f t="shared" si="376"/>
        <v>2.0069676863237556</v>
      </c>
    </row>
    <row r="9096" spans="1:11" hidden="1">
      <c r="A9096" s="4">
        <v>2026</v>
      </c>
      <c r="B9096">
        <v>32</v>
      </c>
      <c r="C9096" t="s">
        <v>54</v>
      </c>
      <c r="D9096" t="s">
        <v>11</v>
      </c>
      <c r="E9096" t="s">
        <v>85</v>
      </c>
      <c r="F9096" t="s">
        <v>87</v>
      </c>
      <c r="G9096" t="str">
        <f t="shared" si="374"/>
        <v>011CANDLELIGHT</v>
      </c>
      <c r="H9096" s="5">
        <f>VLOOKUP(G9096,[9]Astroflores!$G$2:$H$110,2,FALSE)</f>
        <v>4060</v>
      </c>
      <c r="I9096" s="6">
        <v>2263.7999998868127</v>
      </c>
      <c r="J9096" s="5">
        <v>17920</v>
      </c>
      <c r="K9096" s="6">
        <f t="shared" si="376"/>
        <v>1.793444650677178</v>
      </c>
    </row>
    <row r="9097" spans="1:11" hidden="1">
      <c r="A9097" s="4">
        <v>2026</v>
      </c>
      <c r="B9097">
        <v>32</v>
      </c>
      <c r="C9097" t="s">
        <v>54</v>
      </c>
      <c r="D9097" t="s">
        <v>11</v>
      </c>
      <c r="E9097" t="s">
        <v>85</v>
      </c>
      <c r="F9097" t="s">
        <v>88</v>
      </c>
      <c r="G9097" t="str">
        <f t="shared" si="374"/>
        <v>011CAYENNE</v>
      </c>
      <c r="H9097" s="5">
        <f>VLOOKUP(G9097,[9]Astroflores!$G$2:$H$110,2,FALSE)</f>
        <v>1350</v>
      </c>
      <c r="I9097" s="6">
        <v>994.97117647058747</v>
      </c>
      <c r="J9097" s="5">
        <v>7200</v>
      </c>
      <c r="K9097" s="6">
        <f t="shared" si="376"/>
        <v>1.3568232245569052</v>
      </c>
    </row>
    <row r="9098" spans="1:11" hidden="1">
      <c r="A9098" s="4">
        <v>2026</v>
      </c>
      <c r="B9098">
        <v>32</v>
      </c>
      <c r="C9098" t="s">
        <v>54</v>
      </c>
      <c r="D9098" t="s">
        <v>11</v>
      </c>
      <c r="E9098" t="s">
        <v>85</v>
      </c>
      <c r="F9098" t="s">
        <v>61</v>
      </c>
      <c r="G9098" t="str">
        <f t="shared" si="374"/>
        <v>011LUMIA</v>
      </c>
      <c r="H9098" s="5">
        <f>VLOOKUP(G9098,[9]Astroflores!$G$2:$H$110,2,FALSE)</f>
        <v>1680</v>
      </c>
      <c r="I9098" s="6">
        <v>994.97117647058747</v>
      </c>
      <c r="J9098" s="5">
        <v>7920</v>
      </c>
      <c r="K9098" s="6">
        <f t="shared" si="376"/>
        <v>1.6884911238930376</v>
      </c>
    </row>
    <row r="9099" spans="1:11" hidden="1">
      <c r="A9099" s="4">
        <v>2026</v>
      </c>
      <c r="B9099">
        <v>32</v>
      </c>
      <c r="C9099" t="s">
        <v>54</v>
      </c>
      <c r="D9099" t="s">
        <v>11</v>
      </c>
      <c r="E9099" t="s">
        <v>85</v>
      </c>
      <c r="F9099" t="s">
        <v>89</v>
      </c>
      <c r="G9099" t="str">
        <f t="shared" si="374"/>
        <v>011STARDUST</v>
      </c>
      <c r="H9099" s="5">
        <f>VLOOKUP(G9099,[9]Astroflores!$G$2:$H$110,2,FALSE)</f>
        <v>2450</v>
      </c>
      <c r="I9099" s="6">
        <v>2263.7999998868127</v>
      </c>
      <c r="J9099" s="5">
        <v>17920</v>
      </c>
      <c r="K9099" s="6">
        <f t="shared" si="376"/>
        <v>1.0822510823051936</v>
      </c>
    </row>
    <row r="9100" spans="1:11" hidden="1">
      <c r="A9100" s="4">
        <v>2026</v>
      </c>
      <c r="B9100">
        <v>32</v>
      </c>
      <c r="C9100" t="s">
        <v>54</v>
      </c>
      <c r="D9100" t="s">
        <v>11</v>
      </c>
      <c r="E9100" t="s">
        <v>90</v>
      </c>
      <c r="F9100" t="s">
        <v>67</v>
      </c>
      <c r="G9100" t="str">
        <f t="shared" si="374"/>
        <v>012DEEP PURPLE</v>
      </c>
      <c r="H9100" s="5">
        <f>VLOOKUP(G9100,[9]Astroflores!$G$2:$H$110,2,FALSE)</f>
        <v>14070</v>
      </c>
      <c r="I9100" s="6">
        <v>6727.0499997982479</v>
      </c>
      <c r="J9100" s="5">
        <v>49210</v>
      </c>
      <c r="K9100" s="6">
        <f t="shared" si="376"/>
        <v>2.0915557340025681</v>
      </c>
    </row>
    <row r="9101" spans="1:11" hidden="1">
      <c r="A9101" s="4">
        <v>2026</v>
      </c>
      <c r="B9101">
        <v>32</v>
      </c>
      <c r="C9101" t="s">
        <v>54</v>
      </c>
      <c r="D9101" t="s">
        <v>11</v>
      </c>
      <c r="E9101" t="s">
        <v>90</v>
      </c>
      <c r="F9101" t="s">
        <v>60</v>
      </c>
      <c r="G9101" t="str">
        <f t="shared" si="374"/>
        <v>012LIGHT HOUSE</v>
      </c>
      <c r="H9101" s="5">
        <f>VLOOKUP(G9101,[9]Astroflores!$G$2:$H$110,2,FALSE)</f>
        <v>870</v>
      </c>
      <c r="I9101" s="6">
        <v>994.95</v>
      </c>
      <c r="J9101" s="5">
        <v>7200</v>
      </c>
      <c r="K9101" s="6">
        <f t="shared" si="376"/>
        <v>0.87441579978893402</v>
      </c>
    </row>
    <row r="9102" spans="1:11" hidden="1">
      <c r="A9102" s="4">
        <v>2026</v>
      </c>
      <c r="B9102">
        <v>32</v>
      </c>
      <c r="C9102" t="s">
        <v>54</v>
      </c>
      <c r="D9102" t="s">
        <v>11</v>
      </c>
      <c r="E9102" t="s">
        <v>91</v>
      </c>
      <c r="F9102" t="s">
        <v>92</v>
      </c>
      <c r="G9102" t="str">
        <f t="shared" si="374"/>
        <v>013COUNTRY BLUES</v>
      </c>
      <c r="H9102" s="5">
        <f>VLOOKUP(G9102,[9]Astroflores!$G$2:$H$110,2,FALSE)</f>
        <v>940</v>
      </c>
      <c r="I9102" s="6">
        <v>831.6</v>
      </c>
      <c r="J9102" s="5">
        <v>6300</v>
      </c>
      <c r="K9102" s="6">
        <f t="shared" si="376"/>
        <v>1.1303511303511302</v>
      </c>
    </row>
    <row r="9103" spans="1:11" hidden="1">
      <c r="A9103" s="4">
        <v>2026</v>
      </c>
      <c r="B9103">
        <v>32</v>
      </c>
      <c r="C9103" t="s">
        <v>54</v>
      </c>
      <c r="D9103" t="s">
        <v>11</v>
      </c>
      <c r="E9103" t="s">
        <v>91</v>
      </c>
      <c r="F9103" t="s">
        <v>93</v>
      </c>
      <c r="G9103" t="str">
        <f t="shared" si="374"/>
        <v>013LORRAINE</v>
      </c>
      <c r="H9103" s="5">
        <f>VLOOKUP(G9103,[9]Astroflores!$G$2:$H$110,2,FALSE)</f>
        <v>3900</v>
      </c>
      <c r="I9103" s="6">
        <v>1267.2</v>
      </c>
      <c r="J9103" s="5">
        <v>9600</v>
      </c>
      <c r="K9103" s="6">
        <f t="shared" si="376"/>
        <v>3.0776515151515151</v>
      </c>
    </row>
    <row r="9104" spans="1:11" hidden="1">
      <c r="A9104" s="4">
        <v>2026</v>
      </c>
      <c r="B9104">
        <v>32</v>
      </c>
      <c r="C9104" t="s">
        <v>54</v>
      </c>
      <c r="D9104" t="s">
        <v>11</v>
      </c>
      <c r="E9104" t="s">
        <v>91</v>
      </c>
      <c r="F9104" t="s">
        <v>61</v>
      </c>
      <c r="G9104" t="str">
        <f t="shared" si="374"/>
        <v>013LUMIA</v>
      </c>
      <c r="H9104" s="5">
        <f>VLOOKUP(G9104,[9]Astroflores!$G$2:$H$110,2,FALSE)</f>
        <v>660</v>
      </c>
      <c r="I9104" s="6">
        <v>316.8</v>
      </c>
      <c r="J9104" s="5">
        <v>2400</v>
      </c>
      <c r="K9104" s="6">
        <f t="shared" si="376"/>
        <v>2.083333333333333</v>
      </c>
    </row>
    <row r="9105" spans="1:11" hidden="1">
      <c r="A9105" s="4">
        <v>2026</v>
      </c>
      <c r="B9105">
        <v>32</v>
      </c>
      <c r="C9105" t="s">
        <v>54</v>
      </c>
      <c r="D9105" t="s">
        <v>11</v>
      </c>
      <c r="E9105" t="s">
        <v>91</v>
      </c>
      <c r="F9105" t="s">
        <v>74</v>
      </c>
      <c r="G9105" t="str">
        <f t="shared" si="374"/>
        <v>013VENDELA</v>
      </c>
      <c r="H9105" s="5">
        <f>VLOOKUP(G9105,[9]Astroflores!$G$2:$H$110,2,FALSE)</f>
        <v>8880</v>
      </c>
      <c r="I9105" s="6">
        <v>3603.6</v>
      </c>
      <c r="J9105" s="5">
        <v>27296</v>
      </c>
      <c r="K9105" s="6">
        <f t="shared" si="376"/>
        <v>2.4642024642024642</v>
      </c>
    </row>
    <row r="9106" spans="1:11" hidden="1">
      <c r="A9106" s="4">
        <v>2026</v>
      </c>
      <c r="B9106">
        <v>32</v>
      </c>
      <c r="C9106" t="s">
        <v>54</v>
      </c>
      <c r="D9106" t="s">
        <v>11</v>
      </c>
      <c r="E9106" t="s">
        <v>23</v>
      </c>
      <c r="F9106" t="s">
        <v>89</v>
      </c>
      <c r="G9106" t="str">
        <f t="shared" si="374"/>
        <v>014STARDUST</v>
      </c>
      <c r="H9106" s="5">
        <f>VLOOKUP(G9106,[9]Astroflores!$G$2:$H$110,2,FALSE)</f>
        <v>4150</v>
      </c>
      <c r="I9106" s="6">
        <v>3682.8</v>
      </c>
      <c r="J9106" s="5">
        <v>27900</v>
      </c>
      <c r="K9106" s="6">
        <f t="shared" si="376"/>
        <v>1.1268599978277396</v>
      </c>
    </row>
    <row r="9107" spans="1:11" hidden="1">
      <c r="A9107" s="4">
        <v>2026</v>
      </c>
      <c r="B9107">
        <v>32</v>
      </c>
      <c r="C9107" t="s">
        <v>54</v>
      </c>
      <c r="D9107" t="s">
        <v>11</v>
      </c>
      <c r="E9107" t="s">
        <v>25</v>
      </c>
      <c r="F9107" t="s">
        <v>68</v>
      </c>
      <c r="G9107" t="str">
        <f t="shared" ref="G9107:G9174" si="377">+E9107&amp;F9107</f>
        <v>015JOCKER</v>
      </c>
      <c r="H9107" s="5">
        <f>VLOOKUP(G9107,[9]Astroflores!$G$2:$H$110,2,FALSE)</f>
        <v>3250</v>
      </c>
      <c r="I9107" s="6">
        <v>2376</v>
      </c>
      <c r="J9107" s="5">
        <v>18000</v>
      </c>
      <c r="K9107" s="6">
        <f t="shared" si="376"/>
        <v>1.3678451178451179</v>
      </c>
    </row>
    <row r="9108" spans="1:11" hidden="1">
      <c r="A9108" s="4">
        <v>2026</v>
      </c>
      <c r="B9108">
        <v>32</v>
      </c>
      <c r="C9108" t="s">
        <v>54</v>
      </c>
      <c r="D9108" t="s">
        <v>11</v>
      </c>
      <c r="E9108" t="s">
        <v>27</v>
      </c>
      <c r="F9108" t="s">
        <v>94</v>
      </c>
      <c r="G9108" t="str">
        <f t="shared" si="377"/>
        <v>016DREAM IN PEACH</v>
      </c>
      <c r="H9108" s="5">
        <f>VLOOKUP(G9108,[9]Astroflores!$G$2:$H$110,2,FALSE)</f>
        <v>1830</v>
      </c>
      <c r="I9108" s="6">
        <v>950.4</v>
      </c>
      <c r="J9108" s="5">
        <v>7200</v>
      </c>
      <c r="K9108" s="6">
        <f t="shared" si="376"/>
        <v>1.9255050505050506</v>
      </c>
    </row>
    <row r="9109" spans="1:11" hidden="1">
      <c r="A9109" s="4">
        <v>2026</v>
      </c>
      <c r="B9109">
        <v>32</v>
      </c>
      <c r="C9109" t="s">
        <v>54</v>
      </c>
      <c r="D9109" t="s">
        <v>11</v>
      </c>
      <c r="E9109" t="s">
        <v>27</v>
      </c>
      <c r="F9109" t="s">
        <v>95</v>
      </c>
      <c r="G9109" t="str">
        <f t="shared" si="377"/>
        <v>016NINA</v>
      </c>
      <c r="H9109" s="5">
        <f>VLOOKUP(G9109,[9]Astroflores!$G$2:$H$110,2,FALSE)</f>
        <v>2125</v>
      </c>
      <c r="I9109" s="6">
        <v>1346.4</v>
      </c>
      <c r="J9109" s="5">
        <v>10200</v>
      </c>
      <c r="K9109" s="6">
        <f t="shared" si="376"/>
        <v>1.5782828282828281</v>
      </c>
    </row>
    <row r="9110" spans="1:11" hidden="1">
      <c r="A9110" s="4">
        <v>2026</v>
      </c>
      <c r="B9110">
        <v>32</v>
      </c>
      <c r="C9110" t="s">
        <v>54</v>
      </c>
      <c r="D9110" t="s">
        <v>11</v>
      </c>
      <c r="E9110" t="s">
        <v>30</v>
      </c>
      <c r="F9110" t="s">
        <v>81</v>
      </c>
      <c r="G9110" t="str">
        <f t="shared" si="377"/>
        <v>017FREEDOM</v>
      </c>
      <c r="H9110" s="5">
        <f>VLOOKUP(G9110,[9]Astroflores!$G$2:$H$110,2,FALSE)</f>
        <v>5400</v>
      </c>
      <c r="I9110" s="6">
        <v>2851.2</v>
      </c>
      <c r="J9110" s="5">
        <v>21600</v>
      </c>
      <c r="K9110" s="6">
        <f t="shared" si="376"/>
        <v>1.893939393939394</v>
      </c>
    </row>
    <row r="9111" spans="1:11" hidden="1">
      <c r="A9111" s="4">
        <v>2026</v>
      </c>
      <c r="B9111">
        <v>32</v>
      </c>
      <c r="C9111" t="s">
        <v>54</v>
      </c>
      <c r="D9111" t="s">
        <v>11</v>
      </c>
      <c r="E9111" t="s">
        <v>30</v>
      </c>
      <c r="F9111" t="s">
        <v>73</v>
      </c>
      <c r="G9111" t="str">
        <f t="shared" si="377"/>
        <v>017GOLDFINCH</v>
      </c>
      <c r="H9111" s="5">
        <f>VLOOKUP(G9111,[9]Astroflores!$G$2:$H$110,2,FALSE)</f>
        <v>2400</v>
      </c>
      <c r="I9111" s="6">
        <v>2138.4</v>
      </c>
      <c r="J9111" s="5">
        <v>16200</v>
      </c>
      <c r="K9111" s="6">
        <f t="shared" si="376"/>
        <v>1.122334455667789</v>
      </c>
    </row>
    <row r="9112" spans="1:11" hidden="1">
      <c r="A9112" s="4">
        <v>2026</v>
      </c>
      <c r="B9112">
        <v>32</v>
      </c>
      <c r="C9112" t="s">
        <v>54</v>
      </c>
      <c r="D9112" t="s">
        <v>11</v>
      </c>
      <c r="E9112" t="s">
        <v>32</v>
      </c>
      <c r="F9112" t="s">
        <v>86</v>
      </c>
      <c r="G9112" t="str">
        <f t="shared" si="377"/>
        <v>018BRIGHTON</v>
      </c>
      <c r="H9112" s="5">
        <f>VLOOKUP(G9112,[9]Astroflores!$G$2:$H$110,2,FALSE)</f>
        <v>1800</v>
      </c>
      <c r="I9112" s="6">
        <v>963.6</v>
      </c>
      <c r="J9112" s="5">
        <v>7570</v>
      </c>
      <c r="K9112" s="6">
        <f t="shared" si="376"/>
        <v>1.8679950186799501</v>
      </c>
    </row>
    <row r="9113" spans="1:11" hidden="1">
      <c r="A9113" s="4">
        <v>2026</v>
      </c>
      <c r="B9113">
        <v>32</v>
      </c>
      <c r="C9113" t="s">
        <v>54</v>
      </c>
      <c r="D9113" t="s">
        <v>11</v>
      </c>
      <c r="E9113" t="s">
        <v>35</v>
      </c>
      <c r="F9113" t="s">
        <v>86</v>
      </c>
      <c r="G9113" t="str">
        <f t="shared" si="377"/>
        <v>019BRIGHTON</v>
      </c>
      <c r="H9113" s="5">
        <f>VLOOKUP(G9113,[9]Astroflores!$G$2:$H$110,2,FALSE)</f>
        <v>5950</v>
      </c>
      <c r="I9113" s="6">
        <v>3168</v>
      </c>
      <c r="J9113" s="5">
        <v>24000</v>
      </c>
      <c r="K9113" s="6">
        <f t="shared" si="376"/>
        <v>1.8781565656565657</v>
      </c>
    </row>
    <row r="9114" spans="1:11" hidden="1">
      <c r="A9114" s="4">
        <v>2026</v>
      </c>
      <c r="B9114">
        <v>32</v>
      </c>
      <c r="C9114" t="s">
        <v>54</v>
      </c>
      <c r="D9114" t="s">
        <v>11</v>
      </c>
      <c r="E9114" t="s">
        <v>35</v>
      </c>
      <c r="F9114" t="s">
        <v>96</v>
      </c>
      <c r="G9114" t="str">
        <f t="shared" si="377"/>
        <v>019TABATHA</v>
      </c>
      <c r="H9114" s="5">
        <f>VLOOKUP(G9114,[9]Astroflores!$G$2:$H$110,2,FALSE)</f>
        <v>3210</v>
      </c>
      <c r="I9114" s="6">
        <v>1188</v>
      </c>
      <c r="J9114" s="5">
        <v>9000</v>
      </c>
      <c r="K9114" s="6">
        <f t="shared" si="376"/>
        <v>2.702020202020202</v>
      </c>
    </row>
    <row r="9115" spans="1:11" hidden="1">
      <c r="A9115" s="4">
        <v>2026</v>
      </c>
      <c r="B9115">
        <v>32</v>
      </c>
      <c r="C9115" t="s">
        <v>54</v>
      </c>
      <c r="D9115" t="s">
        <v>11</v>
      </c>
      <c r="E9115" t="s">
        <v>36</v>
      </c>
      <c r="F9115" t="s">
        <v>86</v>
      </c>
      <c r="G9115" t="str">
        <f t="shared" si="377"/>
        <v>020BRIGHTON</v>
      </c>
      <c r="H9115" s="5">
        <f>VLOOKUP(G9115,[9]Astroflores!$G$2:$H$110,2,FALSE)</f>
        <v>4300</v>
      </c>
      <c r="I9115" s="6">
        <v>2732.4</v>
      </c>
      <c r="J9115" s="5">
        <v>20700</v>
      </c>
      <c r="K9115" s="6">
        <f t="shared" si="376"/>
        <v>1.5737080954472258</v>
      </c>
    </row>
    <row r="9116" spans="1:11" hidden="1">
      <c r="A9116" s="4">
        <v>2026</v>
      </c>
      <c r="B9116">
        <v>32</v>
      </c>
      <c r="C9116" t="s">
        <v>54</v>
      </c>
      <c r="D9116" t="s">
        <v>11</v>
      </c>
      <c r="E9116" t="s">
        <v>36</v>
      </c>
      <c r="F9116" t="s">
        <v>97</v>
      </c>
      <c r="G9116" t="str">
        <f t="shared" si="377"/>
        <v>020TYCOON</v>
      </c>
      <c r="H9116" s="5">
        <f>VLOOKUP(G9116,[9]Astroflores!$G$2:$H$110,2,FALSE)</f>
        <v>930</v>
      </c>
      <c r="I9116" s="6">
        <v>673.2</v>
      </c>
      <c r="J9116" s="5">
        <v>5100</v>
      </c>
      <c r="K9116" s="6">
        <f t="shared" si="376"/>
        <v>1.3814616755793225</v>
      </c>
    </row>
    <row r="9117" spans="1:11" hidden="1">
      <c r="A9117" s="4">
        <v>2026</v>
      </c>
      <c r="B9117">
        <v>32</v>
      </c>
      <c r="C9117" t="s">
        <v>54</v>
      </c>
      <c r="D9117" t="s">
        <v>11</v>
      </c>
      <c r="E9117" t="s">
        <v>38</v>
      </c>
      <c r="F9117" t="s">
        <v>98</v>
      </c>
      <c r="G9117" t="str">
        <f t="shared" si="377"/>
        <v>021SHOW GIRL</v>
      </c>
      <c r="H9117" s="5">
        <f>VLOOKUP(G9117,[9]Astroflores!$G$2:$H$110,2,FALSE)</f>
        <v>1675</v>
      </c>
      <c r="I9117" s="6">
        <v>1100.4749999999999</v>
      </c>
      <c r="J9117" s="5">
        <v>8000</v>
      </c>
      <c r="K9117" s="6">
        <f t="shared" si="376"/>
        <v>1.5220700152207003</v>
      </c>
    </row>
    <row r="9118" spans="1:11" hidden="1">
      <c r="A9118" s="4">
        <v>2026</v>
      </c>
      <c r="B9118">
        <v>32</v>
      </c>
      <c r="C9118" t="s">
        <v>54</v>
      </c>
      <c r="D9118" t="s">
        <v>11</v>
      </c>
      <c r="E9118" t="s">
        <v>43</v>
      </c>
      <c r="F9118" t="s">
        <v>99</v>
      </c>
      <c r="G9118" t="str">
        <f t="shared" si="377"/>
        <v>022CORAL REEF</v>
      </c>
      <c r="H9118" s="5">
        <f>VLOOKUP(G9118,[9]Astroflores!$G$2:$H$110,2,FALSE)</f>
        <v>2450</v>
      </c>
      <c r="I9118" s="6">
        <v>1287</v>
      </c>
      <c r="J9118" s="5">
        <v>9400</v>
      </c>
      <c r="K9118" s="6">
        <f t="shared" si="376"/>
        <v>1.9036519036519037</v>
      </c>
    </row>
    <row r="9119" spans="1:11" hidden="1">
      <c r="A9119" s="4">
        <v>2026</v>
      </c>
      <c r="B9119">
        <v>32</v>
      </c>
      <c r="C9119" t="s">
        <v>54</v>
      </c>
      <c r="D9119" t="s">
        <v>11</v>
      </c>
      <c r="E9119" t="s">
        <v>100</v>
      </c>
      <c r="F9119" t="s">
        <v>70</v>
      </c>
      <c r="G9119" t="str">
        <f t="shared" si="377"/>
        <v>023COTOPAXI</v>
      </c>
      <c r="H9119" s="5">
        <f>VLOOKUP(G9119,[9]Astroflores!$G$2:$H$110,2,FALSE)</f>
        <v>8970</v>
      </c>
      <c r="I9119" s="6">
        <v>2641.14</v>
      </c>
      <c r="J9119" s="5">
        <v>19200</v>
      </c>
      <c r="K9119" s="6">
        <f t="shared" si="376"/>
        <v>3.3962607056043983</v>
      </c>
    </row>
    <row r="9120" spans="1:11" hidden="1">
      <c r="A9120" s="4">
        <v>2026</v>
      </c>
      <c r="B9120">
        <v>32</v>
      </c>
      <c r="C9120" t="s">
        <v>54</v>
      </c>
      <c r="D9120" t="s">
        <v>11</v>
      </c>
      <c r="E9120" t="s">
        <v>100</v>
      </c>
      <c r="F9120" t="s">
        <v>101</v>
      </c>
      <c r="G9120" t="str">
        <f t="shared" si="377"/>
        <v>023FRUTTETO</v>
      </c>
      <c r="H9120" s="5">
        <f>VLOOKUP(G9120,[9]Astroflores!$G$2:$H$110,2,FALSE)</f>
        <v>4590</v>
      </c>
      <c r="I9120" s="6">
        <v>2641.14</v>
      </c>
      <c r="J9120" s="5">
        <v>19200</v>
      </c>
      <c r="K9120" s="6">
        <f t="shared" si="376"/>
        <v>1.7378859129012472</v>
      </c>
    </row>
    <row r="9121" spans="1:11" hidden="1">
      <c r="A9121" s="4">
        <v>2026</v>
      </c>
      <c r="B9121">
        <v>32</v>
      </c>
      <c r="C9121" t="s">
        <v>54</v>
      </c>
      <c r="D9121" t="s">
        <v>11</v>
      </c>
      <c r="E9121" t="s">
        <v>102</v>
      </c>
      <c r="F9121" t="s">
        <v>70</v>
      </c>
      <c r="G9121" t="str">
        <f t="shared" si="377"/>
        <v>024COTOPAXI</v>
      </c>
      <c r="H9121" s="5">
        <f>VLOOKUP(G9121,[9]Astroflores!$G$2:$H$110,2,FALSE)</f>
        <v>4260</v>
      </c>
      <c r="I9121" s="6">
        <v>1430.6174906250001</v>
      </c>
      <c r="J9121" s="5">
        <v>10400</v>
      </c>
      <c r="K9121" s="6">
        <f t="shared" si="376"/>
        <v>2.9777351583608245</v>
      </c>
    </row>
    <row r="9122" spans="1:11" hidden="1">
      <c r="A9122" s="4">
        <v>2026</v>
      </c>
      <c r="B9122">
        <v>32</v>
      </c>
      <c r="C9122" t="s">
        <v>54</v>
      </c>
      <c r="D9122" t="s">
        <v>11</v>
      </c>
      <c r="E9122" t="s">
        <v>102</v>
      </c>
      <c r="F9122" t="s">
        <v>64</v>
      </c>
      <c r="G9122" t="str">
        <f t="shared" si="377"/>
        <v>024SWEETNESS</v>
      </c>
      <c r="H9122" s="5">
        <f>VLOOKUP(G9122,[9]Astroflores!$G$2:$H$110,2,FALSE)</f>
        <v>2070</v>
      </c>
      <c r="I9122" s="6">
        <v>1430.6175000000001</v>
      </c>
      <c r="J9122" s="5">
        <v>10400</v>
      </c>
      <c r="K9122" s="6">
        <f t="shared" si="376"/>
        <v>1.4469276378906311</v>
      </c>
    </row>
    <row r="9123" spans="1:11" hidden="1">
      <c r="A9123" s="4">
        <v>2026</v>
      </c>
      <c r="B9123">
        <v>32</v>
      </c>
      <c r="C9123" t="s">
        <v>54</v>
      </c>
      <c r="D9123" t="s">
        <v>11</v>
      </c>
      <c r="E9123" t="s">
        <v>102</v>
      </c>
      <c r="F9123" t="s">
        <v>97</v>
      </c>
      <c r="G9123" t="str">
        <f t="shared" si="377"/>
        <v>024TYCOON</v>
      </c>
      <c r="H9123" s="5">
        <f>VLOOKUP(G9123,[9]Astroflores!$G$2:$H$110,2,FALSE)</f>
        <v>3780</v>
      </c>
      <c r="I9123" s="6">
        <v>2861.2350000000001</v>
      </c>
      <c r="J9123" s="5">
        <v>20800</v>
      </c>
      <c r="K9123" s="6">
        <f t="shared" si="376"/>
        <v>1.3211078432914458</v>
      </c>
    </row>
    <row r="9124" spans="1:11" hidden="1">
      <c r="A9124" s="4">
        <v>2026</v>
      </c>
      <c r="B9124">
        <v>32</v>
      </c>
      <c r="C9124" t="s">
        <v>54</v>
      </c>
      <c r="D9124" t="s">
        <v>11</v>
      </c>
      <c r="E9124" t="s">
        <v>103</v>
      </c>
      <c r="F9124" t="s">
        <v>104</v>
      </c>
      <c r="G9124" t="str">
        <f t="shared" si="377"/>
        <v>025PINK MONDIAL</v>
      </c>
      <c r="H9124" s="5">
        <f>VLOOKUP(G9124,[9]Astroflores!$G$2:$H$110,2,FALSE)</f>
        <v>5325</v>
      </c>
      <c r="I9124" s="6">
        <v>3071.9505625000002</v>
      </c>
      <c r="J9124" s="5">
        <v>22400</v>
      </c>
      <c r="K9124" s="6">
        <f t="shared" si="376"/>
        <v>1.7334263334193873</v>
      </c>
    </row>
    <row r="9125" spans="1:11" hidden="1">
      <c r="A9125" s="4">
        <v>2026</v>
      </c>
      <c r="B9125">
        <v>32</v>
      </c>
      <c r="C9125" t="s">
        <v>54</v>
      </c>
      <c r="D9125" t="s">
        <v>11</v>
      </c>
      <c r="E9125" t="s">
        <v>45</v>
      </c>
      <c r="F9125" t="s">
        <v>105</v>
      </c>
      <c r="G9125" t="str">
        <f t="shared" si="377"/>
        <v>026LOLA</v>
      </c>
      <c r="H9125" s="5">
        <f>VLOOKUP(G9125,[9]Astroflores!$G$2:$H$110,2,FALSE)</f>
        <v>3475</v>
      </c>
      <c r="I9125" s="6">
        <v>1097.125</v>
      </c>
      <c r="J9125" s="5">
        <v>8000</v>
      </c>
      <c r="K9125" s="6">
        <f t="shared" si="376"/>
        <v>3.167369260567392</v>
      </c>
    </row>
    <row r="9126" spans="1:11" hidden="1">
      <c r="A9126" s="4">
        <v>2026</v>
      </c>
      <c r="B9126">
        <v>32</v>
      </c>
      <c r="C9126" t="s">
        <v>54</v>
      </c>
      <c r="D9126" t="s">
        <v>11</v>
      </c>
      <c r="E9126" t="s">
        <v>45</v>
      </c>
      <c r="F9126" t="s">
        <v>106</v>
      </c>
      <c r="G9126" t="str">
        <f t="shared" si="377"/>
        <v>026PALOMA</v>
      </c>
      <c r="H9126" s="5">
        <f>VLOOKUP(G9126,[9]Astroflores!$G$2:$H$110,2,FALSE)</f>
        <v>4350</v>
      </c>
      <c r="I9126" s="6">
        <v>2852.5250000000001</v>
      </c>
      <c r="J9126" s="5">
        <v>20800</v>
      </c>
      <c r="K9126" s="6">
        <f t="shared" si="376"/>
        <v>1.5249647242355457</v>
      </c>
    </row>
    <row r="9127" spans="1:11" hidden="1">
      <c r="A9127" s="4">
        <v>2026</v>
      </c>
      <c r="B9127">
        <v>32</v>
      </c>
      <c r="C9127" t="s">
        <v>54</v>
      </c>
      <c r="D9127" t="s">
        <v>11</v>
      </c>
      <c r="E9127" t="s">
        <v>107</v>
      </c>
      <c r="F9127" t="s">
        <v>108</v>
      </c>
      <c r="G9127" t="str">
        <f t="shared" si="377"/>
        <v>027SATISFACTION</v>
      </c>
      <c r="H9127" s="5">
        <f>VLOOKUP(G9127,[9]Astroflores!$G$2:$H$110,2,FALSE)</f>
        <v>4770</v>
      </c>
      <c r="I9127" s="6">
        <v>2633.1</v>
      </c>
      <c r="J9127" s="5">
        <v>19200</v>
      </c>
      <c r="K9127" s="6">
        <f t="shared" si="376"/>
        <v>1.8115529224108466</v>
      </c>
    </row>
    <row r="9128" spans="1:11" hidden="1">
      <c r="A9128" s="4">
        <v>2026</v>
      </c>
      <c r="B9128">
        <v>32</v>
      </c>
      <c r="C9128" t="s">
        <v>54</v>
      </c>
      <c r="D9128" t="s">
        <v>11</v>
      </c>
      <c r="E9128" t="s">
        <v>107</v>
      </c>
      <c r="F9128" t="s">
        <v>109</v>
      </c>
      <c r="G9128" t="str">
        <f t="shared" si="377"/>
        <v>027TIFFANY</v>
      </c>
      <c r="H9128" s="5">
        <f>VLOOKUP(G9128,[9]Astroflores!$G$2:$H$110,2,FALSE)</f>
        <v>5610</v>
      </c>
      <c r="I9128" s="6">
        <v>2633.1</v>
      </c>
      <c r="J9128" s="5">
        <v>19200</v>
      </c>
      <c r="K9128" s="6">
        <f t="shared" si="376"/>
        <v>2.1305685313888572</v>
      </c>
    </row>
    <row r="9129" spans="1:11" hidden="1">
      <c r="A9129" s="4">
        <v>2026</v>
      </c>
      <c r="B9129">
        <v>32</v>
      </c>
      <c r="C9129" t="s">
        <v>54</v>
      </c>
      <c r="D9129" t="s">
        <v>11</v>
      </c>
      <c r="E9129" t="s">
        <v>110</v>
      </c>
      <c r="F9129" t="s">
        <v>70</v>
      </c>
      <c r="G9129" t="str">
        <f t="shared" si="377"/>
        <v>028COTOPAXI</v>
      </c>
      <c r="H9129" s="5">
        <f>VLOOKUP(G9129,[9]Astroflores!$G$2:$H$110,2,FALSE)</f>
        <v>7920</v>
      </c>
      <c r="I9129" s="6">
        <v>2852.5250000000001</v>
      </c>
      <c r="J9129" s="5">
        <v>20800</v>
      </c>
      <c r="K9129" s="6">
        <f t="shared" ref="K9129:K9191" si="378">+H9129/I9129</f>
        <v>2.7764874979185108</v>
      </c>
    </row>
    <row r="9130" spans="1:11" hidden="1">
      <c r="A9130" s="4">
        <v>2026</v>
      </c>
      <c r="B9130">
        <v>32</v>
      </c>
      <c r="C9130" t="s">
        <v>54</v>
      </c>
      <c r="D9130" t="s">
        <v>11</v>
      </c>
      <c r="E9130" t="s">
        <v>110</v>
      </c>
      <c r="F9130" t="s">
        <v>67</v>
      </c>
      <c r="G9130" t="str">
        <f t="shared" si="377"/>
        <v>028DEEP PURPLE</v>
      </c>
      <c r="H9130" s="5">
        <f>VLOOKUP(G9130,[9]Astroflores!$G$2:$H$110,2,FALSE)</f>
        <v>5730</v>
      </c>
      <c r="I9130" s="6">
        <v>2852.5250000000001</v>
      </c>
      <c r="J9130" s="5">
        <v>20800</v>
      </c>
      <c r="K9130" s="6">
        <f t="shared" si="378"/>
        <v>2.00874663675165</v>
      </c>
    </row>
    <row r="9131" spans="1:11" hidden="1">
      <c r="A9131" s="4">
        <v>2026</v>
      </c>
      <c r="B9131">
        <v>32</v>
      </c>
      <c r="C9131" t="s">
        <v>54</v>
      </c>
      <c r="D9131" t="s">
        <v>11</v>
      </c>
      <c r="E9131" t="s">
        <v>111</v>
      </c>
      <c r="F9131" t="s">
        <v>112</v>
      </c>
      <c r="G9131" t="str">
        <f t="shared" si="377"/>
        <v>029PINK FLOYD</v>
      </c>
      <c r="H9131" s="5">
        <f>VLOOKUP(G9131,[9]Astroflores!$G$2:$H$110,2,FALSE)</f>
        <v>3325</v>
      </c>
      <c r="I9131" s="6">
        <v>3071.95</v>
      </c>
      <c r="J9131" s="5">
        <v>22400</v>
      </c>
      <c r="K9131" s="6">
        <f t="shared" si="378"/>
        <v>1.0823743876039649</v>
      </c>
    </row>
    <row r="9132" spans="1:11" hidden="1">
      <c r="A9132" s="4">
        <v>2026</v>
      </c>
      <c r="B9132">
        <v>32</v>
      </c>
      <c r="C9132" t="s">
        <v>54</v>
      </c>
      <c r="D9132" t="s">
        <v>11</v>
      </c>
      <c r="E9132" t="s">
        <v>47</v>
      </c>
      <c r="F9132" t="s">
        <v>57</v>
      </c>
      <c r="G9132" t="str">
        <f t="shared" si="377"/>
        <v>030EXPLORER</v>
      </c>
      <c r="H9132" s="5">
        <f>VLOOKUP(G9132,[9]Astroflores!$G$2:$H$110,2,FALSE)</f>
        <v>3450</v>
      </c>
      <c r="I9132" s="6">
        <v>1645.6875</v>
      </c>
      <c r="J9132" s="5">
        <v>12000</v>
      </c>
      <c r="K9132" s="6">
        <f t="shared" si="378"/>
        <v>2.0963882875697846</v>
      </c>
    </row>
    <row r="9133" spans="1:11" hidden="1">
      <c r="A9133" s="4">
        <v>2026</v>
      </c>
      <c r="B9133">
        <v>23</v>
      </c>
      <c r="C9133" t="s">
        <v>54</v>
      </c>
      <c r="D9133" t="s">
        <v>11</v>
      </c>
      <c r="E9133" t="s">
        <v>79</v>
      </c>
      <c r="F9133" t="s">
        <v>61</v>
      </c>
      <c r="G9133" t="str">
        <f t="shared" si="377"/>
        <v>008LUMIA</v>
      </c>
      <c r="H9133" s="5">
        <v>3570</v>
      </c>
      <c r="I9133" s="6">
        <v>1796.5851851133182</v>
      </c>
      <c r="J9133" s="5">
        <v>13600</v>
      </c>
      <c r="K9133" s="6">
        <f t="shared" si="378"/>
        <v>1.9871031051471266</v>
      </c>
    </row>
    <row r="9134" spans="1:11" hidden="1">
      <c r="A9134" s="4">
        <v>2026</v>
      </c>
      <c r="B9134">
        <v>24</v>
      </c>
      <c r="C9134" t="s">
        <v>54</v>
      </c>
      <c r="D9134" t="s">
        <v>11</v>
      </c>
      <c r="E9134" t="s">
        <v>79</v>
      </c>
      <c r="F9134" t="s">
        <v>61</v>
      </c>
      <c r="G9134" t="str">
        <f t="shared" si="377"/>
        <v>008LUMIA</v>
      </c>
      <c r="H9134" s="5">
        <v>420</v>
      </c>
      <c r="I9134" s="6">
        <v>1796.5851851133182</v>
      </c>
      <c r="J9134" s="5">
        <v>13600</v>
      </c>
      <c r="K9134" s="6">
        <f t="shared" si="378"/>
        <v>0.23377683589966197</v>
      </c>
    </row>
    <row r="9135" spans="1:11" hidden="1">
      <c r="A9135" s="4">
        <v>2026</v>
      </c>
      <c r="B9135">
        <v>25</v>
      </c>
      <c r="C9135" t="s">
        <v>54</v>
      </c>
      <c r="D9135" t="s">
        <v>11</v>
      </c>
      <c r="E9135" t="s">
        <v>79</v>
      </c>
      <c r="F9135" t="s">
        <v>61</v>
      </c>
      <c r="G9135" t="str">
        <f t="shared" si="377"/>
        <v>008LUMIA</v>
      </c>
      <c r="H9135" s="5">
        <v>7710</v>
      </c>
      <c r="I9135" s="6">
        <v>1796.5851851133182</v>
      </c>
      <c r="J9135" s="5">
        <v>13600</v>
      </c>
      <c r="K9135" s="6">
        <f t="shared" si="378"/>
        <v>4.291474773300938</v>
      </c>
    </row>
    <row r="9136" spans="1:11" hidden="1">
      <c r="A9136" s="4">
        <v>2026</v>
      </c>
      <c r="B9136">
        <v>26</v>
      </c>
      <c r="C9136" t="s">
        <v>54</v>
      </c>
      <c r="D9136" t="s">
        <v>11</v>
      </c>
      <c r="E9136" t="s">
        <v>79</v>
      </c>
      <c r="F9136" t="s">
        <v>61</v>
      </c>
      <c r="G9136" t="str">
        <f t="shared" si="377"/>
        <v>008LUMIA</v>
      </c>
      <c r="H9136" s="5">
        <v>3810</v>
      </c>
      <c r="I9136" s="6">
        <v>1796.5851851133182</v>
      </c>
      <c r="J9136" s="5">
        <v>13600</v>
      </c>
      <c r="K9136" s="6">
        <f t="shared" si="378"/>
        <v>2.1206898685183622</v>
      </c>
    </row>
    <row r="9137" spans="1:11" hidden="1">
      <c r="A9137" s="4">
        <v>2026</v>
      </c>
      <c r="B9137">
        <v>27</v>
      </c>
      <c r="C9137" t="s">
        <v>54</v>
      </c>
      <c r="D9137" t="s">
        <v>11</v>
      </c>
      <c r="E9137" t="s">
        <v>79</v>
      </c>
      <c r="F9137" t="s">
        <v>61</v>
      </c>
      <c r="G9137" t="str">
        <f t="shared" si="377"/>
        <v>008LUMIA</v>
      </c>
      <c r="H9137" s="7">
        <f>VLOOKUP(G9137,[5]Astroflores!$G$2:$H$110,2,FALSE)</f>
        <v>3240</v>
      </c>
      <c r="I9137" s="6">
        <v>1796.5851851133182</v>
      </c>
      <c r="J9137" s="5">
        <v>13600</v>
      </c>
      <c r="K9137" s="6">
        <f t="shared" si="378"/>
        <v>1.8034213055116781</v>
      </c>
    </row>
    <row r="9138" spans="1:11" hidden="1">
      <c r="A9138" s="4">
        <v>2026</v>
      </c>
      <c r="B9138">
        <v>28</v>
      </c>
      <c r="C9138" t="s">
        <v>54</v>
      </c>
      <c r="D9138" t="s">
        <v>11</v>
      </c>
      <c r="E9138" t="s">
        <v>79</v>
      </c>
      <c r="F9138" t="s">
        <v>61</v>
      </c>
      <c r="G9138" t="str">
        <f t="shared" si="377"/>
        <v>008LUMIA</v>
      </c>
      <c r="H9138" s="5">
        <f>VLOOKUP(G9138,[6]Astroflores!$G$2:$H$110,2,FALSE)</f>
        <v>2850</v>
      </c>
      <c r="I9138" s="6">
        <v>1796.5851851133182</v>
      </c>
      <c r="J9138" s="5">
        <v>13600</v>
      </c>
      <c r="K9138" s="6">
        <f t="shared" si="378"/>
        <v>1.5863428150334205</v>
      </c>
    </row>
    <row r="9139" spans="1:11" hidden="1">
      <c r="A9139" s="4">
        <v>2026</v>
      </c>
      <c r="B9139">
        <v>29</v>
      </c>
      <c r="C9139" t="s">
        <v>54</v>
      </c>
      <c r="D9139" t="s">
        <v>11</v>
      </c>
      <c r="E9139" t="s">
        <v>79</v>
      </c>
      <c r="F9139" t="s">
        <v>61</v>
      </c>
      <c r="G9139" t="str">
        <f t="shared" si="377"/>
        <v>008LUMIA</v>
      </c>
      <c r="H9139" s="5">
        <v>4440</v>
      </c>
      <c r="I9139" s="6">
        <v>1796.5851851133182</v>
      </c>
      <c r="J9139" s="5">
        <v>13600</v>
      </c>
      <c r="K9139" s="6">
        <f t="shared" si="378"/>
        <v>2.4713551223678549</v>
      </c>
    </row>
    <row r="9140" spans="1:11" hidden="1">
      <c r="A9140" s="4">
        <v>2026</v>
      </c>
      <c r="B9140">
        <v>30</v>
      </c>
      <c r="C9140" t="s">
        <v>54</v>
      </c>
      <c r="D9140" t="s">
        <v>11</v>
      </c>
      <c r="E9140" t="s">
        <v>79</v>
      </c>
      <c r="F9140" t="s">
        <v>61</v>
      </c>
      <c r="G9140" t="str">
        <f t="shared" si="377"/>
        <v>008LUMIA</v>
      </c>
      <c r="H9140" s="5">
        <v>2100</v>
      </c>
      <c r="I9140" s="6">
        <v>1796.5851851133182</v>
      </c>
      <c r="J9140" s="5">
        <v>13600</v>
      </c>
      <c r="K9140" s="6">
        <f t="shared" si="378"/>
        <v>1.1688841794983098</v>
      </c>
    </row>
    <row r="9141" spans="1:11" hidden="1">
      <c r="A9141" s="4">
        <v>2026</v>
      </c>
      <c r="B9141">
        <v>31</v>
      </c>
      <c r="C9141" t="s">
        <v>54</v>
      </c>
      <c r="D9141" t="s">
        <v>11</v>
      </c>
      <c r="E9141" t="s">
        <v>79</v>
      </c>
      <c r="F9141" t="s">
        <v>61</v>
      </c>
      <c r="G9141" t="str">
        <f>+E9141&amp;F9141</f>
        <v>008LUMIA</v>
      </c>
      <c r="H9141" s="5">
        <f>VLOOKUP(G9141,[8]Astroflores!$G$2:$H$110,2,FALSE)</f>
        <v>1830</v>
      </c>
      <c r="I9141" s="6">
        <v>1796.5851851133164</v>
      </c>
      <c r="J9141" s="5">
        <v>13600</v>
      </c>
      <c r="K9141" s="6">
        <f t="shared" si="378"/>
        <v>1.0185990707056711</v>
      </c>
    </row>
    <row r="9142" spans="1:11" hidden="1">
      <c r="A9142" s="4">
        <v>2026</v>
      </c>
      <c r="B9142">
        <v>32</v>
      </c>
      <c r="C9142" t="s">
        <v>54</v>
      </c>
      <c r="D9142" t="s">
        <v>11</v>
      </c>
      <c r="E9142" t="s">
        <v>79</v>
      </c>
      <c r="F9142" t="s">
        <v>61</v>
      </c>
      <c r="G9142" t="str">
        <f t="shared" si="377"/>
        <v>008LUMIA</v>
      </c>
      <c r="H9142" s="5">
        <f>VLOOKUP(G9142,[9]Astroflores!$G$2:$H$110,2,FALSE)</f>
        <v>2280</v>
      </c>
      <c r="I9142" s="6">
        <v>1796.5851851133164</v>
      </c>
      <c r="J9142" s="5">
        <v>13600</v>
      </c>
      <c r="K9142" s="6">
        <f t="shared" si="378"/>
        <v>1.2690742520267377</v>
      </c>
    </row>
    <row r="9143" spans="1:11">
      <c r="A9143" s="4">
        <v>2026</v>
      </c>
      <c r="B9143">
        <v>33</v>
      </c>
      <c r="C9143" t="s">
        <v>54</v>
      </c>
      <c r="D9143" t="s">
        <v>11</v>
      </c>
      <c r="E9143" t="s">
        <v>79</v>
      </c>
      <c r="F9143" t="s">
        <v>61</v>
      </c>
      <c r="G9143" t="str">
        <f t="shared" ref="G9143" si="379">+E9143&amp;F9143</f>
        <v>008LUMIA</v>
      </c>
      <c r="H9143" s="5">
        <f>VLOOKUP(G9143,[10]Astroflores!$G$2:$H$108,2,FALSE)</f>
        <v>2340</v>
      </c>
      <c r="I9143" s="6">
        <v>1796.5851851133164</v>
      </c>
      <c r="J9143" s="5">
        <v>13600</v>
      </c>
      <c r="K9143" s="6">
        <f t="shared" ref="K9143" si="380">+H9143/I9143</f>
        <v>1.3024709428695465</v>
      </c>
    </row>
    <row r="9144" spans="1:11" hidden="1">
      <c r="A9144" s="4">
        <v>2026</v>
      </c>
      <c r="B9144">
        <v>34</v>
      </c>
      <c r="C9144" t="s">
        <v>54</v>
      </c>
      <c r="D9144" t="s">
        <v>11</v>
      </c>
      <c r="E9144" t="s">
        <v>79</v>
      </c>
      <c r="F9144" t="s">
        <v>61</v>
      </c>
      <c r="G9144" t="str">
        <f t="shared" ref="G9144" si="381">+E9144&amp;F9144</f>
        <v>008LUMIA</v>
      </c>
      <c r="H9144" s="5">
        <v>1860</v>
      </c>
      <c r="I9144" s="6">
        <v>1796.5851851133164</v>
      </c>
      <c r="J9144" s="5">
        <v>13600</v>
      </c>
      <c r="K9144" s="6">
        <f t="shared" ref="K9144" si="382">+H9144/I9144</f>
        <v>1.0352974161270754</v>
      </c>
    </row>
    <row r="9145" spans="1:11" hidden="1">
      <c r="A9145" s="4">
        <v>2026</v>
      </c>
      <c r="B9145">
        <v>23</v>
      </c>
      <c r="C9145" t="s">
        <v>10</v>
      </c>
      <c r="D9145" t="s">
        <v>11</v>
      </c>
      <c r="E9145" t="s">
        <v>38</v>
      </c>
      <c r="F9145" t="s">
        <v>115</v>
      </c>
      <c r="G9145" t="str">
        <f t="shared" si="377"/>
        <v>021PISTACHIO KISS</v>
      </c>
      <c r="H9145" s="5">
        <v>200</v>
      </c>
      <c r="I9145" s="6">
        <v>220.095</v>
      </c>
      <c r="J9145" s="5">
        <v>6400</v>
      </c>
      <c r="K9145" s="6">
        <f t="shared" si="378"/>
        <v>0.90869851654967171</v>
      </c>
    </row>
    <row r="9146" spans="1:11" hidden="1">
      <c r="A9146" s="4">
        <v>2026</v>
      </c>
      <c r="B9146">
        <v>24</v>
      </c>
      <c r="C9146" t="s">
        <v>10</v>
      </c>
      <c r="D9146" t="s">
        <v>11</v>
      </c>
      <c r="E9146" t="s">
        <v>38</v>
      </c>
      <c r="F9146" t="s">
        <v>115</v>
      </c>
      <c r="G9146" t="str">
        <f t="shared" si="377"/>
        <v>021PISTACHIO KISS</v>
      </c>
      <c r="H9146" s="5">
        <v>125</v>
      </c>
      <c r="I9146" s="6">
        <v>220.095</v>
      </c>
      <c r="J9146" s="5">
        <v>6400</v>
      </c>
      <c r="K9146" s="6">
        <f t="shared" si="378"/>
        <v>0.56793657284354482</v>
      </c>
    </row>
    <row r="9147" spans="1:11" hidden="1">
      <c r="A9147" s="4">
        <v>2026</v>
      </c>
      <c r="B9147">
        <v>25</v>
      </c>
      <c r="C9147" t="s">
        <v>10</v>
      </c>
      <c r="D9147" t="s">
        <v>11</v>
      </c>
      <c r="E9147" t="s">
        <v>38</v>
      </c>
      <c r="F9147" t="s">
        <v>115</v>
      </c>
      <c r="G9147" t="str">
        <f t="shared" si="377"/>
        <v>021PISTACHIO KISS</v>
      </c>
      <c r="H9147" s="5">
        <v>25</v>
      </c>
      <c r="I9147" s="6">
        <v>880.38</v>
      </c>
      <c r="J9147" s="5">
        <v>6400</v>
      </c>
      <c r="K9147" s="6">
        <f t="shared" si="378"/>
        <v>2.8396828642177241E-2</v>
      </c>
    </row>
    <row r="9148" spans="1:11" hidden="1">
      <c r="A9148" s="4">
        <v>2026</v>
      </c>
      <c r="B9148">
        <v>26</v>
      </c>
      <c r="C9148" t="s">
        <v>10</v>
      </c>
      <c r="D9148" t="s">
        <v>11</v>
      </c>
      <c r="E9148" t="s">
        <v>38</v>
      </c>
      <c r="F9148" t="s">
        <v>115</v>
      </c>
      <c r="G9148" t="str">
        <f t="shared" si="377"/>
        <v>021PISTACHIO KISS</v>
      </c>
      <c r="H9148" s="5">
        <v>25</v>
      </c>
      <c r="I9148" s="6">
        <v>880.38</v>
      </c>
      <c r="J9148" s="5">
        <v>6400</v>
      </c>
      <c r="K9148" s="6">
        <f t="shared" si="378"/>
        <v>2.8396828642177241E-2</v>
      </c>
    </row>
    <row r="9149" spans="1:11" hidden="1">
      <c r="A9149" s="4">
        <v>2026</v>
      </c>
      <c r="B9149">
        <v>27</v>
      </c>
      <c r="C9149" t="s">
        <v>10</v>
      </c>
      <c r="D9149" t="s">
        <v>11</v>
      </c>
      <c r="E9149" t="s">
        <v>38</v>
      </c>
      <c r="F9149" t="s">
        <v>115</v>
      </c>
      <c r="G9149" t="str">
        <f t="shared" si="377"/>
        <v>021PISTACHIO KISS</v>
      </c>
      <c r="H9149" s="7">
        <f>VLOOKUP(G9149,[5]Astroflores!$G$2:$H$110,2,FALSE)</f>
        <v>75</v>
      </c>
      <c r="I9149" s="6">
        <v>880.38</v>
      </c>
      <c r="J9149" s="5">
        <v>6400</v>
      </c>
      <c r="K9149" s="6">
        <f t="shared" si="378"/>
        <v>8.5190485926531723E-2</v>
      </c>
    </row>
    <row r="9150" spans="1:11" hidden="1">
      <c r="A9150" s="4">
        <v>2026</v>
      </c>
      <c r="B9150">
        <v>28</v>
      </c>
      <c r="C9150" t="s">
        <v>10</v>
      </c>
      <c r="D9150" t="s">
        <v>11</v>
      </c>
      <c r="E9150" t="s">
        <v>38</v>
      </c>
      <c r="F9150" t="s">
        <v>115</v>
      </c>
      <c r="G9150" t="str">
        <f t="shared" si="377"/>
        <v>021PISTACHIO KISS</v>
      </c>
      <c r="H9150" s="5">
        <f>VLOOKUP(G9150,[6]Astroflores!$G$2:$H$110,2,FALSE)</f>
        <v>75</v>
      </c>
      <c r="I9150" s="6">
        <v>880.38</v>
      </c>
      <c r="J9150" s="5">
        <v>6400</v>
      </c>
      <c r="K9150" s="6">
        <f t="shared" si="378"/>
        <v>8.5190485926531723E-2</v>
      </c>
    </row>
    <row r="9151" spans="1:11" hidden="1">
      <c r="A9151" s="4">
        <v>2026</v>
      </c>
      <c r="B9151">
        <v>29</v>
      </c>
      <c r="C9151" t="s">
        <v>10</v>
      </c>
      <c r="D9151" t="s">
        <v>11</v>
      </c>
      <c r="E9151" t="s">
        <v>38</v>
      </c>
      <c r="F9151" t="s">
        <v>115</v>
      </c>
      <c r="G9151" t="str">
        <f t="shared" si="377"/>
        <v>021PISTACHIO KISS</v>
      </c>
      <c r="H9151" s="5">
        <v>50</v>
      </c>
      <c r="I9151" s="6">
        <v>880.37999999999965</v>
      </c>
      <c r="J9151" s="5">
        <v>6400</v>
      </c>
      <c r="K9151" s="6">
        <f t="shared" si="378"/>
        <v>5.6793657284354503E-2</v>
      </c>
    </row>
    <row r="9152" spans="1:11" hidden="1">
      <c r="A9152" s="4">
        <v>2026</v>
      </c>
      <c r="B9152">
        <v>30</v>
      </c>
      <c r="C9152" t="s">
        <v>10</v>
      </c>
      <c r="D9152" t="s">
        <v>11</v>
      </c>
      <c r="E9152" t="s">
        <v>38</v>
      </c>
      <c r="F9152" t="s">
        <v>115</v>
      </c>
      <c r="G9152" t="str">
        <f t="shared" si="377"/>
        <v>021PISTACHIO KISS</v>
      </c>
      <c r="H9152" s="5">
        <v>75</v>
      </c>
      <c r="I9152" s="6">
        <v>880.37999999999965</v>
      </c>
      <c r="J9152" s="5">
        <v>6400</v>
      </c>
      <c r="K9152" s="6">
        <f t="shared" si="378"/>
        <v>8.5190485926531764E-2</v>
      </c>
    </row>
    <row r="9153" spans="1:11" hidden="1">
      <c r="A9153" s="4">
        <v>2026</v>
      </c>
      <c r="B9153">
        <v>31</v>
      </c>
      <c r="C9153" t="s">
        <v>10</v>
      </c>
      <c r="D9153" t="s">
        <v>11</v>
      </c>
      <c r="E9153" t="s">
        <v>38</v>
      </c>
      <c r="F9153" t="s">
        <v>115</v>
      </c>
      <c r="G9153" t="str">
        <f>+E9153&amp;F9153</f>
        <v>021PISTACHIO KISS</v>
      </c>
      <c r="H9153" s="5">
        <f>VLOOKUP(G9153,[8]Astroflores!$G$2:$H$110,2,FALSE)</f>
        <v>800</v>
      </c>
      <c r="I9153" s="6">
        <v>880.37999999999965</v>
      </c>
      <c r="J9153" s="5">
        <v>6400</v>
      </c>
      <c r="K9153" s="6">
        <f t="shared" si="378"/>
        <v>0.90869851654967204</v>
      </c>
    </row>
    <row r="9154" spans="1:11" hidden="1">
      <c r="A9154" s="4">
        <v>2026</v>
      </c>
      <c r="B9154">
        <v>32</v>
      </c>
      <c r="C9154" t="s">
        <v>10</v>
      </c>
      <c r="D9154" t="s">
        <v>11</v>
      </c>
      <c r="E9154" t="s">
        <v>38</v>
      </c>
      <c r="F9154" t="s">
        <v>115</v>
      </c>
      <c r="G9154" t="str">
        <f t="shared" si="377"/>
        <v>021PISTACHIO KISS</v>
      </c>
      <c r="H9154" s="5">
        <f>VLOOKUP(G9154,[9]Astroflores!$G$2:$H$110,2,FALSE)</f>
        <v>625</v>
      </c>
      <c r="I9154" s="6">
        <v>880.37999999999965</v>
      </c>
      <c r="J9154" s="5">
        <v>6400</v>
      </c>
      <c r="K9154" s="6">
        <f t="shared" si="378"/>
        <v>0.7099207160544313</v>
      </c>
    </row>
    <row r="9155" spans="1:11">
      <c r="A9155" s="4">
        <v>2026</v>
      </c>
      <c r="B9155">
        <v>33</v>
      </c>
      <c r="C9155" t="s">
        <v>10</v>
      </c>
      <c r="D9155" t="s">
        <v>11</v>
      </c>
      <c r="E9155" t="s">
        <v>38</v>
      </c>
      <c r="F9155" t="s">
        <v>115</v>
      </c>
      <c r="G9155" t="str">
        <f t="shared" ref="G9155:G9156" si="383">+E9155&amp;F9155</f>
        <v>021PISTACHIO KISS</v>
      </c>
      <c r="H9155" s="5">
        <f>VLOOKUP(G9155,[10]Astroflores!$G$2:$H$108,2,FALSE)</f>
        <v>960</v>
      </c>
      <c r="I9155" s="6">
        <v>880.37999999999965</v>
      </c>
      <c r="J9155" s="5">
        <v>6400</v>
      </c>
      <c r="K9155" s="6">
        <f t="shared" ref="K9155:K9156" si="384">+H9155/I9155</f>
        <v>1.0904382198596065</v>
      </c>
    </row>
    <row r="9156" spans="1:11" hidden="1">
      <c r="A9156" s="4">
        <v>2026</v>
      </c>
      <c r="B9156">
        <v>34</v>
      </c>
      <c r="C9156" t="s">
        <v>10</v>
      </c>
      <c r="D9156" t="s">
        <v>11</v>
      </c>
      <c r="E9156" t="s">
        <v>38</v>
      </c>
      <c r="F9156" t="s">
        <v>115</v>
      </c>
      <c r="G9156" t="str">
        <f t="shared" si="383"/>
        <v>021PISTACHIO KISS</v>
      </c>
      <c r="H9156" s="5">
        <v>125</v>
      </c>
      <c r="I9156" s="6">
        <v>880.37999999999965</v>
      </c>
      <c r="J9156" s="5">
        <v>6400</v>
      </c>
      <c r="K9156" s="6">
        <f t="shared" si="384"/>
        <v>0.14198414321088626</v>
      </c>
    </row>
    <row r="9157" spans="1:11">
      <c r="A9157" s="4">
        <v>2026</v>
      </c>
      <c r="B9157">
        <v>33</v>
      </c>
      <c r="C9157" t="s">
        <v>10</v>
      </c>
      <c r="D9157" t="s">
        <v>11</v>
      </c>
      <c r="E9157" t="s">
        <v>12</v>
      </c>
      <c r="F9157" t="s">
        <v>13</v>
      </c>
      <c r="G9157" t="str">
        <f t="shared" si="377"/>
        <v>002SOMERSET</v>
      </c>
      <c r="H9157" s="5">
        <f>VLOOKUP(G9157,[10]Astroflores!$G$2:$H$108,2,FALSE)</f>
        <v>8220</v>
      </c>
      <c r="I9157" s="6">
        <v>4121.4642855494085</v>
      </c>
      <c r="J9157" s="5">
        <v>31200</v>
      </c>
      <c r="K9157" s="6">
        <f t="shared" si="378"/>
        <v>1.9944367900556099</v>
      </c>
    </row>
    <row r="9158" spans="1:11">
      <c r="A9158" s="4">
        <v>2026</v>
      </c>
      <c r="B9158">
        <v>33</v>
      </c>
      <c r="C9158" t="s">
        <v>10</v>
      </c>
      <c r="D9158" t="s">
        <v>11</v>
      </c>
      <c r="E9158" t="s">
        <v>14</v>
      </c>
      <c r="F9158" t="s">
        <v>15</v>
      </c>
      <c r="G9158" t="str">
        <f t="shared" si="377"/>
        <v>004BELLINA</v>
      </c>
      <c r="H9158" s="5">
        <f>VLOOKUP(G9158,[10]Astroflores!$G$2:$H$108,2,FALSE)</f>
        <v>1245</v>
      </c>
      <c r="I9158" s="6">
        <v>1056.7857142434418</v>
      </c>
      <c r="J9158" s="5">
        <v>8000</v>
      </c>
      <c r="K9158" s="6">
        <f t="shared" si="378"/>
        <v>1.1781007097463478</v>
      </c>
    </row>
    <row r="9159" spans="1:11">
      <c r="A9159" s="4">
        <v>2026</v>
      </c>
      <c r="B9159">
        <v>33</v>
      </c>
      <c r="C9159" t="s">
        <v>10</v>
      </c>
      <c r="D9159" t="s">
        <v>11</v>
      </c>
      <c r="E9159" t="s">
        <v>16</v>
      </c>
      <c r="F9159" t="s">
        <v>17</v>
      </c>
      <c r="G9159" t="str">
        <f t="shared" si="377"/>
        <v>005ELBA</v>
      </c>
      <c r="H9159" s="5">
        <f>VLOOKUP(G9159,[10]Astroflores!$G$2:$H$108,2,FALSE)</f>
        <v>6930</v>
      </c>
      <c r="I9159" s="6">
        <v>2641.9642856076484</v>
      </c>
      <c r="J9159" s="5">
        <v>19996</v>
      </c>
      <c r="K9159" s="6">
        <f t="shared" si="378"/>
        <v>2.6230483272434202</v>
      </c>
    </row>
    <row r="9160" spans="1:11">
      <c r="A9160" s="4">
        <v>2026</v>
      </c>
      <c r="B9160">
        <v>33</v>
      </c>
      <c r="C9160" t="s">
        <v>10</v>
      </c>
      <c r="D9160" t="s">
        <v>11</v>
      </c>
      <c r="E9160" t="s">
        <v>16</v>
      </c>
      <c r="F9160" t="s">
        <v>18</v>
      </c>
      <c r="G9160" t="str">
        <f t="shared" si="377"/>
        <v>005HOT BUBBLES</v>
      </c>
      <c r="H9160" s="5">
        <f>VLOOKUP(G9160,[10]Astroflores!$G$2:$H$108,2,FALSE)</f>
        <v>960</v>
      </c>
      <c r="I9160" s="6">
        <v>528.39285712153003</v>
      </c>
      <c r="J9160" s="5">
        <v>4000</v>
      </c>
      <c r="K9160" s="6">
        <f t="shared" si="378"/>
        <v>1.8168300102118917</v>
      </c>
    </row>
    <row r="9161" spans="1:11">
      <c r="A9161" s="4">
        <v>2026</v>
      </c>
      <c r="B9161">
        <v>33</v>
      </c>
      <c r="C9161" t="s">
        <v>10</v>
      </c>
      <c r="D9161" t="s">
        <v>11</v>
      </c>
      <c r="E9161" t="s">
        <v>16</v>
      </c>
      <c r="F9161" t="s">
        <v>19</v>
      </c>
      <c r="G9161" t="str">
        <f t="shared" si="377"/>
        <v>005SUSPIRO</v>
      </c>
      <c r="H9161" s="5">
        <f>VLOOKUP(G9161,[10]Astroflores!$G$2:$H$108,2,FALSE)</f>
        <v>4590</v>
      </c>
      <c r="I9161" s="6">
        <v>1902.2142856375078</v>
      </c>
      <c r="J9161" s="5">
        <v>14400</v>
      </c>
      <c r="K9161" s="6">
        <f t="shared" si="378"/>
        <v>2.4129773573126689</v>
      </c>
    </row>
    <row r="9162" spans="1:11">
      <c r="A9162" s="4">
        <v>2026</v>
      </c>
      <c r="B9162">
        <v>33</v>
      </c>
      <c r="C9162" t="s">
        <v>10</v>
      </c>
      <c r="D9162" t="s">
        <v>11</v>
      </c>
      <c r="E9162" t="s">
        <v>20</v>
      </c>
      <c r="F9162" t="s">
        <v>21</v>
      </c>
      <c r="G9162" t="str">
        <f t="shared" si="377"/>
        <v>007SNOW BUBBLES</v>
      </c>
      <c r="H9162" s="5" t="e">
        <f>VLOOKUP(G9162,[10]Astroflores!$G$2:$H$108,2,FALSE)</f>
        <v>#N/A</v>
      </c>
      <c r="I9162" s="6">
        <v>634.05652706821195</v>
      </c>
      <c r="J9162" s="5">
        <v>4800</v>
      </c>
      <c r="K9162" s="6" t="e">
        <f t="shared" si="378"/>
        <v>#N/A</v>
      </c>
    </row>
    <row r="9163" spans="1:11">
      <c r="A9163" s="4">
        <v>2026</v>
      </c>
      <c r="B9163">
        <v>33</v>
      </c>
      <c r="C9163" t="s">
        <v>10</v>
      </c>
      <c r="D9163" t="s">
        <v>11</v>
      </c>
      <c r="E9163" t="s">
        <v>22</v>
      </c>
      <c r="F9163" t="s">
        <v>18</v>
      </c>
      <c r="G9163" t="str">
        <f t="shared" si="377"/>
        <v>009HOT BUBBLES</v>
      </c>
      <c r="H9163" s="5">
        <f>VLOOKUP(G9163,[10]Astroflores!$G$2:$H$108,2,FALSE)</f>
        <v>6260</v>
      </c>
      <c r="I9163" s="6">
        <v>4487.9999999102474</v>
      </c>
      <c r="J9163" s="5">
        <v>31740</v>
      </c>
      <c r="K9163" s="6">
        <f t="shared" si="378"/>
        <v>1.3948306595644362</v>
      </c>
    </row>
    <row r="9164" spans="1:11">
      <c r="A9164" s="4">
        <v>2026</v>
      </c>
      <c r="B9164">
        <v>33</v>
      </c>
      <c r="C9164" t="s">
        <v>10</v>
      </c>
      <c r="D9164" t="s">
        <v>11</v>
      </c>
      <c r="E9164" t="s">
        <v>23</v>
      </c>
      <c r="F9164" t="s">
        <v>24</v>
      </c>
      <c r="G9164" t="str">
        <f t="shared" si="377"/>
        <v>014FRUITY BUBBLES</v>
      </c>
      <c r="H9164" s="5">
        <f>VLOOKUP(G9164,[10]Astroflores!$G$2:$H$108,2,FALSE)</f>
        <v>2075</v>
      </c>
      <c r="I9164" s="6">
        <v>1702.8</v>
      </c>
      <c r="J9164" s="5">
        <v>12900</v>
      </c>
      <c r="K9164" s="6">
        <f t="shared" si="378"/>
        <v>1.2185811604416257</v>
      </c>
    </row>
    <row r="9165" spans="1:11">
      <c r="A9165" s="4">
        <v>2026</v>
      </c>
      <c r="B9165">
        <v>33</v>
      </c>
      <c r="C9165" t="s">
        <v>10</v>
      </c>
      <c r="D9165" t="s">
        <v>11</v>
      </c>
      <c r="E9165" t="s">
        <v>25</v>
      </c>
      <c r="F9165" t="s">
        <v>26</v>
      </c>
      <c r="G9165" t="str">
        <f t="shared" si="377"/>
        <v>015FELLINI</v>
      </c>
      <c r="H9165" s="5">
        <f>VLOOKUP(G9165,[10]Astroflores!$G$2:$H$108,2,FALSE)</f>
        <v>6200</v>
      </c>
      <c r="I9165" s="6">
        <v>3009.6</v>
      </c>
      <c r="J9165" s="5">
        <v>22800</v>
      </c>
      <c r="K9165" s="6">
        <f t="shared" si="378"/>
        <v>2.0600744284954811</v>
      </c>
    </row>
    <row r="9166" spans="1:11">
      <c r="A9166" s="4">
        <v>2026</v>
      </c>
      <c r="B9166">
        <v>33</v>
      </c>
      <c r="C9166" t="s">
        <v>10</v>
      </c>
      <c r="D9166" t="s">
        <v>11</v>
      </c>
      <c r="E9166" t="s">
        <v>27</v>
      </c>
      <c r="F9166" t="s">
        <v>28</v>
      </c>
      <c r="G9166" t="str">
        <f t="shared" si="377"/>
        <v>016GOOD PEACH</v>
      </c>
      <c r="H9166" s="5">
        <f>VLOOKUP(G9166,[10]Astroflores!$G$2:$H$108,2,FALSE)</f>
        <v>3000</v>
      </c>
      <c r="I9166" s="6">
        <v>1386</v>
      </c>
      <c r="J9166" s="5">
        <v>10500</v>
      </c>
      <c r="K9166" s="6">
        <f t="shared" si="378"/>
        <v>2.1645021645021645</v>
      </c>
    </row>
    <row r="9167" spans="1:11">
      <c r="A9167" s="4">
        <v>2026</v>
      </c>
      <c r="B9167">
        <v>33</v>
      </c>
      <c r="C9167" t="s">
        <v>10</v>
      </c>
      <c r="D9167" t="s">
        <v>11</v>
      </c>
      <c r="E9167" t="s">
        <v>27</v>
      </c>
      <c r="F9167" t="s">
        <v>29</v>
      </c>
      <c r="G9167" t="str">
        <f t="shared" si="377"/>
        <v>016GOOD YELLOW</v>
      </c>
      <c r="H9167" s="5">
        <f>VLOOKUP(G9167,[10]Astroflores!$G$2:$H$108,2,FALSE)</f>
        <v>4020</v>
      </c>
      <c r="I9167" s="6">
        <v>1386</v>
      </c>
      <c r="J9167" s="5">
        <v>10500</v>
      </c>
      <c r="K9167" s="6">
        <f t="shared" si="378"/>
        <v>2.9004329004329006</v>
      </c>
    </row>
    <row r="9168" spans="1:11">
      <c r="A9168" s="4">
        <v>2026</v>
      </c>
      <c r="B9168">
        <v>33</v>
      </c>
      <c r="C9168" t="s">
        <v>10</v>
      </c>
      <c r="D9168" t="s">
        <v>11</v>
      </c>
      <c r="E9168" t="s">
        <v>30</v>
      </c>
      <c r="F9168" t="s">
        <v>31</v>
      </c>
      <c r="G9168" t="str">
        <f t="shared" si="377"/>
        <v>017ORANGE STAR</v>
      </c>
      <c r="H9168" s="5">
        <f>VLOOKUP(G9168,[10]Astroflores!$G$2:$H$108,2,FALSE)</f>
        <v>875</v>
      </c>
      <c r="I9168" s="6">
        <v>1029.5999999999999</v>
      </c>
      <c r="J9168" s="5">
        <v>7800</v>
      </c>
      <c r="K9168" s="6">
        <f t="shared" si="378"/>
        <v>0.84984459984459992</v>
      </c>
    </row>
    <row r="9169" spans="1:11">
      <c r="A9169" s="4">
        <v>2026</v>
      </c>
      <c r="B9169">
        <v>33</v>
      </c>
      <c r="C9169" t="s">
        <v>10</v>
      </c>
      <c r="D9169" t="s">
        <v>11</v>
      </c>
      <c r="E9169" t="s">
        <v>32</v>
      </c>
      <c r="F9169" t="s">
        <v>33</v>
      </c>
      <c r="G9169" t="str">
        <f t="shared" si="377"/>
        <v>018COSMO</v>
      </c>
      <c r="H9169" s="5">
        <f>VLOOKUP(G9169,[10]Astroflores!$G$2:$H$108,2,FALSE)</f>
        <v>3275</v>
      </c>
      <c r="I9169" s="6">
        <v>2653.2</v>
      </c>
      <c r="J9169" s="5">
        <v>20100</v>
      </c>
      <c r="K9169" s="6">
        <f t="shared" si="378"/>
        <v>1.2343585104779136</v>
      </c>
    </row>
    <row r="9170" spans="1:11">
      <c r="A9170" s="4">
        <v>2026</v>
      </c>
      <c r="B9170">
        <v>33</v>
      </c>
      <c r="C9170" t="s">
        <v>10</v>
      </c>
      <c r="D9170" t="s">
        <v>11</v>
      </c>
      <c r="E9170" t="s">
        <v>32</v>
      </c>
      <c r="F9170" t="s">
        <v>34</v>
      </c>
      <c r="G9170" t="str">
        <f t="shared" si="377"/>
        <v>018RUBICON</v>
      </c>
      <c r="H9170" s="5">
        <f>VLOOKUP(G9170,[10]Astroflores!$G$2:$H$108,2,FALSE)</f>
        <v>3090</v>
      </c>
      <c r="I9170" s="6">
        <v>1768.8</v>
      </c>
      <c r="J9170" s="5">
        <v>13400</v>
      </c>
      <c r="K9170" s="6">
        <f t="shared" si="378"/>
        <v>1.7469470827679783</v>
      </c>
    </row>
    <row r="9171" spans="1:11">
      <c r="A9171" s="4">
        <v>2026</v>
      </c>
      <c r="B9171">
        <v>33</v>
      </c>
      <c r="C9171" t="s">
        <v>10</v>
      </c>
      <c r="D9171" t="s">
        <v>11</v>
      </c>
      <c r="E9171" t="s">
        <v>35</v>
      </c>
      <c r="F9171" t="s">
        <v>15</v>
      </c>
      <c r="G9171" t="str">
        <f t="shared" si="377"/>
        <v>019BELLINA</v>
      </c>
      <c r="H9171" s="5">
        <f>VLOOKUP(G9171,[10]Astroflores!$G$2:$H$108,2,FALSE)</f>
        <v>1755</v>
      </c>
      <c r="I9171" s="6">
        <v>1029.5999999999999</v>
      </c>
      <c r="J9171" s="5">
        <v>7800</v>
      </c>
      <c r="K9171" s="6">
        <f t="shared" si="378"/>
        <v>1.7045454545454546</v>
      </c>
    </row>
    <row r="9172" spans="1:11">
      <c r="A9172" s="4">
        <v>2026</v>
      </c>
      <c r="B9172">
        <v>33</v>
      </c>
      <c r="C9172" t="s">
        <v>10</v>
      </c>
      <c r="D9172" t="s">
        <v>11</v>
      </c>
      <c r="E9172" t="s">
        <v>36</v>
      </c>
      <c r="F9172" t="s">
        <v>37</v>
      </c>
      <c r="G9172" t="str">
        <f t="shared" si="377"/>
        <v>020SUMMER DANCE</v>
      </c>
      <c r="H9172" s="5">
        <f>VLOOKUP(G9172,[10]Astroflores!$G$2:$H$108,2,FALSE)</f>
        <v>2475</v>
      </c>
      <c r="I9172" s="6">
        <v>1346.4</v>
      </c>
      <c r="J9172" s="5">
        <v>10200</v>
      </c>
      <c r="K9172" s="6">
        <f t="shared" si="378"/>
        <v>1.838235294117647</v>
      </c>
    </row>
    <row r="9173" spans="1:11">
      <c r="A9173" s="4">
        <v>2026</v>
      </c>
      <c r="B9173">
        <v>33</v>
      </c>
      <c r="C9173" t="s">
        <v>10</v>
      </c>
      <c r="D9173" t="s">
        <v>11</v>
      </c>
      <c r="E9173" t="s">
        <v>38</v>
      </c>
      <c r="F9173" t="s">
        <v>39</v>
      </c>
      <c r="G9173" t="str">
        <f t="shared" si="377"/>
        <v>021ELEGANT ROSEVER</v>
      </c>
      <c r="H9173" s="5">
        <f>VLOOKUP(G9173,[10]Astroflores!$G$2:$H$108,2,FALSE)</f>
        <v>600</v>
      </c>
      <c r="I9173" s="6">
        <v>440.18999062500001</v>
      </c>
      <c r="J9173" s="5">
        <v>3200</v>
      </c>
      <c r="K9173" s="6">
        <f t="shared" si="378"/>
        <v>1.3630478038541838</v>
      </c>
    </row>
    <row r="9174" spans="1:11">
      <c r="A9174" s="4">
        <v>2026</v>
      </c>
      <c r="B9174">
        <v>33</v>
      </c>
      <c r="C9174" t="s">
        <v>10</v>
      </c>
      <c r="D9174" t="s">
        <v>11</v>
      </c>
      <c r="E9174" t="s">
        <v>38</v>
      </c>
      <c r="F9174" t="s">
        <v>40</v>
      </c>
      <c r="G9174" t="str">
        <f t="shared" si="377"/>
        <v>021FLAME CLUB</v>
      </c>
      <c r="H9174" s="5">
        <f>VLOOKUP(G9174,[10]Astroflores!$G$2:$H$108,2,FALSE)</f>
        <v>1275</v>
      </c>
      <c r="I9174" s="6">
        <v>880.38</v>
      </c>
      <c r="J9174" s="5">
        <v>6400</v>
      </c>
      <c r="K9174" s="6">
        <f t="shared" si="378"/>
        <v>1.4482382607510393</v>
      </c>
    </row>
    <row r="9175" spans="1:11">
      <c r="A9175" s="4">
        <v>2026</v>
      </c>
      <c r="B9175">
        <v>33</v>
      </c>
      <c r="C9175" t="s">
        <v>10</v>
      </c>
      <c r="D9175" t="s">
        <v>11</v>
      </c>
      <c r="E9175" t="s">
        <v>38</v>
      </c>
      <c r="F9175" t="s">
        <v>41</v>
      </c>
      <c r="G9175" t="str">
        <f t="shared" ref="G9175:G9237" si="385">+E9175&amp;F9175</f>
        <v>021KELLY</v>
      </c>
      <c r="H9175" s="5">
        <f>VLOOKUP(G9175,[10]Astroflores!$G$2:$H$108,2,FALSE)</f>
        <v>625</v>
      </c>
      <c r="I9175" s="6">
        <v>330.14249999999998</v>
      </c>
      <c r="J9175" s="5">
        <v>2400</v>
      </c>
      <c r="K9175" s="6">
        <f t="shared" si="378"/>
        <v>1.8931219094784828</v>
      </c>
    </row>
    <row r="9176" spans="1:11">
      <c r="A9176" s="4">
        <v>2026</v>
      </c>
      <c r="B9176">
        <v>33</v>
      </c>
      <c r="C9176" t="s">
        <v>10</v>
      </c>
      <c r="D9176" t="s">
        <v>11</v>
      </c>
      <c r="E9176" t="s">
        <v>38</v>
      </c>
      <c r="F9176" t="s">
        <v>42</v>
      </c>
      <c r="G9176" t="str">
        <f t="shared" si="385"/>
        <v>021LEILA</v>
      </c>
      <c r="H9176" s="5">
        <f>VLOOKUP(G9176,[10]Astroflores!$G$2:$H$108,2,FALSE)</f>
        <v>1500</v>
      </c>
      <c r="I9176" s="6">
        <v>1650.7125000000001</v>
      </c>
      <c r="J9176" s="5">
        <v>12000</v>
      </c>
      <c r="K9176" s="6">
        <f t="shared" si="378"/>
        <v>0.90869851654967171</v>
      </c>
    </row>
    <row r="9177" spans="1:11">
      <c r="A9177" s="4">
        <v>2026</v>
      </c>
      <c r="B9177">
        <v>33</v>
      </c>
      <c r="C9177" t="s">
        <v>10</v>
      </c>
      <c r="D9177" t="s">
        <v>11</v>
      </c>
      <c r="E9177" t="s">
        <v>38</v>
      </c>
      <c r="F9177" t="s">
        <v>21</v>
      </c>
      <c r="G9177" t="str">
        <f t="shared" si="385"/>
        <v>021SNOW BUBBLES</v>
      </c>
      <c r="H9177" s="5">
        <f>VLOOKUP(G9177,[10]Astroflores!$G$2:$H$108,2,FALSE)</f>
        <v>3040</v>
      </c>
      <c r="I9177" s="6">
        <v>1287.0000000000018</v>
      </c>
      <c r="J9177" s="5">
        <v>9400</v>
      </c>
      <c r="K9177" s="6">
        <f t="shared" si="378"/>
        <v>2.3620823620823588</v>
      </c>
    </row>
    <row r="9178" spans="1:11">
      <c r="A9178" s="4">
        <v>2026</v>
      </c>
      <c r="B9178">
        <v>33</v>
      </c>
      <c r="C9178" t="s">
        <v>10</v>
      </c>
      <c r="D9178" t="s">
        <v>11</v>
      </c>
      <c r="E9178" t="s">
        <v>43</v>
      </c>
      <c r="F9178" t="s">
        <v>24</v>
      </c>
      <c r="G9178" t="str">
        <f t="shared" si="385"/>
        <v>022FRUITY BUBBLES</v>
      </c>
      <c r="H9178" s="5">
        <f>VLOOKUP(G9178,[10]Astroflores!$G$2:$H$108,2,FALSE)</f>
        <v>4700</v>
      </c>
      <c r="I9178" s="6">
        <v>2641.14</v>
      </c>
      <c r="J9178" s="5">
        <v>19200</v>
      </c>
      <c r="K9178" s="6">
        <f t="shared" si="378"/>
        <v>1.7795345949097738</v>
      </c>
    </row>
    <row r="9179" spans="1:11">
      <c r="A9179" s="4">
        <v>2026</v>
      </c>
      <c r="B9179">
        <v>33</v>
      </c>
      <c r="C9179" t="s">
        <v>10</v>
      </c>
      <c r="D9179" t="s">
        <v>11</v>
      </c>
      <c r="E9179" t="s">
        <v>43</v>
      </c>
      <c r="F9179" t="s">
        <v>28</v>
      </c>
      <c r="G9179" t="str">
        <f t="shared" si="385"/>
        <v>022GOOD PEACH</v>
      </c>
      <c r="H9179" s="5">
        <f>VLOOKUP(G9179,[10]Astroflores!$G$2:$H$108,2,FALSE)</f>
        <v>2460</v>
      </c>
      <c r="I9179" s="6">
        <v>880.38</v>
      </c>
      <c r="J9179" s="5">
        <v>6400</v>
      </c>
      <c r="K9179" s="6">
        <f t="shared" si="378"/>
        <v>2.7942479383902405</v>
      </c>
    </row>
    <row r="9180" spans="1:11">
      <c r="A9180" s="4">
        <v>2026</v>
      </c>
      <c r="B9180">
        <v>33</v>
      </c>
      <c r="C9180" t="s">
        <v>10</v>
      </c>
      <c r="D9180" t="s">
        <v>11</v>
      </c>
      <c r="E9180" t="s">
        <v>43</v>
      </c>
      <c r="F9180" t="s">
        <v>44</v>
      </c>
      <c r="G9180" t="str">
        <f t="shared" si="385"/>
        <v>022MIRABEL</v>
      </c>
      <c r="H9180" s="5">
        <f>VLOOKUP(G9180,[10]Astroflores!$G$2:$H$108,2,FALSE)</f>
        <v>1520</v>
      </c>
      <c r="I9180" s="6">
        <v>880.38</v>
      </c>
      <c r="J9180" s="5">
        <v>6400</v>
      </c>
      <c r="K9180" s="6">
        <f t="shared" si="378"/>
        <v>1.7265271814443763</v>
      </c>
    </row>
    <row r="9181" spans="1:11">
      <c r="A9181" s="4">
        <v>2026</v>
      </c>
      <c r="B9181">
        <v>33</v>
      </c>
      <c r="C9181" t="s">
        <v>10</v>
      </c>
      <c r="D9181" t="s">
        <v>11</v>
      </c>
      <c r="E9181" t="s">
        <v>45</v>
      </c>
      <c r="F9181" t="s">
        <v>46</v>
      </c>
      <c r="G9181" t="str">
        <f t="shared" si="385"/>
        <v>026PURPLE BUBBLY</v>
      </c>
      <c r="H9181" s="5" t="e">
        <f>VLOOKUP(G9181,[10]Astroflores!$G$2:$H$108,2,FALSE)</f>
        <v>#N/A</v>
      </c>
      <c r="I9181" s="6">
        <v>1755.4</v>
      </c>
      <c r="J9181" s="5">
        <v>12800</v>
      </c>
      <c r="K9181" s="6" t="e">
        <f t="shared" si="378"/>
        <v>#N/A</v>
      </c>
    </row>
    <row r="9182" spans="1:11">
      <c r="A9182" s="4">
        <v>2026</v>
      </c>
      <c r="B9182">
        <v>33</v>
      </c>
      <c r="C9182" t="s">
        <v>10</v>
      </c>
      <c r="D9182" t="s">
        <v>11</v>
      </c>
      <c r="E9182" t="s">
        <v>47</v>
      </c>
      <c r="F9182" t="s">
        <v>44</v>
      </c>
      <c r="G9182" t="str">
        <f t="shared" si="385"/>
        <v>030MIRABEL</v>
      </c>
      <c r="H9182" s="5">
        <f>VLOOKUP(G9182,[10]Astroflores!$G$2:$H$108,2,FALSE)</f>
        <v>2660</v>
      </c>
      <c r="I9182" s="6">
        <v>2413.6749943750001</v>
      </c>
      <c r="J9182" s="5">
        <v>17600</v>
      </c>
      <c r="K9182" s="6">
        <f t="shared" si="378"/>
        <v>1.1020539244923417</v>
      </c>
    </row>
    <row r="9183" spans="1:11">
      <c r="A9183" s="4">
        <v>2026</v>
      </c>
      <c r="B9183">
        <v>33</v>
      </c>
      <c r="C9183" t="s">
        <v>10</v>
      </c>
      <c r="D9183" t="s">
        <v>11</v>
      </c>
      <c r="E9183" t="s">
        <v>47</v>
      </c>
      <c r="F9183" t="s">
        <v>13</v>
      </c>
      <c r="G9183" t="str">
        <f t="shared" si="385"/>
        <v>030SOMERSET</v>
      </c>
      <c r="H9183" s="5">
        <f>VLOOKUP(G9183,[10]Astroflores!$G$2:$H$108,2,FALSE)</f>
        <v>2780</v>
      </c>
      <c r="I9183" s="6">
        <v>1645.6875</v>
      </c>
      <c r="J9183" s="5">
        <v>12000</v>
      </c>
      <c r="K9183" s="6">
        <f t="shared" si="378"/>
        <v>1.6892636056359425</v>
      </c>
    </row>
    <row r="9184" spans="1:11">
      <c r="A9184" s="4">
        <v>2026</v>
      </c>
      <c r="B9184">
        <v>33</v>
      </c>
      <c r="C9184" t="s">
        <v>10</v>
      </c>
      <c r="D9184" t="s">
        <v>11</v>
      </c>
      <c r="E9184" t="s">
        <v>48</v>
      </c>
      <c r="F9184" t="s">
        <v>49</v>
      </c>
      <c r="G9184" t="str">
        <f t="shared" si="385"/>
        <v>03182989</v>
      </c>
      <c r="H9184" s="5">
        <f>VLOOKUP(G9184,[10]Astroflores!$G$2:$H$108,2,FALSE)</f>
        <v>600</v>
      </c>
      <c r="I9184" s="6">
        <v>726.32013058333712</v>
      </c>
      <c r="J9184" s="5">
        <v>5712</v>
      </c>
      <c r="K9184" s="6">
        <f t="shared" si="378"/>
        <v>0.82608201912029577</v>
      </c>
    </row>
    <row r="9185" spans="1:11">
      <c r="A9185" s="4">
        <v>2026</v>
      </c>
      <c r="B9185">
        <v>33</v>
      </c>
      <c r="C9185" t="s">
        <v>10</v>
      </c>
      <c r="D9185" t="s">
        <v>11</v>
      </c>
      <c r="E9185" t="s">
        <v>48</v>
      </c>
      <c r="F9185" t="s">
        <v>34</v>
      </c>
      <c r="G9185" t="str">
        <f t="shared" si="385"/>
        <v>031RUBICON</v>
      </c>
      <c r="H9185" s="5">
        <f>VLOOKUP(G9185,[10]Astroflores!$G$2:$H$108,2,FALSE)</f>
        <v>1680</v>
      </c>
      <c r="I9185" s="6">
        <v>924.39958333667107</v>
      </c>
      <c r="J9185" s="5">
        <v>6720</v>
      </c>
      <c r="K9185" s="6">
        <f t="shared" si="378"/>
        <v>1.8173958862421247</v>
      </c>
    </row>
    <row r="9186" spans="1:11">
      <c r="A9186" s="4">
        <v>2026</v>
      </c>
      <c r="B9186">
        <v>33</v>
      </c>
      <c r="C9186" t="s">
        <v>10</v>
      </c>
      <c r="D9186" t="s">
        <v>11</v>
      </c>
      <c r="E9186" t="s">
        <v>48</v>
      </c>
      <c r="F9186" t="s">
        <v>13</v>
      </c>
      <c r="G9186" t="str">
        <f t="shared" si="385"/>
        <v>031SOMERSET</v>
      </c>
      <c r="H9186" s="5">
        <f>VLOOKUP(G9186,[10]Astroflores!$G$2:$H$108,2,FALSE)</f>
        <v>2540</v>
      </c>
      <c r="I9186" s="6">
        <v>1122.485208333339</v>
      </c>
      <c r="J9186" s="5">
        <v>8160</v>
      </c>
      <c r="K9186" s="6">
        <f t="shared" si="378"/>
        <v>2.2628360544468826</v>
      </c>
    </row>
    <row r="9187" spans="1:11">
      <c r="A9187" s="4">
        <v>2026</v>
      </c>
      <c r="B9187">
        <v>33</v>
      </c>
      <c r="C9187" t="s">
        <v>10</v>
      </c>
      <c r="D9187" t="s">
        <v>11</v>
      </c>
      <c r="E9187" t="s">
        <v>48</v>
      </c>
      <c r="F9187" t="s">
        <v>50</v>
      </c>
      <c r="G9187" t="str">
        <f t="shared" si="385"/>
        <v>031VELVET BLOSSOMS</v>
      </c>
      <c r="H9187" s="5">
        <f>VLOOKUP(G9187,[10]Astroflores!$G$2:$H$108,2,FALSE)</f>
        <v>620</v>
      </c>
      <c r="I9187" s="6">
        <v>396.17125000000198</v>
      </c>
      <c r="J9187" s="5">
        <v>2880</v>
      </c>
      <c r="K9187" s="6">
        <f t="shared" si="378"/>
        <v>1.5649797909363612</v>
      </c>
    </row>
    <row r="9188" spans="1:11">
      <c r="A9188" s="4">
        <v>2026</v>
      </c>
      <c r="B9188">
        <v>33</v>
      </c>
      <c r="C9188" t="s">
        <v>10</v>
      </c>
      <c r="D9188" t="s">
        <v>11</v>
      </c>
      <c r="E9188" t="s">
        <v>51</v>
      </c>
      <c r="F9188" t="s">
        <v>17</v>
      </c>
      <c r="G9188" t="str">
        <f t="shared" si="385"/>
        <v>032ELBA</v>
      </c>
      <c r="H9188" s="5">
        <f>VLOOKUP(G9188,[10]Astroflores!$G$2:$H$108,2,FALSE)</f>
        <v>2160</v>
      </c>
      <c r="I9188" s="6">
        <v>1535.9749999999999</v>
      </c>
      <c r="J9188" s="5">
        <v>11200</v>
      </c>
      <c r="K9188" s="6">
        <f t="shared" si="378"/>
        <v>1.4062728885561289</v>
      </c>
    </row>
    <row r="9189" spans="1:11">
      <c r="A9189" s="4">
        <v>2026</v>
      </c>
      <c r="B9189">
        <v>33</v>
      </c>
      <c r="C9189" t="s">
        <v>10</v>
      </c>
      <c r="D9189" t="s">
        <v>11</v>
      </c>
      <c r="E9189" t="s">
        <v>51</v>
      </c>
      <c r="F9189" t="s">
        <v>44</v>
      </c>
      <c r="G9189" t="str">
        <f t="shared" si="385"/>
        <v>032MIRABEL</v>
      </c>
      <c r="H9189" s="5">
        <f>VLOOKUP(G9189,[10]Astroflores!$G$2:$H$108,2,FALSE)</f>
        <v>1160</v>
      </c>
      <c r="I9189" s="6">
        <v>1535.9749999999999</v>
      </c>
      <c r="J9189" s="5">
        <v>11200</v>
      </c>
      <c r="K9189" s="6">
        <f t="shared" si="378"/>
        <v>0.75522062533569889</v>
      </c>
    </row>
    <row r="9190" spans="1:11">
      <c r="A9190" s="4">
        <v>2026</v>
      </c>
      <c r="B9190">
        <v>33</v>
      </c>
      <c r="C9190" t="s">
        <v>10</v>
      </c>
      <c r="D9190" t="s">
        <v>11</v>
      </c>
      <c r="E9190" t="s">
        <v>52</v>
      </c>
      <c r="F9190" t="s">
        <v>53</v>
      </c>
      <c r="G9190" t="str">
        <f t="shared" si="385"/>
        <v>033CREAMY FOLIES</v>
      </c>
      <c r="H9190" s="5">
        <f>VLOOKUP(G9190,[10]Astroflores!$G$2:$H$108,2,FALSE)</f>
        <v>1230</v>
      </c>
      <c r="I9190" s="6">
        <v>594.25687500000299</v>
      </c>
      <c r="J9190" s="5">
        <v>4320</v>
      </c>
      <c r="K9190" s="6">
        <f t="shared" si="378"/>
        <v>2.0698119815609939</v>
      </c>
    </row>
    <row r="9191" spans="1:11">
      <c r="A9191" s="4">
        <v>2026</v>
      </c>
      <c r="B9191">
        <v>33</v>
      </c>
      <c r="C9191" t="s">
        <v>10</v>
      </c>
      <c r="D9191" t="s">
        <v>11</v>
      </c>
      <c r="E9191" t="s">
        <v>52</v>
      </c>
      <c r="F9191" t="s">
        <v>18</v>
      </c>
      <c r="G9191" t="str">
        <f t="shared" si="385"/>
        <v>033HOT BUBBLES</v>
      </c>
      <c r="H9191" s="5">
        <f>VLOOKUP(G9191,[10]Astroflores!$G$2:$H$108,2,FALSE)</f>
        <v>4320</v>
      </c>
      <c r="I9191" s="6">
        <v>2575.1131250013459</v>
      </c>
      <c r="J9191" s="5">
        <v>18720</v>
      </c>
      <c r="K9191" s="6">
        <f t="shared" si="378"/>
        <v>1.6775962026902185</v>
      </c>
    </row>
    <row r="9192" spans="1:11">
      <c r="A9192" s="4">
        <v>2026</v>
      </c>
      <c r="B9192">
        <v>33</v>
      </c>
      <c r="C9192" t="s">
        <v>54</v>
      </c>
      <c r="D9192" t="s">
        <v>11</v>
      </c>
      <c r="E9192" t="s">
        <v>55</v>
      </c>
      <c r="F9192" t="s">
        <v>56</v>
      </c>
      <c r="G9192" t="str">
        <f t="shared" si="385"/>
        <v>001BELIEVE IN PINK</v>
      </c>
      <c r="H9192" s="5">
        <f>VLOOKUP(G9192,[10]Astroflores!$G$2:$H$108,2,FALSE)</f>
        <v>1140</v>
      </c>
      <c r="I9192" s="6">
        <v>528.37931032368999</v>
      </c>
      <c r="J9192" s="5">
        <v>4000</v>
      </c>
      <c r="K9192" s="6">
        <f t="shared" ref="K9192:K9198" si="386">IFERROR(H9192/I9192,"")</f>
        <v>2.1575409515971122</v>
      </c>
    </row>
    <row r="9193" spans="1:11">
      <c r="A9193" s="4">
        <v>2026</v>
      </c>
      <c r="B9193">
        <v>33</v>
      </c>
      <c r="C9193" t="s">
        <v>54</v>
      </c>
      <c r="D9193" t="s">
        <v>11</v>
      </c>
      <c r="E9193" t="s">
        <v>55</v>
      </c>
      <c r="F9193" t="s">
        <v>57</v>
      </c>
      <c r="G9193" t="str">
        <f t="shared" si="385"/>
        <v>001EXPLORER</v>
      </c>
      <c r="H9193" s="5">
        <f>VLOOKUP(G9193,[10]Astroflores!$G$2:$H$108,2,FALSE)</f>
        <v>5125</v>
      </c>
      <c r="I9193" s="6">
        <v>2272.0310343918732</v>
      </c>
      <c r="J9193" s="5">
        <v>17200</v>
      </c>
      <c r="K9193" s="6">
        <f t="shared" si="386"/>
        <v>2.25569101936662</v>
      </c>
    </row>
    <row r="9194" spans="1:11">
      <c r="A9194" s="4">
        <v>2026</v>
      </c>
      <c r="B9194">
        <v>33</v>
      </c>
      <c r="C9194" t="s">
        <v>54</v>
      </c>
      <c r="D9194" t="s">
        <v>11</v>
      </c>
      <c r="E9194" t="s">
        <v>55</v>
      </c>
      <c r="F9194" t="s">
        <v>58</v>
      </c>
      <c r="G9194" t="str">
        <f t="shared" si="385"/>
        <v>001GRACE KELLY</v>
      </c>
      <c r="H9194" s="5">
        <f>VLOOKUP(G9194,[10]Astroflores!$G$2:$H$108,2,FALSE)</f>
        <v>1710</v>
      </c>
      <c r="I9194" s="6">
        <v>1162.4344827121224</v>
      </c>
      <c r="J9194" s="5">
        <v>8800</v>
      </c>
      <c r="K9194" s="6">
        <f t="shared" si="386"/>
        <v>1.4710506488162074</v>
      </c>
    </row>
    <row r="9195" spans="1:11">
      <c r="A9195" s="4">
        <v>2026</v>
      </c>
      <c r="B9195">
        <v>33</v>
      </c>
      <c r="C9195" t="s">
        <v>54</v>
      </c>
      <c r="D9195" t="s">
        <v>11</v>
      </c>
      <c r="E9195" t="s">
        <v>55</v>
      </c>
      <c r="F9195" t="s">
        <v>59</v>
      </c>
      <c r="G9195" t="str">
        <f t="shared" si="385"/>
        <v>001IDOLE</v>
      </c>
      <c r="H9195" s="5" t="e">
        <f>VLOOKUP(G9195,[10]Astroflores!$G$2:$H$108,2,FALSE)</f>
        <v>#N/A</v>
      </c>
      <c r="I9195" s="6">
        <v>1162.4344827121181</v>
      </c>
      <c r="J9195" s="5">
        <v>8800</v>
      </c>
      <c r="K9195" s="6" t="str">
        <f t="shared" si="386"/>
        <v/>
      </c>
    </row>
    <row r="9196" spans="1:11">
      <c r="A9196" s="4">
        <v>2026</v>
      </c>
      <c r="B9196">
        <v>33</v>
      </c>
      <c r="C9196" t="s">
        <v>54</v>
      </c>
      <c r="D9196" t="s">
        <v>11</v>
      </c>
      <c r="E9196" t="s">
        <v>55</v>
      </c>
      <c r="F9196" t="s">
        <v>60</v>
      </c>
      <c r="G9196" t="str">
        <f t="shared" si="385"/>
        <v>001LIGHT HOUSE</v>
      </c>
      <c r="H9196" s="5">
        <f>VLOOKUP(G9196,[10]Astroflores!$G$2:$H$108,2,FALSE)</f>
        <v>2040</v>
      </c>
      <c r="I9196" s="6">
        <v>1056.7586206473827</v>
      </c>
      <c r="J9196" s="5">
        <v>8000</v>
      </c>
      <c r="K9196" s="6">
        <f t="shared" si="386"/>
        <v>1.9304313777447797</v>
      </c>
    </row>
    <row r="9197" spans="1:11">
      <c r="A9197" s="4">
        <v>2026</v>
      </c>
      <c r="B9197">
        <v>33</v>
      </c>
      <c r="C9197" t="s">
        <v>54</v>
      </c>
      <c r="D9197" t="s">
        <v>11</v>
      </c>
      <c r="E9197" t="s">
        <v>55</v>
      </c>
      <c r="F9197" t="s">
        <v>61</v>
      </c>
      <c r="G9197" t="str">
        <f t="shared" si="385"/>
        <v>001LUMIA</v>
      </c>
      <c r="H9197" s="5">
        <f>VLOOKUP(G9197,[10]Astroflores!$G$2:$H$108,2,FALSE)</f>
        <v>1680</v>
      </c>
      <c r="I9197" s="6">
        <v>1109.596551679753</v>
      </c>
      <c r="J9197" s="5">
        <v>8400</v>
      </c>
      <c r="K9197" s="6">
        <f t="shared" si="386"/>
        <v>1.5140638256821786</v>
      </c>
    </row>
    <row r="9198" spans="1:11">
      <c r="A9198" s="4">
        <v>2026</v>
      </c>
      <c r="B9198">
        <v>33</v>
      </c>
      <c r="C9198" t="s">
        <v>54</v>
      </c>
      <c r="D9198" t="s">
        <v>11</v>
      </c>
      <c r="E9198" t="s">
        <v>55</v>
      </c>
      <c r="F9198" t="s">
        <v>62</v>
      </c>
      <c r="G9198" t="str">
        <f t="shared" si="385"/>
        <v>001MOMENTUM</v>
      </c>
      <c r="H9198" s="5">
        <f>VLOOKUP(G9198,[10]Astroflores!$G$2:$H$108,2,FALSE)</f>
        <v>3600</v>
      </c>
      <c r="I9198" s="6">
        <v>1902.1655171652881</v>
      </c>
      <c r="J9198" s="5">
        <v>14400</v>
      </c>
      <c r="K9198" s="6">
        <f t="shared" si="386"/>
        <v>1.8925797821027259</v>
      </c>
    </row>
    <row r="9199" spans="1:11">
      <c r="A9199" s="4">
        <v>2026</v>
      </c>
      <c r="B9199">
        <v>33</v>
      </c>
      <c r="C9199" t="s">
        <v>54</v>
      </c>
      <c r="D9199" t="s">
        <v>11</v>
      </c>
      <c r="E9199" t="s">
        <v>12</v>
      </c>
      <c r="F9199" t="s">
        <v>63</v>
      </c>
      <c r="G9199" t="str">
        <f t="shared" si="385"/>
        <v>002SUMMER ROMANCE</v>
      </c>
      <c r="H9199" s="5">
        <f>VLOOKUP(G9199,[10]Astroflores!$G$2:$H$108,2,FALSE)</f>
        <v>1600</v>
      </c>
      <c r="I9199" s="6">
        <v>951.10714281909407</v>
      </c>
      <c r="J9199" s="5">
        <v>7200</v>
      </c>
      <c r="K9199" s="6">
        <f t="shared" ref="K9199:K9261" si="387">+H9199/I9199</f>
        <v>1.6822500094548538</v>
      </c>
    </row>
    <row r="9200" spans="1:11">
      <c r="A9200" s="4">
        <v>2026</v>
      </c>
      <c r="B9200">
        <v>33</v>
      </c>
      <c r="C9200" t="s">
        <v>54</v>
      </c>
      <c r="D9200" t="s">
        <v>11</v>
      </c>
      <c r="E9200" t="s">
        <v>12</v>
      </c>
      <c r="F9200" t="s">
        <v>64</v>
      </c>
      <c r="G9200" t="str">
        <f t="shared" si="385"/>
        <v>002SWEETNESS</v>
      </c>
      <c r="H9200" s="5">
        <f>VLOOKUP(G9200,[10]Astroflores!$G$2:$H$108,2,FALSE)</f>
        <v>5280</v>
      </c>
      <c r="I9200" s="6">
        <v>3804.4285712763772</v>
      </c>
      <c r="J9200" s="5">
        <v>28800</v>
      </c>
      <c r="K9200" s="6">
        <f t="shared" si="387"/>
        <v>1.387856257800254</v>
      </c>
    </row>
    <row r="9201" spans="1:11">
      <c r="A9201" s="4">
        <v>2026</v>
      </c>
      <c r="B9201">
        <v>33</v>
      </c>
      <c r="C9201" t="s">
        <v>54</v>
      </c>
      <c r="D9201" t="s">
        <v>11</v>
      </c>
      <c r="E9201" t="s">
        <v>65</v>
      </c>
      <c r="F9201" t="s">
        <v>66</v>
      </c>
      <c r="G9201" t="str">
        <f t="shared" si="385"/>
        <v>003CABARET</v>
      </c>
      <c r="H9201" s="5">
        <f>VLOOKUP(G9201,[10]Astroflores!$G$2:$H$108,2,FALSE)</f>
        <v>3660</v>
      </c>
      <c r="I9201" s="6">
        <v>2641.8965516184649</v>
      </c>
      <c r="J9201" s="5">
        <v>20000</v>
      </c>
      <c r="K9201" s="6">
        <f t="shared" si="387"/>
        <v>1.3853684004991906</v>
      </c>
    </row>
    <row r="9202" spans="1:11">
      <c r="A9202" s="4">
        <v>2026</v>
      </c>
      <c r="B9202">
        <v>33</v>
      </c>
      <c r="C9202" t="s">
        <v>54</v>
      </c>
      <c r="D9202" t="s">
        <v>11</v>
      </c>
      <c r="E9202" t="s">
        <v>65</v>
      </c>
      <c r="F9202" t="s">
        <v>67</v>
      </c>
      <c r="G9202" t="str">
        <f t="shared" si="385"/>
        <v>003DEEP PURPLE</v>
      </c>
      <c r="H9202" s="5">
        <f>VLOOKUP(G9202,[10]Astroflores!$G$2:$H$108,2,FALSE)</f>
        <v>8220</v>
      </c>
      <c r="I9202" s="6">
        <v>3592.9793102010913</v>
      </c>
      <c r="J9202" s="5">
        <v>26044</v>
      </c>
      <c r="K9202" s="6">
        <f t="shared" si="387"/>
        <v>2.2877949718947712</v>
      </c>
    </row>
    <row r="9203" spans="1:11">
      <c r="A9203" s="4">
        <v>2026</v>
      </c>
      <c r="B9203">
        <v>33</v>
      </c>
      <c r="C9203" t="s">
        <v>54</v>
      </c>
      <c r="D9203" t="s">
        <v>11</v>
      </c>
      <c r="E9203" t="s">
        <v>65</v>
      </c>
      <c r="F9203" t="s">
        <v>57</v>
      </c>
      <c r="G9203" t="str">
        <f t="shared" si="385"/>
        <v>003EXPLORER</v>
      </c>
      <c r="H9203" s="5">
        <f>VLOOKUP(G9203,[10]Astroflores!$G$2:$H$108,2,FALSE)</f>
        <v>1625</v>
      </c>
      <c r="I9203" s="6">
        <v>1268.1103447768633</v>
      </c>
      <c r="J9203" s="5">
        <v>9600</v>
      </c>
      <c r="K9203" s="6">
        <f t="shared" si="387"/>
        <v>1.2814342274653827</v>
      </c>
    </row>
    <row r="9204" spans="1:11">
      <c r="A9204" s="4">
        <v>2026</v>
      </c>
      <c r="B9204">
        <v>33</v>
      </c>
      <c r="C9204" t="s">
        <v>54</v>
      </c>
      <c r="D9204" t="s">
        <v>11</v>
      </c>
      <c r="E9204" t="s">
        <v>65</v>
      </c>
      <c r="F9204" t="s">
        <v>68</v>
      </c>
      <c r="G9204" t="str">
        <f t="shared" si="385"/>
        <v>003JOCKER</v>
      </c>
      <c r="H9204" s="5">
        <f>VLOOKUP(G9204,[10]Astroflores!$G$2:$H$108,2,FALSE)</f>
        <v>1075</v>
      </c>
      <c r="I9204" s="6">
        <v>528.37931032368999</v>
      </c>
      <c r="J9204" s="5">
        <v>4000</v>
      </c>
      <c r="K9204" s="6">
        <f t="shared" si="387"/>
        <v>2.0345232657604346</v>
      </c>
    </row>
    <row r="9205" spans="1:11">
      <c r="A9205" s="4">
        <v>2026</v>
      </c>
      <c r="B9205">
        <v>33</v>
      </c>
      <c r="C9205" t="s">
        <v>54</v>
      </c>
      <c r="D9205" t="s">
        <v>11</v>
      </c>
      <c r="E9205" t="s">
        <v>65</v>
      </c>
      <c r="F9205" t="s">
        <v>69</v>
      </c>
      <c r="G9205" t="str">
        <f t="shared" si="385"/>
        <v>003QUICKSAND</v>
      </c>
      <c r="H9205" s="5">
        <f>VLOOKUP(G9205,[10]Astroflores!$G$2:$H$108,2,FALSE)</f>
        <v>1980</v>
      </c>
      <c r="I9205" s="6">
        <v>1162.4344827121247</v>
      </c>
      <c r="J9205" s="5">
        <v>8800</v>
      </c>
      <c r="K9205" s="6">
        <f t="shared" si="387"/>
        <v>1.7033218038924471</v>
      </c>
    </row>
    <row r="9206" spans="1:11">
      <c r="A9206" s="4">
        <v>2026</v>
      </c>
      <c r="B9206">
        <v>33</v>
      </c>
      <c r="C9206" t="s">
        <v>54</v>
      </c>
      <c r="D9206" t="s">
        <v>11</v>
      </c>
      <c r="E9206" t="s">
        <v>14</v>
      </c>
      <c r="F9206" t="s">
        <v>70</v>
      </c>
      <c r="G9206" t="str">
        <f t="shared" si="385"/>
        <v>004COTOPAXI</v>
      </c>
      <c r="H9206" s="5">
        <f>VLOOKUP(G9206,[10]Astroflores!$G$2:$H$108,2,FALSE)</f>
        <v>900</v>
      </c>
      <c r="I9206" s="6">
        <v>528.3915024419166</v>
      </c>
      <c r="J9206" s="5">
        <v>4000</v>
      </c>
      <c r="K9206" s="6">
        <f t="shared" si="387"/>
        <v>1.7032825014042168</v>
      </c>
    </row>
    <row r="9207" spans="1:11">
      <c r="A9207" s="4">
        <v>2026</v>
      </c>
      <c r="B9207">
        <v>33</v>
      </c>
      <c r="C9207" t="s">
        <v>54</v>
      </c>
      <c r="D9207" t="s">
        <v>11</v>
      </c>
      <c r="E9207" t="s">
        <v>14</v>
      </c>
      <c r="F9207" t="s">
        <v>67</v>
      </c>
      <c r="G9207" t="str">
        <f t="shared" si="385"/>
        <v>004DEEP PURPLE</v>
      </c>
      <c r="H9207" s="5">
        <f>VLOOKUP(G9207,[10]Astroflores!$G$2:$H$108,2,FALSE)</f>
        <v>6030</v>
      </c>
      <c r="I9207" s="6">
        <v>3910.1071427007282</v>
      </c>
      <c r="J9207" s="5">
        <v>29260</v>
      </c>
      <c r="K9207" s="6">
        <f t="shared" si="387"/>
        <v>1.5421572299512623</v>
      </c>
    </row>
    <row r="9208" spans="1:11">
      <c r="A9208" s="4">
        <v>2026</v>
      </c>
      <c r="B9208">
        <v>33</v>
      </c>
      <c r="C9208" t="s">
        <v>54</v>
      </c>
      <c r="D9208" t="s">
        <v>11</v>
      </c>
      <c r="E9208" t="s">
        <v>14</v>
      </c>
      <c r="F9208" t="s">
        <v>71</v>
      </c>
      <c r="G9208" t="str">
        <f t="shared" si="385"/>
        <v>004HOT EXPLORER</v>
      </c>
      <c r="H9208" s="5">
        <f>VLOOKUP(G9208,[10]Astroflores!$G$2:$H$108,2,FALSE)</f>
        <v>1550</v>
      </c>
      <c r="I9208" s="6">
        <v>1902.2142856381945</v>
      </c>
      <c r="J9208" s="5">
        <v>14400</v>
      </c>
      <c r="K9208" s="6">
        <f t="shared" si="387"/>
        <v>0.81483984832969214</v>
      </c>
    </row>
    <row r="9209" spans="1:11">
      <c r="A9209" s="4">
        <v>2026</v>
      </c>
      <c r="B9209">
        <v>33</v>
      </c>
      <c r="C9209" t="s">
        <v>54</v>
      </c>
      <c r="D9209" t="s">
        <v>11</v>
      </c>
      <c r="E9209" t="s">
        <v>14</v>
      </c>
      <c r="F9209" t="s">
        <v>72</v>
      </c>
      <c r="G9209" t="str">
        <f t="shared" si="385"/>
        <v>004HOT MERENGUE</v>
      </c>
      <c r="H9209" s="5">
        <f>VLOOKUP(G9209,[10]Astroflores!$G$2:$H$108,2,FALSE)</f>
        <v>3120</v>
      </c>
      <c r="I9209" s="6">
        <v>1162.4642856677858</v>
      </c>
      <c r="J9209" s="5">
        <v>8800</v>
      </c>
      <c r="K9209" s="6">
        <f t="shared" si="387"/>
        <v>2.6839534241756891</v>
      </c>
    </row>
    <row r="9210" spans="1:11">
      <c r="A9210" s="4">
        <v>2026</v>
      </c>
      <c r="B9210">
        <v>33</v>
      </c>
      <c r="C9210" t="s">
        <v>54</v>
      </c>
      <c r="D9210" t="s">
        <v>11</v>
      </c>
      <c r="E9210" t="s">
        <v>14</v>
      </c>
      <c r="F9210" t="s">
        <v>64</v>
      </c>
      <c r="G9210" t="str">
        <f t="shared" si="385"/>
        <v>004SWEETNESS</v>
      </c>
      <c r="H9210" s="5">
        <f>VLOOKUP(G9210,[10]Astroflores!$G$2:$H$108,2,FALSE)</f>
        <v>510</v>
      </c>
      <c r="I9210" s="6">
        <v>317.03571427303262</v>
      </c>
      <c r="J9210" s="5">
        <v>2400</v>
      </c>
      <c r="K9210" s="6">
        <f t="shared" si="387"/>
        <v>1.6086515715411975</v>
      </c>
    </row>
    <row r="9211" spans="1:11">
      <c r="A9211" s="4">
        <v>2026</v>
      </c>
      <c r="B9211">
        <v>33</v>
      </c>
      <c r="C9211" t="s">
        <v>54</v>
      </c>
      <c r="D9211" t="s">
        <v>11</v>
      </c>
      <c r="E9211" t="s">
        <v>16</v>
      </c>
      <c r="F9211" t="s">
        <v>57</v>
      </c>
      <c r="G9211" t="str">
        <f t="shared" si="385"/>
        <v>005EXPLORER</v>
      </c>
      <c r="H9211" s="5">
        <f>VLOOKUP(G9211,[10]Astroflores!$G$2:$H$108,2,FALSE)</f>
        <v>1650</v>
      </c>
      <c r="I9211" s="6">
        <v>951.10714281875391</v>
      </c>
      <c r="J9211" s="5">
        <v>7200</v>
      </c>
      <c r="K9211" s="6">
        <f t="shared" si="387"/>
        <v>1.7348203222509384</v>
      </c>
    </row>
    <row r="9212" spans="1:11">
      <c r="A9212" s="4">
        <v>2026</v>
      </c>
      <c r="B9212">
        <v>33</v>
      </c>
      <c r="C9212" t="s">
        <v>54</v>
      </c>
      <c r="D9212" t="s">
        <v>11</v>
      </c>
      <c r="E9212" t="s">
        <v>16</v>
      </c>
      <c r="F9212" t="s">
        <v>73</v>
      </c>
      <c r="G9212" t="str">
        <f t="shared" si="385"/>
        <v>005GOLDFINCH</v>
      </c>
      <c r="H9212" s="5">
        <f>VLOOKUP(G9212,[10]Astroflores!$G$2:$H$108,2,FALSE)</f>
        <v>825</v>
      </c>
      <c r="I9212" s="6">
        <v>898.26785710660101</v>
      </c>
      <c r="J9212" s="5">
        <v>6800</v>
      </c>
      <c r="K9212" s="6">
        <f t="shared" si="387"/>
        <v>0.91843428825049678</v>
      </c>
    </row>
    <row r="9213" spans="1:11">
      <c r="A9213" s="4">
        <v>2026</v>
      </c>
      <c r="B9213">
        <v>33</v>
      </c>
      <c r="C9213" t="s">
        <v>54</v>
      </c>
      <c r="D9213" t="s">
        <v>11</v>
      </c>
      <c r="E9213" t="s">
        <v>16</v>
      </c>
      <c r="F9213" t="s">
        <v>68</v>
      </c>
      <c r="G9213" t="str">
        <f t="shared" si="385"/>
        <v>005JOCKER</v>
      </c>
      <c r="H9213" s="5">
        <f>VLOOKUP(G9213,[10]Astroflores!$G$2:$H$108,2,FALSE)</f>
        <v>2425</v>
      </c>
      <c r="I9213" s="6">
        <v>1162.4642856673661</v>
      </c>
      <c r="J9213" s="5">
        <v>8800</v>
      </c>
      <c r="K9213" s="6">
        <f t="shared" si="387"/>
        <v>2.0860855941116654</v>
      </c>
    </row>
    <row r="9214" spans="1:11">
      <c r="A9214" s="4">
        <v>2026</v>
      </c>
      <c r="B9214">
        <v>33</v>
      </c>
      <c r="C9214" t="s">
        <v>54</v>
      </c>
      <c r="D9214" t="s">
        <v>11</v>
      </c>
      <c r="E9214" t="s">
        <v>16</v>
      </c>
      <c r="F9214" t="s">
        <v>74</v>
      </c>
      <c r="G9214" t="str">
        <f t="shared" si="385"/>
        <v>005VENDELA</v>
      </c>
      <c r="H9214" s="5">
        <f>VLOOKUP(G9214,[10]Astroflores!$G$2:$H$108,2,FALSE)</f>
        <v>1590</v>
      </c>
      <c r="I9214" s="6">
        <v>686.91071425798896</v>
      </c>
      <c r="J9214" s="5">
        <v>5200</v>
      </c>
      <c r="K9214" s="6">
        <f t="shared" si="387"/>
        <v>2.3147113110872661</v>
      </c>
    </row>
    <row r="9215" spans="1:11">
      <c r="A9215" s="4">
        <v>2026</v>
      </c>
      <c r="B9215">
        <v>33</v>
      </c>
      <c r="C9215" t="s">
        <v>54</v>
      </c>
      <c r="D9215" t="s">
        <v>11</v>
      </c>
      <c r="E9215" t="s">
        <v>75</v>
      </c>
      <c r="F9215" t="s">
        <v>76</v>
      </c>
      <c r="G9215" t="str">
        <f t="shared" si="385"/>
        <v>006ATOMIC</v>
      </c>
      <c r="H9215" s="5" t="e">
        <f>VLOOKUP(G9215,[10]Astroflores!$G$2:$H$108,2,FALSE)</f>
        <v>#N/A</v>
      </c>
      <c r="I9215" s="6">
        <v>845.428571394752</v>
      </c>
      <c r="J9215" s="5">
        <v>6400</v>
      </c>
      <c r="K9215" s="6" t="e">
        <f t="shared" si="387"/>
        <v>#N/A</v>
      </c>
    </row>
    <row r="9216" spans="1:11">
      <c r="A9216" s="4">
        <v>2026</v>
      </c>
      <c r="B9216">
        <v>33</v>
      </c>
      <c r="C9216" t="s">
        <v>54</v>
      </c>
      <c r="D9216" t="s">
        <v>11</v>
      </c>
      <c r="E9216" t="s">
        <v>75</v>
      </c>
      <c r="F9216" t="s">
        <v>57</v>
      </c>
      <c r="G9216" t="str">
        <f t="shared" si="385"/>
        <v>006EXPLORER</v>
      </c>
      <c r="H9216" s="5">
        <f>VLOOKUP(G9216,[10]Astroflores!$G$2:$H$108,2,FALSE)</f>
        <v>6775</v>
      </c>
      <c r="I9216" s="6">
        <v>3910.1071427007355</v>
      </c>
      <c r="J9216" s="5">
        <v>29600</v>
      </c>
      <c r="K9216" s="6">
        <f t="shared" si="387"/>
        <v>1.7326890933531978</v>
      </c>
    </row>
    <row r="9217" spans="1:11">
      <c r="A9217" s="4">
        <v>2026</v>
      </c>
      <c r="B9217">
        <v>33</v>
      </c>
      <c r="C9217" t="s">
        <v>54</v>
      </c>
      <c r="D9217" t="s">
        <v>11</v>
      </c>
      <c r="E9217" t="s">
        <v>75</v>
      </c>
      <c r="F9217" t="s">
        <v>77</v>
      </c>
      <c r="G9217" t="str">
        <f t="shared" si="385"/>
        <v>006MONDIAL</v>
      </c>
      <c r="H9217" s="5">
        <f>VLOOKUP(G9217,[10]Astroflores!$G$2:$H$108,2,FALSE)</f>
        <v>6250</v>
      </c>
      <c r="I9217" s="6">
        <v>4015.7857141250793</v>
      </c>
      <c r="J9217" s="5">
        <v>30400</v>
      </c>
      <c r="K9217" s="6">
        <f t="shared" si="387"/>
        <v>1.5563579446025519</v>
      </c>
    </row>
    <row r="9218" spans="1:11">
      <c r="A9218" s="4">
        <v>2026</v>
      </c>
      <c r="B9218">
        <v>33</v>
      </c>
      <c r="C9218" t="s">
        <v>54</v>
      </c>
      <c r="D9218" t="s">
        <v>11</v>
      </c>
      <c r="E9218" t="s">
        <v>20</v>
      </c>
      <c r="F9218" t="s">
        <v>70</v>
      </c>
      <c r="G9218" t="str">
        <f t="shared" si="385"/>
        <v>007COTOPAXI</v>
      </c>
      <c r="H9218" s="5">
        <f>VLOOKUP(G9218,[10]Astroflores!$G$2:$H$108,2,FALSE)</f>
        <v>3870</v>
      </c>
      <c r="I9218" s="6">
        <v>2747.5751230427709</v>
      </c>
      <c r="J9218" s="5">
        <v>20800</v>
      </c>
      <c r="K9218" s="6">
        <f t="shared" si="387"/>
        <v>1.4085147181396127</v>
      </c>
    </row>
    <row r="9219" spans="1:11">
      <c r="A9219" s="4">
        <v>2026</v>
      </c>
      <c r="B9219">
        <v>33</v>
      </c>
      <c r="C9219" t="s">
        <v>54</v>
      </c>
      <c r="D9219" t="s">
        <v>11</v>
      </c>
      <c r="E9219" t="s">
        <v>20</v>
      </c>
      <c r="F9219" t="s">
        <v>78</v>
      </c>
      <c r="G9219" t="str">
        <f t="shared" si="385"/>
        <v>007REDIANT</v>
      </c>
      <c r="H9219" s="5">
        <f>VLOOKUP(G9219,[10]Astroflores!$G$2:$H$108,2,FALSE)</f>
        <v>1320</v>
      </c>
      <c r="I9219" s="6">
        <v>1056.75862064738</v>
      </c>
      <c r="J9219" s="5">
        <v>9600</v>
      </c>
      <c r="K9219" s="6">
        <f t="shared" si="387"/>
        <v>1.2491026561878018</v>
      </c>
    </row>
    <row r="9220" spans="1:11">
      <c r="A9220" s="4">
        <v>2026</v>
      </c>
      <c r="B9220">
        <v>33</v>
      </c>
      <c r="C9220" t="s">
        <v>54</v>
      </c>
      <c r="D9220" t="s">
        <v>11</v>
      </c>
      <c r="E9220" t="s">
        <v>20</v>
      </c>
      <c r="F9220" t="s">
        <v>63</v>
      </c>
      <c r="G9220" t="str">
        <f t="shared" si="385"/>
        <v>007SUMMER ROMANCE</v>
      </c>
      <c r="H9220" s="5">
        <f>VLOOKUP(G9220,[10]Astroflores!$G$2:$H$108,2,FALSE)</f>
        <v>1000</v>
      </c>
      <c r="I9220" s="6">
        <v>317.02758619421581</v>
      </c>
      <c r="J9220" s="5">
        <v>2640</v>
      </c>
      <c r="K9220" s="6">
        <f t="shared" si="387"/>
        <v>3.1542996368378655</v>
      </c>
    </row>
    <row r="9221" spans="1:11">
      <c r="A9221" s="4">
        <v>2026</v>
      </c>
      <c r="B9221">
        <v>33</v>
      </c>
      <c r="C9221" t="s">
        <v>54</v>
      </c>
      <c r="D9221" t="s">
        <v>11</v>
      </c>
      <c r="E9221" t="s">
        <v>20</v>
      </c>
      <c r="F9221" t="s">
        <v>114</v>
      </c>
      <c r="G9221" t="str">
        <f t="shared" si="385"/>
        <v>007TOPACIO</v>
      </c>
      <c r="H9221" s="5" t="e">
        <f>VLOOKUP(G9221,[10]Astroflores!$G$2:$H$108,2,FALSE)</f>
        <v>#N/A</v>
      </c>
      <c r="I9221" s="6">
        <v>52.837931032368999</v>
      </c>
      <c r="J9221" s="5">
        <v>440</v>
      </c>
      <c r="K9221" s="6" t="e">
        <f t="shared" si="387"/>
        <v>#N/A</v>
      </c>
    </row>
    <row r="9222" spans="1:11">
      <c r="A9222" s="4">
        <v>2026</v>
      </c>
      <c r="B9222">
        <v>33</v>
      </c>
      <c r="C9222" t="s">
        <v>54</v>
      </c>
      <c r="D9222" t="s">
        <v>11</v>
      </c>
      <c r="E9222" t="s">
        <v>20</v>
      </c>
      <c r="F9222" t="s">
        <v>74</v>
      </c>
      <c r="G9222" t="str">
        <f t="shared" si="385"/>
        <v>007VENDELA</v>
      </c>
      <c r="H9222" s="5">
        <f>VLOOKUP(G9222,[10]Astroflores!$G$2:$H$108,2,FALSE)</f>
        <v>8190</v>
      </c>
      <c r="I9222" s="6">
        <v>3592.9793102011122</v>
      </c>
      <c r="J9222" s="5">
        <v>27820</v>
      </c>
      <c r="K9222" s="6">
        <f t="shared" si="387"/>
        <v>2.2794453552090106</v>
      </c>
    </row>
    <row r="9223" spans="1:11">
      <c r="A9223" s="4">
        <v>2026</v>
      </c>
      <c r="B9223">
        <v>33</v>
      </c>
      <c r="C9223" t="s">
        <v>54</v>
      </c>
      <c r="D9223" t="s">
        <v>11</v>
      </c>
      <c r="E9223" t="s">
        <v>79</v>
      </c>
      <c r="F9223" t="s">
        <v>67</v>
      </c>
      <c r="G9223" t="str">
        <f t="shared" si="385"/>
        <v>008DEEP PURPLE</v>
      </c>
      <c r="H9223" s="5">
        <f>VLOOKUP(G9223,[10]Astroflores!$G$2:$H$108,2,FALSE)</f>
        <v>3570</v>
      </c>
      <c r="I9223" s="6">
        <v>1585.2222221588099</v>
      </c>
      <c r="J9223" s="5">
        <v>11490</v>
      </c>
      <c r="K9223" s="6">
        <f t="shared" si="387"/>
        <v>2.2520501858334105</v>
      </c>
    </row>
    <row r="9224" spans="1:11">
      <c r="A9224" s="4">
        <v>2026</v>
      </c>
      <c r="B9224">
        <v>33</v>
      </c>
      <c r="C9224" t="s">
        <v>54</v>
      </c>
      <c r="D9224" t="s">
        <v>11</v>
      </c>
      <c r="E9224" t="s">
        <v>79</v>
      </c>
      <c r="F9224" t="s">
        <v>81</v>
      </c>
      <c r="G9224" t="str">
        <f t="shared" si="385"/>
        <v>008FREEDOM</v>
      </c>
      <c r="H9224" s="5">
        <f>VLOOKUP(G9224,[10]Astroflores!$G$2:$H$108,2,FALSE)</f>
        <v>3870</v>
      </c>
      <c r="I9224" s="6">
        <v>2219.311111022334</v>
      </c>
      <c r="J9224" s="5">
        <v>16800</v>
      </c>
      <c r="K9224" s="6">
        <f t="shared" si="387"/>
        <v>1.7437843575780909</v>
      </c>
    </row>
    <row r="9225" spans="1:11">
      <c r="A9225" s="4">
        <v>2026</v>
      </c>
      <c r="B9225">
        <v>33</v>
      </c>
      <c r="C9225" t="s">
        <v>54</v>
      </c>
      <c r="D9225" t="s">
        <v>11</v>
      </c>
      <c r="E9225" t="s">
        <v>79</v>
      </c>
      <c r="F9225" t="s">
        <v>68</v>
      </c>
      <c r="G9225" t="str">
        <f t="shared" si="385"/>
        <v>008JOCKER</v>
      </c>
      <c r="H9225" s="5">
        <f>VLOOKUP(G9225,[10]Astroflores!$G$2:$H$108,2,FALSE)</f>
        <v>5600</v>
      </c>
      <c r="I9225" s="6">
        <v>2959.0814813631118</v>
      </c>
      <c r="J9225" s="5">
        <v>22400</v>
      </c>
      <c r="K9225" s="6">
        <f t="shared" si="387"/>
        <v>1.8924791477591687</v>
      </c>
    </row>
    <row r="9226" spans="1:11">
      <c r="A9226" s="4">
        <v>2026</v>
      </c>
      <c r="B9226">
        <v>33</v>
      </c>
      <c r="C9226" t="s">
        <v>54</v>
      </c>
      <c r="D9226" t="s">
        <v>11</v>
      </c>
      <c r="E9226" t="s">
        <v>82</v>
      </c>
      <c r="F9226" t="s">
        <v>83</v>
      </c>
      <c r="G9226" t="str">
        <f t="shared" si="385"/>
        <v>010COOLDOWN</v>
      </c>
      <c r="H9226" s="5">
        <f>VLOOKUP(G9226,[10]Astroflores!$G$2:$H$108,2,FALSE)</f>
        <v>3075</v>
      </c>
      <c r="I9226" s="6">
        <v>1912.3542857142861</v>
      </c>
      <c r="J9226" s="5">
        <v>16320</v>
      </c>
      <c r="K9226" s="6">
        <f t="shared" si="387"/>
        <v>1.6079656489233911</v>
      </c>
    </row>
    <row r="9227" spans="1:11">
      <c r="A9227" s="4">
        <v>2026</v>
      </c>
      <c r="B9227">
        <v>33</v>
      </c>
      <c r="C9227" t="s">
        <v>54</v>
      </c>
      <c r="D9227" t="s">
        <v>11</v>
      </c>
      <c r="E9227" t="s">
        <v>82</v>
      </c>
      <c r="F9227" t="s">
        <v>84</v>
      </c>
      <c r="G9227" t="str">
        <f t="shared" si="385"/>
        <v>010VIOLET HILL</v>
      </c>
      <c r="H9227" s="5">
        <f>VLOOKUP(G9227,[10]Astroflores!$G$2:$H$108,2,FALSE)</f>
        <v>5730</v>
      </c>
      <c r="I9227" s="6">
        <v>2812.2857142428579</v>
      </c>
      <c r="J9227" s="5">
        <v>20000</v>
      </c>
      <c r="K9227" s="6">
        <f t="shared" si="387"/>
        <v>2.0374885705888062</v>
      </c>
    </row>
    <row r="9228" spans="1:11">
      <c r="A9228" s="4">
        <v>2026</v>
      </c>
      <c r="B9228">
        <v>33</v>
      </c>
      <c r="C9228" t="s">
        <v>54</v>
      </c>
      <c r="D9228" t="s">
        <v>11</v>
      </c>
      <c r="E9228" t="s">
        <v>85</v>
      </c>
      <c r="F9228" t="s">
        <v>86</v>
      </c>
      <c r="G9228" t="str">
        <f t="shared" si="385"/>
        <v>011BRIGHTON</v>
      </c>
      <c r="H9228" s="5">
        <f>VLOOKUP(G9228,[10]Astroflores!$G$2:$H$108,2,FALSE)</f>
        <v>2475</v>
      </c>
      <c r="I9228" s="6">
        <v>1768.8376470588223</v>
      </c>
      <c r="J9228" s="5">
        <v>12800</v>
      </c>
      <c r="K9228" s="6">
        <f t="shared" si="387"/>
        <v>1.3992239503243082</v>
      </c>
    </row>
    <row r="9229" spans="1:11">
      <c r="A9229" s="4">
        <v>2026</v>
      </c>
      <c r="B9229">
        <v>33</v>
      </c>
      <c r="C9229" t="s">
        <v>54</v>
      </c>
      <c r="D9229" t="s">
        <v>11</v>
      </c>
      <c r="E9229" t="s">
        <v>85</v>
      </c>
      <c r="F9229" t="s">
        <v>87</v>
      </c>
      <c r="G9229" t="str">
        <f t="shared" si="385"/>
        <v>011CANDLELIGHT</v>
      </c>
      <c r="H9229" s="5">
        <f>VLOOKUP(G9229,[10]Astroflores!$G$2:$H$108,2,FALSE)</f>
        <v>3380</v>
      </c>
      <c r="I9229" s="6">
        <v>2263.7999998868127</v>
      </c>
      <c r="J9229" s="5">
        <v>17920</v>
      </c>
      <c r="K9229" s="6">
        <f t="shared" si="387"/>
        <v>1.4930647584455323</v>
      </c>
    </row>
    <row r="9230" spans="1:11">
      <c r="A9230" s="4">
        <v>2026</v>
      </c>
      <c r="B9230">
        <v>33</v>
      </c>
      <c r="C9230" t="s">
        <v>54</v>
      </c>
      <c r="D9230" t="s">
        <v>11</v>
      </c>
      <c r="E9230" t="s">
        <v>85</v>
      </c>
      <c r="F9230" t="s">
        <v>88</v>
      </c>
      <c r="G9230" t="str">
        <f t="shared" si="385"/>
        <v>011CAYENNE</v>
      </c>
      <c r="H9230" s="5">
        <f>VLOOKUP(G9230,[10]Astroflores!$G$2:$H$108,2,FALSE)</f>
        <v>1170</v>
      </c>
      <c r="I9230" s="6">
        <v>994.97117647058747</v>
      </c>
      <c r="J9230" s="5">
        <v>7200</v>
      </c>
      <c r="K9230" s="6">
        <f t="shared" si="387"/>
        <v>1.1759134612826512</v>
      </c>
    </row>
    <row r="9231" spans="1:11">
      <c r="A9231" s="4">
        <v>2026</v>
      </c>
      <c r="B9231">
        <v>33</v>
      </c>
      <c r="C9231" t="s">
        <v>54</v>
      </c>
      <c r="D9231" t="s">
        <v>11</v>
      </c>
      <c r="E9231" t="s">
        <v>85</v>
      </c>
      <c r="F9231" t="s">
        <v>61</v>
      </c>
      <c r="G9231" t="str">
        <f t="shared" si="385"/>
        <v>011LUMIA</v>
      </c>
      <c r="H9231" s="5">
        <f>VLOOKUP(G9231,[10]Astroflores!$G$2:$H$108,2,FALSE)</f>
        <v>1590</v>
      </c>
      <c r="I9231" s="6">
        <v>994.97117647058747</v>
      </c>
      <c r="J9231" s="5">
        <v>7920</v>
      </c>
      <c r="K9231" s="6">
        <f t="shared" si="387"/>
        <v>1.5980362422559105</v>
      </c>
    </row>
    <row r="9232" spans="1:11">
      <c r="A9232" s="4">
        <v>2026</v>
      </c>
      <c r="B9232">
        <v>33</v>
      </c>
      <c r="C9232" t="s">
        <v>54</v>
      </c>
      <c r="D9232" t="s">
        <v>11</v>
      </c>
      <c r="E9232" t="s">
        <v>85</v>
      </c>
      <c r="F9232" t="s">
        <v>89</v>
      </c>
      <c r="G9232" t="str">
        <f t="shared" si="385"/>
        <v>011STARDUST</v>
      </c>
      <c r="H9232" s="5">
        <f>VLOOKUP(G9232,[10]Astroflores!$G$2:$H$108,2,FALSE)</f>
        <v>2275</v>
      </c>
      <c r="I9232" s="6">
        <v>2263.7999998868127</v>
      </c>
      <c r="J9232" s="5">
        <v>17920</v>
      </c>
      <c r="K9232" s="6">
        <f t="shared" si="387"/>
        <v>1.0049474335691082</v>
      </c>
    </row>
    <row r="9233" spans="1:11">
      <c r="A9233" s="4">
        <v>2026</v>
      </c>
      <c r="B9233">
        <v>33</v>
      </c>
      <c r="C9233" t="s">
        <v>54</v>
      </c>
      <c r="D9233" t="s">
        <v>11</v>
      </c>
      <c r="E9233" t="s">
        <v>90</v>
      </c>
      <c r="F9233" t="s">
        <v>67</v>
      </c>
      <c r="G9233" t="str">
        <f t="shared" si="385"/>
        <v>012DEEP PURPLE</v>
      </c>
      <c r="H9233" s="5">
        <f>VLOOKUP(G9233,[10]Astroflores!$G$2:$H$108,2,FALSE)</f>
        <v>12570</v>
      </c>
      <c r="I9233" s="6">
        <v>6727.0499997982479</v>
      </c>
      <c r="J9233" s="5">
        <v>49210</v>
      </c>
      <c r="K9233" s="6">
        <f t="shared" si="387"/>
        <v>1.8685753785651942</v>
      </c>
    </row>
    <row r="9234" spans="1:11">
      <c r="A9234" s="4">
        <v>2026</v>
      </c>
      <c r="B9234">
        <v>33</v>
      </c>
      <c r="C9234" t="s">
        <v>54</v>
      </c>
      <c r="D9234" t="s">
        <v>11</v>
      </c>
      <c r="E9234" t="s">
        <v>90</v>
      </c>
      <c r="F9234" t="s">
        <v>60</v>
      </c>
      <c r="G9234" t="str">
        <f t="shared" si="385"/>
        <v>012LIGHT HOUSE</v>
      </c>
      <c r="H9234" s="5">
        <f>VLOOKUP(G9234,[10]Astroflores!$G$2:$H$108,2,FALSE)</f>
        <v>840</v>
      </c>
      <c r="I9234" s="6">
        <v>994.95</v>
      </c>
      <c r="J9234" s="5">
        <v>7200</v>
      </c>
      <c r="K9234" s="6">
        <f t="shared" si="387"/>
        <v>0.84426353083069494</v>
      </c>
    </row>
    <row r="9235" spans="1:11">
      <c r="A9235" s="4">
        <v>2026</v>
      </c>
      <c r="B9235">
        <v>33</v>
      </c>
      <c r="C9235" t="s">
        <v>54</v>
      </c>
      <c r="D9235" t="s">
        <v>11</v>
      </c>
      <c r="E9235" t="s">
        <v>91</v>
      </c>
      <c r="F9235" t="s">
        <v>92</v>
      </c>
      <c r="G9235" t="str">
        <f t="shared" si="385"/>
        <v>013COUNTRY BLUES</v>
      </c>
      <c r="H9235" s="5">
        <f>VLOOKUP(G9235,[10]Astroflores!$G$2:$H$108,2,FALSE)</f>
        <v>720</v>
      </c>
      <c r="I9235" s="6">
        <v>831.6</v>
      </c>
      <c r="J9235" s="5">
        <v>6300</v>
      </c>
      <c r="K9235" s="6">
        <f t="shared" si="387"/>
        <v>0.86580086580086579</v>
      </c>
    </row>
    <row r="9236" spans="1:11">
      <c r="A9236" s="4">
        <v>2026</v>
      </c>
      <c r="B9236">
        <v>33</v>
      </c>
      <c r="C9236" t="s">
        <v>54</v>
      </c>
      <c r="D9236" t="s">
        <v>11</v>
      </c>
      <c r="E9236" t="s">
        <v>91</v>
      </c>
      <c r="F9236" t="s">
        <v>93</v>
      </c>
      <c r="G9236" t="str">
        <f t="shared" si="385"/>
        <v>013LORRAINE</v>
      </c>
      <c r="H9236" s="5">
        <f>VLOOKUP(G9236,[10]Astroflores!$G$2:$H$108,2,FALSE)</f>
        <v>2325</v>
      </c>
      <c r="I9236" s="6">
        <v>1267.2</v>
      </c>
      <c r="J9236" s="5">
        <v>9600</v>
      </c>
      <c r="K9236" s="6">
        <f t="shared" si="387"/>
        <v>1.8347537878787878</v>
      </c>
    </row>
    <row r="9237" spans="1:11">
      <c r="A9237" s="4">
        <v>2026</v>
      </c>
      <c r="B9237">
        <v>33</v>
      </c>
      <c r="C9237" t="s">
        <v>54</v>
      </c>
      <c r="D9237" t="s">
        <v>11</v>
      </c>
      <c r="E9237" t="s">
        <v>91</v>
      </c>
      <c r="F9237" t="s">
        <v>61</v>
      </c>
      <c r="G9237" t="str">
        <f t="shared" si="385"/>
        <v>013LUMIA</v>
      </c>
      <c r="H9237" s="5">
        <f>VLOOKUP(G9237,[10]Astroflores!$G$2:$H$108,2,FALSE)</f>
        <v>480</v>
      </c>
      <c r="I9237" s="6">
        <v>316.8</v>
      </c>
      <c r="J9237" s="5">
        <v>2400</v>
      </c>
      <c r="K9237" s="6">
        <f t="shared" si="387"/>
        <v>1.5151515151515151</v>
      </c>
    </row>
    <row r="9238" spans="1:11">
      <c r="A9238" s="4">
        <v>2026</v>
      </c>
      <c r="B9238">
        <v>33</v>
      </c>
      <c r="C9238" t="s">
        <v>54</v>
      </c>
      <c r="D9238" t="s">
        <v>11</v>
      </c>
      <c r="E9238" t="s">
        <v>91</v>
      </c>
      <c r="F9238" t="s">
        <v>74</v>
      </c>
      <c r="G9238" t="str">
        <f t="shared" ref="G9238:G9265" si="388">+E9238&amp;F9238</f>
        <v>013VENDELA</v>
      </c>
      <c r="H9238" s="5">
        <f>VLOOKUP(G9238,[10]Astroflores!$G$2:$H$108,2,FALSE)</f>
        <v>6090</v>
      </c>
      <c r="I9238" s="6">
        <v>3603.6</v>
      </c>
      <c r="J9238" s="5">
        <v>27296</v>
      </c>
      <c r="K9238" s="6">
        <f t="shared" si="387"/>
        <v>1.6899766899766899</v>
      </c>
    </row>
    <row r="9239" spans="1:11">
      <c r="A9239" s="4">
        <v>2026</v>
      </c>
      <c r="B9239">
        <v>33</v>
      </c>
      <c r="C9239" t="s">
        <v>54</v>
      </c>
      <c r="D9239" t="s">
        <v>11</v>
      </c>
      <c r="E9239" t="s">
        <v>23</v>
      </c>
      <c r="F9239" t="s">
        <v>89</v>
      </c>
      <c r="G9239" t="str">
        <f t="shared" si="388"/>
        <v>014STARDUST</v>
      </c>
      <c r="H9239" s="5">
        <f>VLOOKUP(G9239,[10]Astroflores!$G$2:$H$108,2,FALSE)</f>
        <v>4650</v>
      </c>
      <c r="I9239" s="6">
        <v>3682.8</v>
      </c>
      <c r="J9239" s="5">
        <v>27900</v>
      </c>
      <c r="K9239" s="6">
        <f t="shared" si="387"/>
        <v>1.2626262626262625</v>
      </c>
    </row>
    <row r="9240" spans="1:11">
      <c r="A9240" s="4">
        <v>2026</v>
      </c>
      <c r="B9240">
        <v>33</v>
      </c>
      <c r="C9240" t="s">
        <v>54</v>
      </c>
      <c r="D9240" t="s">
        <v>11</v>
      </c>
      <c r="E9240" t="s">
        <v>25</v>
      </c>
      <c r="F9240" t="s">
        <v>68</v>
      </c>
      <c r="G9240" t="str">
        <f t="shared" si="388"/>
        <v>015JOCKER</v>
      </c>
      <c r="H9240" s="5">
        <f>VLOOKUP(G9240,[10]Astroflores!$G$2:$H$108,2,FALSE)</f>
        <v>2975</v>
      </c>
      <c r="I9240" s="6">
        <v>2376</v>
      </c>
      <c r="J9240" s="5">
        <v>18000</v>
      </c>
      <c r="K9240" s="6">
        <f t="shared" si="387"/>
        <v>1.2521043771043772</v>
      </c>
    </row>
    <row r="9241" spans="1:11">
      <c r="A9241" s="4">
        <v>2026</v>
      </c>
      <c r="B9241">
        <v>33</v>
      </c>
      <c r="C9241" t="s">
        <v>54</v>
      </c>
      <c r="D9241" t="s">
        <v>11</v>
      </c>
      <c r="E9241" t="s">
        <v>27</v>
      </c>
      <c r="F9241" t="s">
        <v>94</v>
      </c>
      <c r="G9241" t="str">
        <f t="shared" si="388"/>
        <v>016DREAM IN PEACH</v>
      </c>
      <c r="H9241" s="5">
        <f>VLOOKUP(G9241,[10]Astroflores!$G$2:$H$108,2,FALSE)</f>
        <v>1500</v>
      </c>
      <c r="I9241" s="6">
        <v>950.4</v>
      </c>
      <c r="J9241" s="5">
        <v>7200</v>
      </c>
      <c r="K9241" s="6">
        <f t="shared" si="387"/>
        <v>1.5782828282828283</v>
      </c>
    </row>
    <row r="9242" spans="1:11">
      <c r="A9242" s="4">
        <v>2026</v>
      </c>
      <c r="B9242">
        <v>33</v>
      </c>
      <c r="C9242" t="s">
        <v>54</v>
      </c>
      <c r="D9242" t="s">
        <v>11</v>
      </c>
      <c r="E9242" t="s">
        <v>27</v>
      </c>
      <c r="F9242" t="s">
        <v>95</v>
      </c>
      <c r="G9242" t="str">
        <f t="shared" si="388"/>
        <v>016NINA</v>
      </c>
      <c r="H9242" s="5">
        <f>VLOOKUP(G9242,[10]Astroflores!$G$2:$H$108,2,FALSE)</f>
        <v>2425</v>
      </c>
      <c r="I9242" s="6">
        <v>1346.4</v>
      </c>
      <c r="J9242" s="5">
        <v>10200</v>
      </c>
      <c r="K9242" s="6">
        <f t="shared" si="387"/>
        <v>1.8010992275698157</v>
      </c>
    </row>
    <row r="9243" spans="1:11">
      <c r="A9243" s="4">
        <v>2026</v>
      </c>
      <c r="B9243">
        <v>33</v>
      </c>
      <c r="C9243" t="s">
        <v>54</v>
      </c>
      <c r="D9243" t="s">
        <v>11</v>
      </c>
      <c r="E9243" t="s">
        <v>30</v>
      </c>
      <c r="F9243" t="s">
        <v>81</v>
      </c>
      <c r="G9243" t="str">
        <f t="shared" si="388"/>
        <v>017FREEDOM</v>
      </c>
      <c r="H9243" s="5">
        <f>VLOOKUP(G9243,[10]Astroflores!$G$2:$H$108,2,FALSE)</f>
        <v>5700</v>
      </c>
      <c r="I9243" s="6">
        <v>2851.2</v>
      </c>
      <c r="J9243" s="5">
        <v>21600</v>
      </c>
      <c r="K9243" s="6">
        <f t="shared" si="387"/>
        <v>1.9991582491582494</v>
      </c>
    </row>
    <row r="9244" spans="1:11">
      <c r="A9244" s="4">
        <v>2026</v>
      </c>
      <c r="B9244">
        <v>33</v>
      </c>
      <c r="C9244" t="s">
        <v>54</v>
      </c>
      <c r="D9244" t="s">
        <v>11</v>
      </c>
      <c r="E9244" t="s">
        <v>30</v>
      </c>
      <c r="F9244" t="s">
        <v>73</v>
      </c>
      <c r="G9244" t="str">
        <f t="shared" si="388"/>
        <v>017GOLDFINCH</v>
      </c>
      <c r="H9244" s="5">
        <f>VLOOKUP(G9244,[10]Astroflores!$G$2:$H$108,2,FALSE)</f>
        <v>1850</v>
      </c>
      <c r="I9244" s="6">
        <v>2138.4</v>
      </c>
      <c r="J9244" s="5">
        <v>16200</v>
      </c>
      <c r="K9244" s="6">
        <f t="shared" si="387"/>
        <v>0.86513280957725402</v>
      </c>
    </row>
    <row r="9245" spans="1:11">
      <c r="A9245" s="4">
        <v>2026</v>
      </c>
      <c r="B9245">
        <v>33</v>
      </c>
      <c r="C9245" t="s">
        <v>54</v>
      </c>
      <c r="D9245" t="s">
        <v>11</v>
      </c>
      <c r="E9245" t="s">
        <v>32</v>
      </c>
      <c r="F9245" t="s">
        <v>86</v>
      </c>
      <c r="G9245" t="str">
        <f t="shared" si="388"/>
        <v>018BRIGHTON</v>
      </c>
      <c r="H9245" s="5">
        <f>VLOOKUP(G9245,[10]Astroflores!$G$2:$H$108,2,FALSE)</f>
        <v>1225</v>
      </c>
      <c r="I9245" s="6">
        <v>963.6</v>
      </c>
      <c r="J9245" s="5">
        <v>7570</v>
      </c>
      <c r="K9245" s="6">
        <f t="shared" si="387"/>
        <v>1.2712743877127439</v>
      </c>
    </row>
    <row r="9246" spans="1:11">
      <c r="A9246" s="4">
        <v>2026</v>
      </c>
      <c r="B9246">
        <v>33</v>
      </c>
      <c r="C9246" t="s">
        <v>54</v>
      </c>
      <c r="D9246" t="s">
        <v>11</v>
      </c>
      <c r="E9246" t="s">
        <v>35</v>
      </c>
      <c r="F9246" t="s">
        <v>86</v>
      </c>
      <c r="G9246" t="str">
        <f t="shared" si="388"/>
        <v>019BRIGHTON</v>
      </c>
      <c r="H9246" s="5">
        <f>VLOOKUP(G9246,[10]Astroflores!$G$2:$H$108,2,FALSE)</f>
        <v>5400</v>
      </c>
      <c r="I9246" s="6">
        <v>3168</v>
      </c>
      <c r="J9246" s="5">
        <v>24000</v>
      </c>
      <c r="K9246" s="6">
        <f t="shared" si="387"/>
        <v>1.7045454545454546</v>
      </c>
    </row>
    <row r="9247" spans="1:11">
      <c r="A9247" s="4">
        <v>2026</v>
      </c>
      <c r="B9247">
        <v>33</v>
      </c>
      <c r="C9247" t="s">
        <v>54</v>
      </c>
      <c r="D9247" t="s">
        <v>11</v>
      </c>
      <c r="E9247" t="s">
        <v>35</v>
      </c>
      <c r="F9247" t="s">
        <v>96</v>
      </c>
      <c r="G9247" t="str">
        <f t="shared" si="388"/>
        <v>019TABATHA</v>
      </c>
      <c r="H9247" s="5">
        <f>VLOOKUP(G9247,[10]Astroflores!$G$2:$H$108,2,FALSE)</f>
        <v>2610</v>
      </c>
      <c r="I9247" s="6">
        <v>1188</v>
      </c>
      <c r="J9247" s="5">
        <v>9000</v>
      </c>
      <c r="K9247" s="6">
        <f t="shared" si="387"/>
        <v>2.1969696969696968</v>
      </c>
    </row>
    <row r="9248" spans="1:11">
      <c r="A9248" s="4">
        <v>2026</v>
      </c>
      <c r="B9248">
        <v>33</v>
      </c>
      <c r="C9248" t="s">
        <v>54</v>
      </c>
      <c r="D9248" t="s">
        <v>11</v>
      </c>
      <c r="E9248" t="s">
        <v>36</v>
      </c>
      <c r="F9248" t="s">
        <v>86</v>
      </c>
      <c r="G9248" t="str">
        <f t="shared" si="388"/>
        <v>020BRIGHTON</v>
      </c>
      <c r="H9248" s="5">
        <f>VLOOKUP(G9248,[10]Astroflores!$G$2:$H$108,2,FALSE)</f>
        <v>4125</v>
      </c>
      <c r="I9248" s="6">
        <v>2732.4</v>
      </c>
      <c r="J9248" s="5">
        <v>20700</v>
      </c>
      <c r="K9248" s="6">
        <f t="shared" si="387"/>
        <v>1.5096618357487923</v>
      </c>
    </row>
    <row r="9249" spans="1:11">
      <c r="A9249" s="4">
        <v>2026</v>
      </c>
      <c r="B9249">
        <v>33</v>
      </c>
      <c r="C9249" t="s">
        <v>54</v>
      </c>
      <c r="D9249" t="s">
        <v>11</v>
      </c>
      <c r="E9249" t="s">
        <v>36</v>
      </c>
      <c r="F9249" t="s">
        <v>97</v>
      </c>
      <c r="G9249" t="str">
        <f t="shared" si="388"/>
        <v>020TYCOON</v>
      </c>
      <c r="H9249" s="5">
        <f>VLOOKUP(G9249,[10]Astroflores!$G$2:$H$108,2,FALSE)</f>
        <v>840</v>
      </c>
      <c r="I9249" s="6">
        <v>673.2</v>
      </c>
      <c r="J9249" s="5">
        <v>5100</v>
      </c>
      <c r="K9249" s="6">
        <f t="shared" si="387"/>
        <v>1.2477718360071299</v>
      </c>
    </row>
    <row r="9250" spans="1:11">
      <c r="A9250" s="4">
        <v>2026</v>
      </c>
      <c r="B9250">
        <v>33</v>
      </c>
      <c r="C9250" t="s">
        <v>54</v>
      </c>
      <c r="D9250" t="s">
        <v>11</v>
      </c>
      <c r="E9250" t="s">
        <v>38</v>
      </c>
      <c r="F9250" t="s">
        <v>98</v>
      </c>
      <c r="G9250" t="str">
        <f t="shared" si="388"/>
        <v>021SHOW GIRL</v>
      </c>
      <c r="H9250" s="5">
        <f>VLOOKUP(G9250,[10]Astroflores!$G$2:$H$108,2,FALSE)</f>
        <v>1400</v>
      </c>
      <c r="I9250" s="6">
        <v>1100.4749999999999</v>
      </c>
      <c r="J9250" s="5">
        <v>8000</v>
      </c>
      <c r="K9250" s="6">
        <f t="shared" si="387"/>
        <v>1.2721779231695405</v>
      </c>
    </row>
    <row r="9251" spans="1:11">
      <c r="A9251" s="4">
        <v>2026</v>
      </c>
      <c r="B9251">
        <v>33</v>
      </c>
      <c r="C9251" t="s">
        <v>54</v>
      </c>
      <c r="D9251" t="s">
        <v>11</v>
      </c>
      <c r="E9251" t="s">
        <v>43</v>
      </c>
      <c r="F9251" t="s">
        <v>99</v>
      </c>
      <c r="G9251" t="str">
        <f t="shared" si="388"/>
        <v>022CORAL REEF</v>
      </c>
      <c r="H9251" s="5">
        <f>VLOOKUP(G9251,[10]Astroflores!$G$2:$H$108,2,FALSE)</f>
        <v>1800</v>
      </c>
      <c r="I9251" s="6">
        <v>1287</v>
      </c>
      <c r="J9251" s="5">
        <v>9400</v>
      </c>
      <c r="K9251" s="6">
        <f t="shared" si="387"/>
        <v>1.3986013986013985</v>
      </c>
    </row>
    <row r="9252" spans="1:11">
      <c r="A9252" s="4">
        <v>2026</v>
      </c>
      <c r="B9252">
        <v>33</v>
      </c>
      <c r="C9252" t="s">
        <v>54</v>
      </c>
      <c r="D9252" t="s">
        <v>11</v>
      </c>
      <c r="E9252" t="s">
        <v>100</v>
      </c>
      <c r="F9252" t="s">
        <v>70</v>
      </c>
      <c r="G9252" t="str">
        <f t="shared" si="388"/>
        <v>023COTOPAXI</v>
      </c>
      <c r="H9252" s="5">
        <f>VLOOKUP(G9252,[10]Astroflores!$G$2:$H$108,2,FALSE)</f>
        <v>4740</v>
      </c>
      <c r="I9252" s="6">
        <v>2641.14</v>
      </c>
      <c r="J9252" s="5">
        <v>19200</v>
      </c>
      <c r="K9252" s="6">
        <f t="shared" si="387"/>
        <v>1.7946795701856018</v>
      </c>
    </row>
    <row r="9253" spans="1:11">
      <c r="A9253" s="4">
        <v>2026</v>
      </c>
      <c r="B9253">
        <v>33</v>
      </c>
      <c r="C9253" t="s">
        <v>54</v>
      </c>
      <c r="D9253" t="s">
        <v>11</v>
      </c>
      <c r="E9253" t="s">
        <v>100</v>
      </c>
      <c r="F9253" t="s">
        <v>101</v>
      </c>
      <c r="G9253" t="str">
        <f t="shared" si="388"/>
        <v>023FRUTTETO</v>
      </c>
      <c r="H9253" s="5">
        <f>VLOOKUP(G9253,[10]Astroflores!$G$2:$H$108,2,FALSE)</f>
        <v>3870</v>
      </c>
      <c r="I9253" s="6">
        <v>2641.14</v>
      </c>
      <c r="J9253" s="5">
        <v>19200</v>
      </c>
      <c r="K9253" s="6">
        <f t="shared" si="387"/>
        <v>1.4652763579363457</v>
      </c>
    </row>
    <row r="9254" spans="1:11">
      <c r="A9254" s="4">
        <v>2026</v>
      </c>
      <c r="B9254">
        <v>33</v>
      </c>
      <c r="C9254" t="s">
        <v>54</v>
      </c>
      <c r="D9254" t="s">
        <v>11</v>
      </c>
      <c r="E9254" t="s">
        <v>102</v>
      </c>
      <c r="F9254" t="s">
        <v>70</v>
      </c>
      <c r="G9254" t="str">
        <f t="shared" si="388"/>
        <v>024COTOPAXI</v>
      </c>
      <c r="H9254" s="5">
        <f>VLOOKUP(G9254,[10]Astroflores!$G$2:$H$108,2,FALSE)</f>
        <v>3000</v>
      </c>
      <c r="I9254" s="6">
        <v>1430.6174906250001</v>
      </c>
      <c r="J9254" s="5">
        <v>10400</v>
      </c>
      <c r="K9254" s="6">
        <f t="shared" si="387"/>
        <v>2.096996590394947</v>
      </c>
    </row>
    <row r="9255" spans="1:11">
      <c r="A9255" s="4">
        <v>2026</v>
      </c>
      <c r="B9255">
        <v>33</v>
      </c>
      <c r="C9255" t="s">
        <v>54</v>
      </c>
      <c r="D9255" t="s">
        <v>11</v>
      </c>
      <c r="E9255" t="s">
        <v>102</v>
      </c>
      <c r="F9255" t="s">
        <v>64</v>
      </c>
      <c r="G9255" t="str">
        <f t="shared" si="388"/>
        <v>024SWEETNESS</v>
      </c>
      <c r="H9255" s="5">
        <f>VLOOKUP(G9255,[10]Astroflores!$G$2:$H$108,2,FALSE)</f>
        <v>1710</v>
      </c>
      <c r="I9255" s="6">
        <v>1430.6175000000001</v>
      </c>
      <c r="J9255" s="5">
        <v>10400</v>
      </c>
      <c r="K9255" s="6">
        <f t="shared" si="387"/>
        <v>1.1952880486922604</v>
      </c>
    </row>
    <row r="9256" spans="1:11">
      <c r="A9256" s="4">
        <v>2026</v>
      </c>
      <c r="B9256">
        <v>33</v>
      </c>
      <c r="C9256" t="s">
        <v>54</v>
      </c>
      <c r="D9256" t="s">
        <v>11</v>
      </c>
      <c r="E9256" t="s">
        <v>102</v>
      </c>
      <c r="F9256" t="s">
        <v>97</v>
      </c>
      <c r="G9256" t="str">
        <f t="shared" si="388"/>
        <v>024TYCOON</v>
      </c>
      <c r="H9256" s="5">
        <f>VLOOKUP(G9256,[10]Astroflores!$G$2:$H$108,2,FALSE)</f>
        <v>3240</v>
      </c>
      <c r="I9256" s="6">
        <v>2861.2350000000001</v>
      </c>
      <c r="J9256" s="5">
        <v>20800</v>
      </c>
      <c r="K9256" s="6">
        <f t="shared" si="387"/>
        <v>1.1323781513926678</v>
      </c>
    </row>
    <row r="9257" spans="1:11">
      <c r="A9257" s="4">
        <v>2026</v>
      </c>
      <c r="B9257">
        <v>33</v>
      </c>
      <c r="C9257" t="s">
        <v>54</v>
      </c>
      <c r="D9257" t="s">
        <v>11</v>
      </c>
      <c r="E9257" t="s">
        <v>103</v>
      </c>
      <c r="F9257" t="s">
        <v>104</v>
      </c>
      <c r="G9257" t="str">
        <f t="shared" si="388"/>
        <v>025PINK MONDIAL</v>
      </c>
      <c r="H9257" s="5">
        <f>VLOOKUP(G9257,[10]Astroflores!$G$2:$H$108,2,FALSE)</f>
        <v>4625</v>
      </c>
      <c r="I9257" s="6">
        <v>3071.9505625000002</v>
      </c>
      <c r="J9257" s="5">
        <v>22400</v>
      </c>
      <c r="K9257" s="6">
        <f t="shared" si="387"/>
        <v>1.5055580830168389</v>
      </c>
    </row>
    <row r="9258" spans="1:11">
      <c r="A9258" s="4">
        <v>2026</v>
      </c>
      <c r="B9258">
        <v>33</v>
      </c>
      <c r="C9258" t="s">
        <v>54</v>
      </c>
      <c r="D9258" t="s">
        <v>11</v>
      </c>
      <c r="E9258" t="s">
        <v>45</v>
      </c>
      <c r="F9258" t="s">
        <v>105</v>
      </c>
      <c r="G9258" t="str">
        <f t="shared" si="388"/>
        <v>026LOLA</v>
      </c>
      <c r="H9258" s="5">
        <f>VLOOKUP(G9258,[10]Astroflores!$G$2:$H$108,2,FALSE)</f>
        <v>3050</v>
      </c>
      <c r="I9258" s="6">
        <v>1097.125</v>
      </c>
      <c r="J9258" s="5">
        <v>8000</v>
      </c>
      <c r="K9258" s="6">
        <f t="shared" si="387"/>
        <v>2.7799931639512363</v>
      </c>
    </row>
    <row r="9259" spans="1:11">
      <c r="A9259" s="4">
        <v>2026</v>
      </c>
      <c r="B9259">
        <v>33</v>
      </c>
      <c r="C9259" t="s">
        <v>54</v>
      </c>
      <c r="D9259" t="s">
        <v>11</v>
      </c>
      <c r="E9259" t="s">
        <v>45</v>
      </c>
      <c r="F9259" t="s">
        <v>106</v>
      </c>
      <c r="G9259" t="str">
        <f t="shared" si="388"/>
        <v>026PALOMA</v>
      </c>
      <c r="H9259" s="5">
        <f>VLOOKUP(G9259,[10]Astroflores!$G$2:$H$108,2,FALSE)</f>
        <v>3275</v>
      </c>
      <c r="I9259" s="6">
        <v>2852.5250000000001</v>
      </c>
      <c r="J9259" s="5">
        <v>20800</v>
      </c>
      <c r="K9259" s="6">
        <f t="shared" si="387"/>
        <v>1.1481056257175659</v>
      </c>
    </row>
    <row r="9260" spans="1:11">
      <c r="A9260" s="4">
        <v>2026</v>
      </c>
      <c r="B9260">
        <v>33</v>
      </c>
      <c r="C9260" t="s">
        <v>54</v>
      </c>
      <c r="D9260" t="s">
        <v>11</v>
      </c>
      <c r="E9260" t="s">
        <v>107</v>
      </c>
      <c r="F9260" t="s">
        <v>108</v>
      </c>
      <c r="G9260" t="str">
        <f t="shared" si="388"/>
        <v>027SATISFACTION</v>
      </c>
      <c r="H9260" s="5">
        <f>VLOOKUP(G9260,[10]Astroflores!$G$2:$H$108,2,FALSE)</f>
        <v>3480</v>
      </c>
      <c r="I9260" s="6">
        <v>2633.1</v>
      </c>
      <c r="J9260" s="5">
        <v>19200</v>
      </c>
      <c r="K9260" s="6">
        <f t="shared" si="387"/>
        <v>1.321636094337473</v>
      </c>
    </row>
    <row r="9261" spans="1:11">
      <c r="A9261" s="4">
        <v>2026</v>
      </c>
      <c r="B9261">
        <v>33</v>
      </c>
      <c r="C9261" t="s">
        <v>54</v>
      </c>
      <c r="D9261" t="s">
        <v>11</v>
      </c>
      <c r="E9261" t="s">
        <v>107</v>
      </c>
      <c r="F9261" t="s">
        <v>109</v>
      </c>
      <c r="G9261" t="str">
        <f t="shared" si="388"/>
        <v>027TIFFANY</v>
      </c>
      <c r="H9261" s="5">
        <f>VLOOKUP(G9261,[10]Astroflores!$G$2:$H$108,2,FALSE)</f>
        <v>4380</v>
      </c>
      <c r="I9261" s="6">
        <v>2633.1</v>
      </c>
      <c r="J9261" s="5">
        <v>19200</v>
      </c>
      <c r="K9261" s="6">
        <f t="shared" si="387"/>
        <v>1.6634385325281988</v>
      </c>
    </row>
    <row r="9262" spans="1:11">
      <c r="A9262" s="4">
        <v>2026</v>
      </c>
      <c r="B9262">
        <v>33</v>
      </c>
      <c r="C9262" t="s">
        <v>54</v>
      </c>
      <c r="D9262" t="s">
        <v>11</v>
      </c>
      <c r="E9262" t="s">
        <v>110</v>
      </c>
      <c r="F9262" t="s">
        <v>70</v>
      </c>
      <c r="G9262" t="str">
        <f t="shared" si="388"/>
        <v>028COTOPAXI</v>
      </c>
      <c r="H9262" s="5">
        <f>VLOOKUP(G9262,[10]Astroflores!$G$2:$H$108,2,FALSE)</f>
        <v>5100</v>
      </c>
      <c r="I9262" s="6">
        <v>2852.5250000000001</v>
      </c>
      <c r="J9262" s="5">
        <v>20800</v>
      </c>
      <c r="K9262" s="6">
        <f t="shared" ref="K9262:K9265" si="389">+H9262/I9262</f>
        <v>1.7878896766899501</v>
      </c>
    </row>
    <row r="9263" spans="1:11">
      <c r="A9263" s="4">
        <v>2026</v>
      </c>
      <c r="B9263">
        <v>33</v>
      </c>
      <c r="C9263" t="s">
        <v>54</v>
      </c>
      <c r="D9263" t="s">
        <v>11</v>
      </c>
      <c r="E9263" t="s">
        <v>110</v>
      </c>
      <c r="F9263" t="s">
        <v>67</v>
      </c>
      <c r="G9263" t="str">
        <f t="shared" si="388"/>
        <v>028DEEP PURPLE</v>
      </c>
      <c r="H9263" s="5">
        <f>VLOOKUP(G9263,[10]Astroflores!$G$2:$H$108,2,FALSE)</f>
        <v>4350</v>
      </c>
      <c r="I9263" s="6">
        <v>2852.5250000000001</v>
      </c>
      <c r="J9263" s="5">
        <v>20800</v>
      </c>
      <c r="K9263" s="6">
        <f t="shared" si="389"/>
        <v>1.5249647242355457</v>
      </c>
    </row>
    <row r="9264" spans="1:11">
      <c r="A9264" s="4">
        <v>2026</v>
      </c>
      <c r="B9264">
        <v>33</v>
      </c>
      <c r="C9264" t="s">
        <v>54</v>
      </c>
      <c r="D9264" t="s">
        <v>11</v>
      </c>
      <c r="E9264" t="s">
        <v>111</v>
      </c>
      <c r="F9264" t="s">
        <v>112</v>
      </c>
      <c r="G9264" t="str">
        <f t="shared" si="388"/>
        <v>029PINK FLOYD</v>
      </c>
      <c r="H9264" s="5">
        <f>VLOOKUP(G9264,[10]Astroflores!$G$2:$H$108,2,FALSE)</f>
        <v>3875</v>
      </c>
      <c r="I9264" s="6">
        <v>3071.95</v>
      </c>
      <c r="J9264" s="5">
        <v>22400</v>
      </c>
      <c r="K9264" s="6">
        <f t="shared" si="389"/>
        <v>1.2614137599895832</v>
      </c>
    </row>
    <row r="9265" spans="1:11">
      <c r="A9265" s="4">
        <v>2026</v>
      </c>
      <c r="B9265">
        <v>33</v>
      </c>
      <c r="C9265" t="s">
        <v>54</v>
      </c>
      <c r="D9265" t="s">
        <v>11</v>
      </c>
      <c r="E9265" t="s">
        <v>47</v>
      </c>
      <c r="F9265" t="s">
        <v>57</v>
      </c>
      <c r="G9265" t="str">
        <f t="shared" si="388"/>
        <v>030EXPLORER</v>
      </c>
      <c r="H9265" s="5">
        <f>VLOOKUP(G9265,[10]Astroflores!$G$2:$H$108,2,FALSE)</f>
        <v>2000</v>
      </c>
      <c r="I9265" s="6">
        <v>1645.6875</v>
      </c>
      <c r="J9265" s="5">
        <v>12000</v>
      </c>
      <c r="K9265" s="6">
        <f t="shared" si="389"/>
        <v>1.2152975580114693</v>
      </c>
    </row>
    <row r="9266" spans="1:11">
      <c r="A9266" s="4">
        <v>2026</v>
      </c>
      <c r="B9266">
        <v>33</v>
      </c>
      <c r="C9266" t="s">
        <v>10</v>
      </c>
      <c r="D9266" t="s">
        <v>11</v>
      </c>
      <c r="E9266" t="s">
        <v>38</v>
      </c>
      <c r="F9266" t="s">
        <v>115</v>
      </c>
      <c r="G9266" t="s">
        <v>117</v>
      </c>
      <c r="H9266" s="5">
        <f>VLOOKUP(G9266,[10]Astroflores!$G$2:$H$108,2,FALSE)</f>
        <v>960</v>
      </c>
      <c r="I9266" s="6">
        <v>880.37999999999965</v>
      </c>
      <c r="J9266" s="5">
        <v>6400</v>
      </c>
      <c r="K9266" s="6">
        <v>8.5190485926531764E-2</v>
      </c>
    </row>
    <row r="9267" spans="1:11" hidden="1">
      <c r="A9267" s="4">
        <v>2026</v>
      </c>
      <c r="B9267">
        <v>34</v>
      </c>
      <c r="C9267" t="s">
        <v>10</v>
      </c>
      <c r="D9267" t="s">
        <v>11</v>
      </c>
      <c r="E9267" t="s">
        <v>12</v>
      </c>
      <c r="F9267" t="s">
        <v>13</v>
      </c>
      <c r="G9267" t="str">
        <f t="shared" ref="G9267:G9329" si="390">+E9267&amp;F9267</f>
        <v>002SOMERSET</v>
      </c>
      <c r="H9267" s="5">
        <v>8500</v>
      </c>
      <c r="I9267" s="6">
        <v>4121.4642855494085</v>
      </c>
      <c r="J9267" s="5">
        <v>31200</v>
      </c>
      <c r="K9267" s="6">
        <f t="shared" ref="K9267:K9301" si="391">+H9267/I9267</f>
        <v>2.0623738096682098</v>
      </c>
    </row>
    <row r="9268" spans="1:11" hidden="1">
      <c r="A9268" s="4">
        <v>2026</v>
      </c>
      <c r="B9268">
        <v>34</v>
      </c>
      <c r="C9268" t="s">
        <v>10</v>
      </c>
      <c r="D9268" t="s">
        <v>11</v>
      </c>
      <c r="E9268" t="s">
        <v>14</v>
      </c>
      <c r="F9268" t="s">
        <v>15</v>
      </c>
      <c r="G9268" t="str">
        <f t="shared" si="390"/>
        <v>004BELLINA</v>
      </c>
      <c r="H9268" s="5">
        <v>1035</v>
      </c>
      <c r="I9268" s="6">
        <v>1056.7857142434418</v>
      </c>
      <c r="J9268" s="5">
        <v>8000</v>
      </c>
      <c r="K9268" s="6">
        <f t="shared" si="391"/>
        <v>0.97938492737949401</v>
      </c>
    </row>
    <row r="9269" spans="1:11" hidden="1">
      <c r="A9269" s="4">
        <v>2026</v>
      </c>
      <c r="B9269">
        <v>34</v>
      </c>
      <c r="C9269" t="s">
        <v>10</v>
      </c>
      <c r="D9269" t="s">
        <v>11</v>
      </c>
      <c r="E9269" t="s">
        <v>16</v>
      </c>
      <c r="F9269" t="s">
        <v>17</v>
      </c>
      <c r="G9269" t="str">
        <f t="shared" si="390"/>
        <v>005ELBA</v>
      </c>
      <c r="H9269" s="5">
        <v>9270</v>
      </c>
      <c r="I9269" s="6">
        <v>2641.9642856076484</v>
      </c>
      <c r="J9269" s="5">
        <v>19996</v>
      </c>
      <c r="K9269" s="6">
        <f t="shared" si="391"/>
        <v>3.5087529572217182</v>
      </c>
    </row>
    <row r="9270" spans="1:11" hidden="1">
      <c r="A9270" s="4">
        <v>2026</v>
      </c>
      <c r="B9270">
        <v>34</v>
      </c>
      <c r="C9270" t="s">
        <v>10</v>
      </c>
      <c r="D9270" t="s">
        <v>11</v>
      </c>
      <c r="E9270" t="s">
        <v>16</v>
      </c>
      <c r="F9270" t="s">
        <v>18</v>
      </c>
      <c r="G9270" t="str">
        <f t="shared" si="390"/>
        <v>005HOT BUBBLES</v>
      </c>
      <c r="H9270" s="5">
        <v>1800</v>
      </c>
      <c r="I9270" s="6">
        <v>528.39285712153003</v>
      </c>
      <c r="J9270" s="5">
        <v>4000</v>
      </c>
      <c r="K9270" s="6">
        <f t="shared" si="391"/>
        <v>3.406556269147297</v>
      </c>
    </row>
    <row r="9271" spans="1:11" hidden="1">
      <c r="A9271" s="4">
        <v>2026</v>
      </c>
      <c r="B9271">
        <v>34</v>
      </c>
      <c r="C9271" t="s">
        <v>10</v>
      </c>
      <c r="D9271" t="s">
        <v>11</v>
      </c>
      <c r="E9271" t="s">
        <v>16</v>
      </c>
      <c r="F9271" t="s">
        <v>19</v>
      </c>
      <c r="G9271" t="str">
        <f t="shared" si="390"/>
        <v>005SUSPIRO</v>
      </c>
      <c r="H9271" s="5">
        <v>3300</v>
      </c>
      <c r="I9271" s="6">
        <v>1902.2142856375078</v>
      </c>
      <c r="J9271" s="5">
        <v>14400</v>
      </c>
      <c r="K9271" s="6">
        <f t="shared" si="391"/>
        <v>1.7348203222509384</v>
      </c>
    </row>
    <row r="9272" spans="1:11" hidden="1">
      <c r="A9272" s="4">
        <v>2026</v>
      </c>
      <c r="B9272">
        <v>34</v>
      </c>
      <c r="C9272" t="s">
        <v>10</v>
      </c>
      <c r="D9272" t="s">
        <v>11</v>
      </c>
      <c r="E9272" t="s">
        <v>20</v>
      </c>
      <c r="F9272" t="s">
        <v>21</v>
      </c>
      <c r="G9272" t="str">
        <f t="shared" si="390"/>
        <v>007SNOW BUBBLES</v>
      </c>
      <c r="H9272" s="5">
        <v>1360</v>
      </c>
      <c r="I9272" s="6">
        <v>634.05652706821195</v>
      </c>
      <c r="J9272" s="5">
        <v>4800</v>
      </c>
      <c r="K9272" s="6">
        <f t="shared" si="391"/>
        <v>2.1449191703592239</v>
      </c>
    </row>
    <row r="9273" spans="1:11" hidden="1">
      <c r="A9273" s="4">
        <v>2026</v>
      </c>
      <c r="B9273">
        <v>34</v>
      </c>
      <c r="C9273" t="s">
        <v>10</v>
      </c>
      <c r="D9273" t="s">
        <v>11</v>
      </c>
      <c r="E9273" t="s">
        <v>22</v>
      </c>
      <c r="F9273" t="s">
        <v>18</v>
      </c>
      <c r="G9273" t="str">
        <f t="shared" si="390"/>
        <v>009HOT BUBBLES</v>
      </c>
      <c r="H9273" s="5">
        <v>13040</v>
      </c>
      <c r="I9273" s="6">
        <v>4487.9999999102474</v>
      </c>
      <c r="J9273" s="5">
        <v>31740</v>
      </c>
      <c r="K9273" s="6">
        <f t="shared" si="391"/>
        <v>2.905525846760423</v>
      </c>
    </row>
    <row r="9274" spans="1:11" hidden="1">
      <c r="A9274" s="4">
        <v>2026</v>
      </c>
      <c r="B9274">
        <v>34</v>
      </c>
      <c r="C9274" t="s">
        <v>10</v>
      </c>
      <c r="D9274" t="s">
        <v>11</v>
      </c>
      <c r="E9274" t="s">
        <v>23</v>
      </c>
      <c r="F9274" t="s">
        <v>24</v>
      </c>
      <c r="G9274" t="str">
        <f t="shared" si="390"/>
        <v>014FRUITY BUBBLES</v>
      </c>
      <c r="H9274" s="5">
        <v>2375</v>
      </c>
      <c r="I9274" s="6">
        <v>1702.8</v>
      </c>
      <c r="J9274" s="5">
        <v>12900</v>
      </c>
      <c r="K9274" s="6">
        <f t="shared" si="391"/>
        <v>1.3947615691801738</v>
      </c>
    </row>
    <row r="9275" spans="1:11" hidden="1">
      <c r="A9275" s="4">
        <v>2026</v>
      </c>
      <c r="B9275">
        <v>34</v>
      </c>
      <c r="C9275" t="s">
        <v>10</v>
      </c>
      <c r="D9275" t="s">
        <v>11</v>
      </c>
      <c r="E9275" t="s">
        <v>25</v>
      </c>
      <c r="F9275" t="s">
        <v>26</v>
      </c>
      <c r="G9275" t="str">
        <f t="shared" si="390"/>
        <v>015FELLINI</v>
      </c>
      <c r="H9275" s="5">
        <v>5380</v>
      </c>
      <c r="I9275" s="6">
        <v>3009.6</v>
      </c>
      <c r="J9275" s="5">
        <v>22800</v>
      </c>
      <c r="K9275" s="6">
        <f t="shared" si="391"/>
        <v>1.7876129718234981</v>
      </c>
    </row>
    <row r="9276" spans="1:11" hidden="1">
      <c r="A9276" s="4">
        <v>2026</v>
      </c>
      <c r="B9276">
        <v>34</v>
      </c>
      <c r="C9276" t="s">
        <v>10</v>
      </c>
      <c r="D9276" t="s">
        <v>11</v>
      </c>
      <c r="E9276" t="s">
        <v>27</v>
      </c>
      <c r="F9276" t="s">
        <v>28</v>
      </c>
      <c r="G9276" t="str">
        <f t="shared" si="390"/>
        <v>016GOOD PEACH</v>
      </c>
      <c r="H9276" s="5">
        <v>3300</v>
      </c>
      <c r="I9276" s="6">
        <v>1386</v>
      </c>
      <c r="J9276" s="5">
        <v>10500</v>
      </c>
      <c r="K9276" s="6">
        <f t="shared" si="391"/>
        <v>2.3809523809523809</v>
      </c>
    </row>
    <row r="9277" spans="1:11" hidden="1">
      <c r="A9277" s="4">
        <v>2026</v>
      </c>
      <c r="B9277">
        <v>34</v>
      </c>
      <c r="C9277" t="s">
        <v>10</v>
      </c>
      <c r="D9277" t="s">
        <v>11</v>
      </c>
      <c r="E9277" t="s">
        <v>27</v>
      </c>
      <c r="F9277" t="s">
        <v>29</v>
      </c>
      <c r="G9277" t="str">
        <f t="shared" si="390"/>
        <v>016GOOD YELLOW</v>
      </c>
      <c r="H9277" s="5">
        <v>2880</v>
      </c>
      <c r="I9277" s="6">
        <v>1386</v>
      </c>
      <c r="J9277" s="5">
        <v>10500</v>
      </c>
      <c r="K9277" s="6">
        <f t="shared" si="391"/>
        <v>2.0779220779220777</v>
      </c>
    </row>
    <row r="9278" spans="1:11" hidden="1">
      <c r="A9278" s="4">
        <v>2026</v>
      </c>
      <c r="B9278">
        <v>34</v>
      </c>
      <c r="C9278" t="s">
        <v>10</v>
      </c>
      <c r="D9278" t="s">
        <v>11</v>
      </c>
      <c r="E9278" t="s">
        <v>30</v>
      </c>
      <c r="F9278" t="s">
        <v>31</v>
      </c>
      <c r="G9278" t="str">
        <f t="shared" si="390"/>
        <v>017ORANGE STAR</v>
      </c>
      <c r="H9278" s="5">
        <v>1175</v>
      </c>
      <c r="I9278" s="6">
        <v>1029.5999999999999</v>
      </c>
      <c r="J9278" s="5">
        <v>7800</v>
      </c>
      <c r="K9278" s="6">
        <f t="shared" si="391"/>
        <v>1.1412198912198914</v>
      </c>
    </row>
    <row r="9279" spans="1:11" hidden="1">
      <c r="A9279" s="4">
        <v>2026</v>
      </c>
      <c r="B9279">
        <v>34</v>
      </c>
      <c r="C9279" t="s">
        <v>10</v>
      </c>
      <c r="D9279" t="s">
        <v>11</v>
      </c>
      <c r="E9279" t="s">
        <v>32</v>
      </c>
      <c r="F9279" t="s">
        <v>33</v>
      </c>
      <c r="G9279" t="str">
        <f t="shared" si="390"/>
        <v>018COSMO</v>
      </c>
      <c r="H9279" s="5">
        <v>3750</v>
      </c>
      <c r="I9279" s="6">
        <v>2653.2</v>
      </c>
      <c r="J9279" s="5">
        <v>20100</v>
      </c>
      <c r="K9279" s="6">
        <f t="shared" si="391"/>
        <v>1.4133876074174583</v>
      </c>
    </row>
    <row r="9280" spans="1:11" hidden="1">
      <c r="A9280" s="4">
        <v>2026</v>
      </c>
      <c r="B9280">
        <v>34</v>
      </c>
      <c r="C9280" t="s">
        <v>10</v>
      </c>
      <c r="D9280" t="s">
        <v>11</v>
      </c>
      <c r="E9280" t="s">
        <v>32</v>
      </c>
      <c r="F9280" t="s">
        <v>34</v>
      </c>
      <c r="G9280" t="str">
        <f t="shared" si="390"/>
        <v>018RUBICON</v>
      </c>
      <c r="H9280" s="5">
        <v>4530</v>
      </c>
      <c r="I9280" s="6">
        <v>1768.8</v>
      </c>
      <c r="J9280" s="5">
        <v>13400</v>
      </c>
      <c r="K9280" s="6">
        <f t="shared" si="391"/>
        <v>2.5610583446404345</v>
      </c>
    </row>
    <row r="9281" spans="1:11" hidden="1">
      <c r="A9281" s="4">
        <v>2026</v>
      </c>
      <c r="B9281">
        <v>34</v>
      </c>
      <c r="C9281" t="s">
        <v>10</v>
      </c>
      <c r="D9281" t="s">
        <v>11</v>
      </c>
      <c r="E9281" t="s">
        <v>35</v>
      </c>
      <c r="F9281" t="s">
        <v>15</v>
      </c>
      <c r="G9281" t="str">
        <f t="shared" si="390"/>
        <v>019BELLINA</v>
      </c>
      <c r="H9281" s="5">
        <v>1800</v>
      </c>
      <c r="I9281" s="6">
        <v>1029.5999999999999</v>
      </c>
      <c r="J9281" s="5">
        <v>7800</v>
      </c>
      <c r="K9281" s="6">
        <f t="shared" si="391"/>
        <v>1.7482517482517483</v>
      </c>
    </row>
    <row r="9282" spans="1:11" hidden="1">
      <c r="A9282" s="4">
        <v>2026</v>
      </c>
      <c r="B9282">
        <v>34</v>
      </c>
      <c r="C9282" t="s">
        <v>10</v>
      </c>
      <c r="D9282" t="s">
        <v>11</v>
      </c>
      <c r="E9282" t="s">
        <v>36</v>
      </c>
      <c r="F9282" t="s">
        <v>37</v>
      </c>
      <c r="G9282" t="str">
        <f t="shared" si="390"/>
        <v>020SUMMER DANCE</v>
      </c>
      <c r="H9282" s="5">
        <v>3025</v>
      </c>
      <c r="I9282" s="6">
        <v>1346.4</v>
      </c>
      <c r="J9282" s="5">
        <v>10200</v>
      </c>
      <c r="K9282" s="6">
        <f t="shared" si="391"/>
        <v>2.2467320261437909</v>
      </c>
    </row>
    <row r="9283" spans="1:11" hidden="1">
      <c r="A9283" s="4">
        <v>2026</v>
      </c>
      <c r="B9283">
        <v>34</v>
      </c>
      <c r="C9283" t="s">
        <v>10</v>
      </c>
      <c r="D9283" t="s">
        <v>11</v>
      </c>
      <c r="E9283" t="s">
        <v>38</v>
      </c>
      <c r="F9283" t="s">
        <v>39</v>
      </c>
      <c r="G9283" t="str">
        <f t="shared" si="390"/>
        <v>021ELEGANT ROSEVER</v>
      </c>
      <c r="H9283" s="5">
        <v>300</v>
      </c>
      <c r="I9283" s="6">
        <v>440.18999062500001</v>
      </c>
      <c r="J9283" s="5">
        <v>3200</v>
      </c>
      <c r="K9283" s="6">
        <f t="shared" si="391"/>
        <v>0.68152390192709189</v>
      </c>
    </row>
    <row r="9284" spans="1:11" hidden="1">
      <c r="A9284" s="4">
        <v>2026</v>
      </c>
      <c r="B9284">
        <v>34</v>
      </c>
      <c r="C9284" t="s">
        <v>10</v>
      </c>
      <c r="D9284" t="s">
        <v>11</v>
      </c>
      <c r="E9284" t="s">
        <v>38</v>
      </c>
      <c r="F9284" t="s">
        <v>40</v>
      </c>
      <c r="G9284" t="str">
        <f t="shared" si="390"/>
        <v>021FLAME CLUB</v>
      </c>
      <c r="H9284" s="5">
        <v>1600</v>
      </c>
      <c r="I9284" s="6">
        <v>880.38</v>
      </c>
      <c r="J9284" s="5">
        <v>6400</v>
      </c>
      <c r="K9284" s="6">
        <f t="shared" si="391"/>
        <v>1.8173970330993434</v>
      </c>
    </row>
    <row r="9285" spans="1:11" hidden="1">
      <c r="A9285" s="4">
        <v>2026</v>
      </c>
      <c r="B9285">
        <v>34</v>
      </c>
      <c r="C9285" t="s">
        <v>10</v>
      </c>
      <c r="D9285" t="s">
        <v>11</v>
      </c>
      <c r="E9285" t="s">
        <v>38</v>
      </c>
      <c r="F9285" t="s">
        <v>41</v>
      </c>
      <c r="G9285" t="str">
        <f t="shared" si="390"/>
        <v>021KELLY</v>
      </c>
      <c r="H9285" s="5">
        <v>550</v>
      </c>
      <c r="I9285" s="6">
        <v>330.14249999999998</v>
      </c>
      <c r="J9285" s="5">
        <v>2400</v>
      </c>
      <c r="K9285" s="6">
        <f t="shared" si="391"/>
        <v>1.6659472803410649</v>
      </c>
    </row>
    <row r="9286" spans="1:11" hidden="1">
      <c r="A9286" s="4">
        <v>2026</v>
      </c>
      <c r="B9286">
        <v>34</v>
      </c>
      <c r="C9286" t="s">
        <v>10</v>
      </c>
      <c r="D9286" t="s">
        <v>11</v>
      </c>
      <c r="E9286" t="s">
        <v>38</v>
      </c>
      <c r="F9286" t="s">
        <v>42</v>
      </c>
      <c r="G9286" t="str">
        <f t="shared" si="390"/>
        <v>021LEILA</v>
      </c>
      <c r="H9286" s="5">
        <v>2400</v>
      </c>
      <c r="I9286" s="6">
        <v>1650.7125000000001</v>
      </c>
      <c r="J9286" s="5">
        <v>12000</v>
      </c>
      <c r="K9286" s="6">
        <f t="shared" si="391"/>
        <v>1.4539176264794746</v>
      </c>
    </row>
    <row r="9287" spans="1:11" hidden="1">
      <c r="A9287" s="4">
        <v>2026</v>
      </c>
      <c r="B9287">
        <v>34</v>
      </c>
      <c r="C9287" t="s">
        <v>10</v>
      </c>
      <c r="D9287" t="s">
        <v>11</v>
      </c>
      <c r="E9287" t="s">
        <v>38</v>
      </c>
      <c r="F9287" t="s">
        <v>21</v>
      </c>
      <c r="G9287" t="str">
        <f t="shared" si="390"/>
        <v>021SNOW BUBBLES</v>
      </c>
      <c r="H9287" s="5">
        <v>2320</v>
      </c>
      <c r="I9287" s="6">
        <v>1287.0000000000018</v>
      </c>
      <c r="J9287" s="5">
        <v>9400</v>
      </c>
      <c r="K9287" s="6">
        <f t="shared" si="391"/>
        <v>1.8026418026418001</v>
      </c>
    </row>
    <row r="9288" spans="1:11" hidden="1">
      <c r="A9288" s="4">
        <v>2026</v>
      </c>
      <c r="B9288">
        <v>34</v>
      </c>
      <c r="C9288" t="s">
        <v>10</v>
      </c>
      <c r="D9288" t="s">
        <v>11</v>
      </c>
      <c r="E9288" t="s">
        <v>43</v>
      </c>
      <c r="F9288" t="s">
        <v>24</v>
      </c>
      <c r="G9288" t="str">
        <f t="shared" si="390"/>
        <v>022FRUITY BUBBLES</v>
      </c>
      <c r="H9288" s="5">
        <v>5100</v>
      </c>
      <c r="I9288" s="6">
        <v>2641.14</v>
      </c>
      <c r="J9288" s="5">
        <v>19200</v>
      </c>
      <c r="K9288" s="6">
        <f t="shared" si="391"/>
        <v>1.9309843476680526</v>
      </c>
    </row>
    <row r="9289" spans="1:11" hidden="1">
      <c r="A9289" s="4">
        <v>2026</v>
      </c>
      <c r="B9289">
        <v>34</v>
      </c>
      <c r="C9289" t="s">
        <v>10</v>
      </c>
      <c r="D9289" t="s">
        <v>11</v>
      </c>
      <c r="E9289" t="s">
        <v>43</v>
      </c>
      <c r="F9289" t="s">
        <v>28</v>
      </c>
      <c r="G9289" t="str">
        <f t="shared" si="390"/>
        <v>022GOOD PEACH</v>
      </c>
      <c r="H9289" s="5">
        <v>2160</v>
      </c>
      <c r="I9289" s="6">
        <v>880.38</v>
      </c>
      <c r="J9289" s="5">
        <v>6400</v>
      </c>
      <c r="K9289" s="6">
        <f t="shared" si="391"/>
        <v>2.4534859946841139</v>
      </c>
    </row>
    <row r="9290" spans="1:11" hidden="1">
      <c r="A9290" s="4">
        <v>2026</v>
      </c>
      <c r="B9290">
        <v>34</v>
      </c>
      <c r="C9290" t="s">
        <v>10</v>
      </c>
      <c r="D9290" t="s">
        <v>11</v>
      </c>
      <c r="E9290" t="s">
        <v>43</v>
      </c>
      <c r="F9290" t="s">
        <v>44</v>
      </c>
      <c r="G9290" t="str">
        <f t="shared" si="390"/>
        <v>022MIRABEL</v>
      </c>
      <c r="H9290" s="5">
        <v>1720</v>
      </c>
      <c r="I9290" s="6">
        <v>880.38</v>
      </c>
      <c r="J9290" s="5">
        <v>6400</v>
      </c>
      <c r="K9290" s="6">
        <f t="shared" si="391"/>
        <v>1.9537018105817943</v>
      </c>
    </row>
    <row r="9291" spans="1:11" hidden="1">
      <c r="A9291" s="4">
        <v>2026</v>
      </c>
      <c r="B9291">
        <v>34</v>
      </c>
      <c r="C9291" t="s">
        <v>10</v>
      </c>
      <c r="D9291" t="s">
        <v>11</v>
      </c>
      <c r="E9291" t="s">
        <v>45</v>
      </c>
      <c r="F9291" t="s">
        <v>46</v>
      </c>
      <c r="G9291" t="str">
        <f t="shared" si="390"/>
        <v>026PURPLE BUBBLY</v>
      </c>
      <c r="H9291" s="5">
        <v>480</v>
      </c>
      <c r="I9291" s="6">
        <v>1755.4</v>
      </c>
      <c r="J9291" s="5">
        <v>12800</v>
      </c>
      <c r="K9291" s="6">
        <f t="shared" si="391"/>
        <v>0.27344195055258058</v>
      </c>
    </row>
    <row r="9292" spans="1:11" hidden="1">
      <c r="A9292" s="4">
        <v>2026</v>
      </c>
      <c r="B9292">
        <v>34</v>
      </c>
      <c r="C9292" t="s">
        <v>10</v>
      </c>
      <c r="D9292" t="s">
        <v>11</v>
      </c>
      <c r="E9292" t="s">
        <v>47</v>
      </c>
      <c r="F9292" t="s">
        <v>44</v>
      </c>
      <c r="G9292" t="str">
        <f t="shared" si="390"/>
        <v>030MIRABEL</v>
      </c>
      <c r="H9292" s="5">
        <v>4300</v>
      </c>
      <c r="I9292" s="6">
        <v>2413.6749943750001</v>
      </c>
      <c r="J9292" s="5">
        <v>17600</v>
      </c>
      <c r="K9292" s="6">
        <f t="shared" si="391"/>
        <v>1.7815157426004022</v>
      </c>
    </row>
    <row r="9293" spans="1:11" hidden="1">
      <c r="A9293" s="4">
        <v>2026</v>
      </c>
      <c r="B9293">
        <v>34</v>
      </c>
      <c r="C9293" t="s">
        <v>10</v>
      </c>
      <c r="D9293" t="s">
        <v>11</v>
      </c>
      <c r="E9293" t="s">
        <v>47</v>
      </c>
      <c r="F9293" t="s">
        <v>13</v>
      </c>
      <c r="G9293" t="str">
        <f t="shared" si="390"/>
        <v>030SOMERSET</v>
      </c>
      <c r="H9293" s="5">
        <v>2600</v>
      </c>
      <c r="I9293" s="6">
        <v>1645.6875</v>
      </c>
      <c r="J9293" s="5">
        <v>12000</v>
      </c>
      <c r="K9293" s="6">
        <f t="shared" si="391"/>
        <v>1.5798868254149101</v>
      </c>
    </row>
    <row r="9294" spans="1:11" hidden="1">
      <c r="A9294" s="4">
        <v>2026</v>
      </c>
      <c r="B9294">
        <v>34</v>
      </c>
      <c r="C9294" t="s">
        <v>10</v>
      </c>
      <c r="D9294" t="s">
        <v>11</v>
      </c>
      <c r="E9294" t="s">
        <v>48</v>
      </c>
      <c r="F9294" t="s">
        <v>49</v>
      </c>
      <c r="G9294" t="str">
        <f t="shared" si="390"/>
        <v>03182989</v>
      </c>
      <c r="H9294" s="5">
        <v>1820</v>
      </c>
      <c r="I9294" s="6">
        <v>726.32013058333712</v>
      </c>
      <c r="J9294" s="5">
        <v>5712</v>
      </c>
      <c r="K9294" s="6">
        <f t="shared" si="391"/>
        <v>2.505782124664897</v>
      </c>
    </row>
    <row r="9295" spans="1:11" hidden="1">
      <c r="A9295" s="4">
        <v>2026</v>
      </c>
      <c r="B9295">
        <v>34</v>
      </c>
      <c r="C9295" t="s">
        <v>10</v>
      </c>
      <c r="D9295" t="s">
        <v>11</v>
      </c>
      <c r="E9295" t="s">
        <v>48</v>
      </c>
      <c r="F9295" t="s">
        <v>34</v>
      </c>
      <c r="G9295" t="str">
        <f t="shared" si="390"/>
        <v>031RUBICON</v>
      </c>
      <c r="H9295" s="5">
        <v>1890</v>
      </c>
      <c r="I9295" s="6">
        <v>924.39958333667107</v>
      </c>
      <c r="J9295" s="5">
        <v>6720</v>
      </c>
      <c r="K9295" s="6">
        <f t="shared" si="391"/>
        <v>2.04457037202239</v>
      </c>
    </row>
    <row r="9296" spans="1:11" hidden="1">
      <c r="A9296" s="4">
        <v>2026</v>
      </c>
      <c r="B9296">
        <v>34</v>
      </c>
      <c r="C9296" t="s">
        <v>10</v>
      </c>
      <c r="D9296" t="s">
        <v>11</v>
      </c>
      <c r="E9296" t="s">
        <v>48</v>
      </c>
      <c r="F9296" t="s">
        <v>13</v>
      </c>
      <c r="G9296" t="str">
        <f t="shared" si="390"/>
        <v>031SOMERSET</v>
      </c>
      <c r="H9296" s="5">
        <v>2480</v>
      </c>
      <c r="I9296" s="6">
        <v>1122.485208333339</v>
      </c>
      <c r="J9296" s="5">
        <v>8160</v>
      </c>
      <c r="K9296" s="6">
        <f t="shared" si="391"/>
        <v>2.2093832342630981</v>
      </c>
    </row>
    <row r="9297" spans="1:11" hidden="1">
      <c r="A9297" s="4">
        <v>2026</v>
      </c>
      <c r="B9297">
        <v>34</v>
      </c>
      <c r="C9297" t="s">
        <v>10</v>
      </c>
      <c r="D9297" t="s">
        <v>11</v>
      </c>
      <c r="E9297" t="s">
        <v>48</v>
      </c>
      <c r="F9297" t="s">
        <v>50</v>
      </c>
      <c r="G9297" t="str">
        <f t="shared" si="390"/>
        <v>031VELVET BLOSSOMS</v>
      </c>
      <c r="H9297" s="5">
        <v>280</v>
      </c>
      <c r="I9297" s="6">
        <v>396.17125000000198</v>
      </c>
      <c r="J9297" s="5">
        <v>2880</v>
      </c>
      <c r="K9297" s="6">
        <f t="shared" si="391"/>
        <v>0.7067650668744857</v>
      </c>
    </row>
    <row r="9298" spans="1:11" hidden="1">
      <c r="A9298" s="4">
        <v>2026</v>
      </c>
      <c r="B9298">
        <v>34</v>
      </c>
      <c r="C9298" t="s">
        <v>10</v>
      </c>
      <c r="D9298" t="s">
        <v>11</v>
      </c>
      <c r="E9298" t="s">
        <v>51</v>
      </c>
      <c r="F9298" t="s">
        <v>17</v>
      </c>
      <c r="G9298" t="str">
        <f t="shared" si="390"/>
        <v>032ELBA</v>
      </c>
      <c r="H9298" s="5">
        <v>3060</v>
      </c>
      <c r="I9298" s="6">
        <v>1535.9749999999999</v>
      </c>
      <c r="J9298" s="5">
        <v>11200</v>
      </c>
      <c r="K9298" s="6">
        <f t="shared" si="391"/>
        <v>1.9922199254545159</v>
      </c>
    </row>
    <row r="9299" spans="1:11" hidden="1">
      <c r="A9299" s="4">
        <v>2026</v>
      </c>
      <c r="B9299">
        <v>34</v>
      </c>
      <c r="C9299" t="s">
        <v>10</v>
      </c>
      <c r="D9299" t="s">
        <v>11</v>
      </c>
      <c r="E9299" t="s">
        <v>51</v>
      </c>
      <c r="F9299" t="s">
        <v>44</v>
      </c>
      <c r="G9299" t="str">
        <f t="shared" si="390"/>
        <v>032MIRABEL</v>
      </c>
      <c r="H9299" s="5">
        <v>1860</v>
      </c>
      <c r="I9299" s="6">
        <v>1535.9749999999999</v>
      </c>
      <c r="J9299" s="5">
        <v>11200</v>
      </c>
      <c r="K9299" s="6">
        <f t="shared" si="391"/>
        <v>1.2109572095899999</v>
      </c>
    </row>
    <row r="9300" spans="1:11" hidden="1">
      <c r="A9300" s="4">
        <v>2026</v>
      </c>
      <c r="B9300">
        <v>34</v>
      </c>
      <c r="C9300" t="s">
        <v>10</v>
      </c>
      <c r="D9300" t="s">
        <v>11</v>
      </c>
      <c r="E9300" t="s">
        <v>52</v>
      </c>
      <c r="F9300" t="s">
        <v>53</v>
      </c>
      <c r="G9300" t="str">
        <f t="shared" si="390"/>
        <v>033CREAMY FOLIES</v>
      </c>
      <c r="H9300" s="5">
        <v>1440</v>
      </c>
      <c r="I9300" s="6">
        <v>594.25687500000299</v>
      </c>
      <c r="J9300" s="5">
        <v>4320</v>
      </c>
      <c r="K9300" s="6">
        <f t="shared" si="391"/>
        <v>2.4231945149982366</v>
      </c>
    </row>
    <row r="9301" spans="1:11" hidden="1">
      <c r="A9301" s="4">
        <v>2026</v>
      </c>
      <c r="B9301">
        <v>34</v>
      </c>
      <c r="C9301" t="s">
        <v>10</v>
      </c>
      <c r="D9301" t="s">
        <v>11</v>
      </c>
      <c r="E9301" t="s">
        <v>52</v>
      </c>
      <c r="F9301" t="s">
        <v>18</v>
      </c>
      <c r="G9301" t="str">
        <f t="shared" si="390"/>
        <v>033HOT BUBBLES</v>
      </c>
      <c r="H9301" s="5">
        <v>2820</v>
      </c>
      <c r="I9301" s="6">
        <v>2575.1131250013459</v>
      </c>
      <c r="J9301" s="5">
        <v>18720</v>
      </c>
      <c r="K9301" s="6">
        <f t="shared" si="391"/>
        <v>1.0950975212005594</v>
      </c>
    </row>
    <row r="9302" spans="1:11" hidden="1">
      <c r="A9302" s="4">
        <v>2026</v>
      </c>
      <c r="B9302">
        <v>34</v>
      </c>
      <c r="C9302" t="s">
        <v>54</v>
      </c>
      <c r="D9302" t="s">
        <v>11</v>
      </c>
      <c r="E9302" t="s">
        <v>55</v>
      </c>
      <c r="F9302" t="s">
        <v>56</v>
      </c>
      <c r="G9302" t="str">
        <f t="shared" si="390"/>
        <v>001BELIEVE IN PINK</v>
      </c>
      <c r="H9302" s="5">
        <v>990</v>
      </c>
      <c r="I9302" s="6">
        <v>528.37931032368999</v>
      </c>
      <c r="J9302" s="5">
        <v>4000</v>
      </c>
      <c r="K9302" s="6">
        <f t="shared" ref="K9302:K9307" si="392">IFERROR(H9302/I9302,"")</f>
        <v>1.8736539842817028</v>
      </c>
    </row>
    <row r="9303" spans="1:11" hidden="1">
      <c r="A9303" s="4">
        <v>2026</v>
      </c>
      <c r="B9303">
        <v>34</v>
      </c>
      <c r="C9303" t="s">
        <v>54</v>
      </c>
      <c r="D9303" t="s">
        <v>11</v>
      </c>
      <c r="E9303" t="s">
        <v>55</v>
      </c>
      <c r="F9303" t="s">
        <v>57</v>
      </c>
      <c r="G9303" t="str">
        <f t="shared" si="390"/>
        <v>001EXPLORER</v>
      </c>
      <c r="H9303" s="5">
        <v>2700</v>
      </c>
      <c r="I9303" s="6">
        <v>2272.0310343918732</v>
      </c>
      <c r="J9303" s="5">
        <v>17200</v>
      </c>
      <c r="K9303" s="6">
        <f t="shared" si="392"/>
        <v>1.1883640492272924</v>
      </c>
    </row>
    <row r="9304" spans="1:11" hidden="1">
      <c r="A9304" s="4">
        <v>2026</v>
      </c>
      <c r="B9304">
        <v>34</v>
      </c>
      <c r="C9304" t="s">
        <v>54</v>
      </c>
      <c r="D9304" t="s">
        <v>11</v>
      </c>
      <c r="E9304" t="s">
        <v>55</v>
      </c>
      <c r="F9304" t="s">
        <v>58</v>
      </c>
      <c r="G9304" t="str">
        <f t="shared" si="390"/>
        <v>001GRACE KELLY</v>
      </c>
      <c r="H9304" s="5">
        <v>1590</v>
      </c>
      <c r="I9304" s="6">
        <v>1162.4344827121224</v>
      </c>
      <c r="J9304" s="5">
        <v>8800</v>
      </c>
      <c r="K9304" s="6">
        <f t="shared" si="392"/>
        <v>1.3678190243378769</v>
      </c>
    </row>
    <row r="9305" spans="1:11" hidden="1">
      <c r="A9305" s="4">
        <v>2026</v>
      </c>
      <c r="B9305">
        <v>34</v>
      </c>
      <c r="C9305" t="s">
        <v>54</v>
      </c>
      <c r="D9305" t="s">
        <v>11</v>
      </c>
      <c r="E9305" t="s">
        <v>55</v>
      </c>
      <c r="F9305" t="s">
        <v>59</v>
      </c>
      <c r="G9305" t="str">
        <f t="shared" si="390"/>
        <v>001IDOLE</v>
      </c>
      <c r="H9305" s="5">
        <v>1120</v>
      </c>
      <c r="I9305" s="6">
        <v>1162.4344827121181</v>
      </c>
      <c r="J9305" s="5">
        <v>8800</v>
      </c>
      <c r="K9305" s="6">
        <f t="shared" si="392"/>
        <v>0.96349516179775341</v>
      </c>
    </row>
    <row r="9306" spans="1:11" hidden="1">
      <c r="A9306" s="4">
        <v>2026</v>
      </c>
      <c r="B9306">
        <v>34</v>
      </c>
      <c r="C9306" t="s">
        <v>54</v>
      </c>
      <c r="D9306" t="s">
        <v>11</v>
      </c>
      <c r="E9306" t="s">
        <v>55</v>
      </c>
      <c r="F9306" t="s">
        <v>60</v>
      </c>
      <c r="G9306" t="str">
        <f t="shared" si="390"/>
        <v>001LIGHT HOUSE</v>
      </c>
      <c r="H9306" s="5">
        <v>1140</v>
      </c>
      <c r="I9306" s="6">
        <v>1056.7586206473827</v>
      </c>
      <c r="J9306" s="5">
        <v>8000</v>
      </c>
      <c r="K9306" s="6">
        <f t="shared" si="392"/>
        <v>1.0787704757985535</v>
      </c>
    </row>
    <row r="9307" spans="1:11" hidden="1">
      <c r="A9307" s="4">
        <v>2026</v>
      </c>
      <c r="B9307">
        <v>34</v>
      </c>
      <c r="C9307" t="s">
        <v>54</v>
      </c>
      <c r="D9307" t="s">
        <v>11</v>
      </c>
      <c r="E9307" t="s">
        <v>55</v>
      </c>
      <c r="F9307" t="s">
        <v>62</v>
      </c>
      <c r="G9307" t="str">
        <f t="shared" si="390"/>
        <v>001MOMENTUM</v>
      </c>
      <c r="H9307" s="5">
        <v>3275</v>
      </c>
      <c r="I9307" s="6">
        <v>1902.1655171652881</v>
      </c>
      <c r="J9307" s="5">
        <v>14400</v>
      </c>
      <c r="K9307" s="6">
        <f t="shared" si="392"/>
        <v>1.721721885107341</v>
      </c>
    </row>
    <row r="9308" spans="1:11" hidden="1">
      <c r="A9308" s="4">
        <v>2026</v>
      </c>
      <c r="B9308">
        <v>34</v>
      </c>
      <c r="C9308" t="s">
        <v>54</v>
      </c>
      <c r="D9308" t="s">
        <v>11</v>
      </c>
      <c r="E9308" t="s">
        <v>12</v>
      </c>
      <c r="F9308" t="s">
        <v>63</v>
      </c>
      <c r="G9308" t="str">
        <f t="shared" si="390"/>
        <v>002SUMMER ROMANCE</v>
      </c>
      <c r="H9308" s="5">
        <v>2100</v>
      </c>
      <c r="I9308" s="6">
        <v>951.10714281909407</v>
      </c>
      <c r="J9308" s="5">
        <v>7200</v>
      </c>
      <c r="K9308" s="6">
        <f t="shared" ref="K9308:K9368" si="393">+H9308/I9308</f>
        <v>2.2079531374094956</v>
      </c>
    </row>
    <row r="9309" spans="1:11" hidden="1">
      <c r="A9309" s="4">
        <v>2026</v>
      </c>
      <c r="B9309">
        <v>34</v>
      </c>
      <c r="C9309" t="s">
        <v>54</v>
      </c>
      <c r="D9309" t="s">
        <v>11</v>
      </c>
      <c r="E9309" t="s">
        <v>12</v>
      </c>
      <c r="F9309" t="s">
        <v>64</v>
      </c>
      <c r="G9309" t="str">
        <f t="shared" si="390"/>
        <v>002SWEETNESS</v>
      </c>
      <c r="H9309" s="5">
        <v>6090</v>
      </c>
      <c r="I9309" s="6">
        <v>3804.4285712763772</v>
      </c>
      <c r="J9309" s="5">
        <v>28800</v>
      </c>
      <c r="K9309" s="6">
        <f t="shared" si="393"/>
        <v>1.600766024621884</v>
      </c>
    </row>
    <row r="9310" spans="1:11" hidden="1">
      <c r="A9310" s="4">
        <v>2026</v>
      </c>
      <c r="B9310">
        <v>34</v>
      </c>
      <c r="C9310" t="s">
        <v>54</v>
      </c>
      <c r="D9310" t="s">
        <v>11</v>
      </c>
      <c r="E9310" t="s">
        <v>65</v>
      </c>
      <c r="F9310" t="s">
        <v>66</v>
      </c>
      <c r="G9310" t="str">
        <f t="shared" si="390"/>
        <v>003CABARET</v>
      </c>
      <c r="H9310" s="5">
        <v>4290</v>
      </c>
      <c r="I9310" s="6">
        <v>2641.8965516184649</v>
      </c>
      <c r="J9310" s="5">
        <v>20000</v>
      </c>
      <c r="K9310" s="6">
        <f t="shared" si="393"/>
        <v>1.6238334530441332</v>
      </c>
    </row>
    <row r="9311" spans="1:11" hidden="1">
      <c r="A9311" s="4">
        <v>2026</v>
      </c>
      <c r="B9311">
        <v>34</v>
      </c>
      <c r="C9311" t="s">
        <v>54</v>
      </c>
      <c r="D9311" t="s">
        <v>11</v>
      </c>
      <c r="E9311" t="s">
        <v>65</v>
      </c>
      <c r="F9311" t="s">
        <v>67</v>
      </c>
      <c r="G9311" t="str">
        <f t="shared" si="390"/>
        <v>003DEEP PURPLE</v>
      </c>
      <c r="H9311" s="5">
        <v>5850</v>
      </c>
      <c r="I9311" s="6">
        <v>3592.9793102010913</v>
      </c>
      <c r="J9311" s="5">
        <v>26044</v>
      </c>
      <c r="K9311" s="6">
        <f t="shared" si="393"/>
        <v>1.6281752537207312</v>
      </c>
    </row>
    <row r="9312" spans="1:11" hidden="1">
      <c r="A9312" s="4">
        <v>2026</v>
      </c>
      <c r="B9312">
        <v>34</v>
      </c>
      <c r="C9312" t="s">
        <v>54</v>
      </c>
      <c r="D9312" t="s">
        <v>11</v>
      </c>
      <c r="E9312" t="s">
        <v>65</v>
      </c>
      <c r="F9312" t="s">
        <v>57</v>
      </c>
      <c r="G9312" t="str">
        <f t="shared" si="390"/>
        <v>003EXPLORER</v>
      </c>
      <c r="H9312" s="5">
        <v>2100</v>
      </c>
      <c r="I9312" s="6">
        <v>1268.1103447768633</v>
      </c>
      <c r="J9312" s="5">
        <v>9600</v>
      </c>
      <c r="K9312" s="6">
        <f t="shared" si="393"/>
        <v>1.6560073093398793</v>
      </c>
    </row>
    <row r="9313" spans="1:11" hidden="1">
      <c r="A9313" s="4">
        <v>2026</v>
      </c>
      <c r="B9313">
        <v>34</v>
      </c>
      <c r="C9313" t="s">
        <v>54</v>
      </c>
      <c r="D9313" t="s">
        <v>11</v>
      </c>
      <c r="E9313" t="s">
        <v>65</v>
      </c>
      <c r="F9313" t="s">
        <v>68</v>
      </c>
      <c r="G9313" t="str">
        <f t="shared" si="390"/>
        <v>003JOCKER</v>
      </c>
      <c r="H9313" s="5">
        <v>900</v>
      </c>
      <c r="I9313" s="6">
        <v>528.37931032368999</v>
      </c>
      <c r="J9313" s="5">
        <v>4000</v>
      </c>
      <c r="K9313" s="6">
        <f t="shared" si="393"/>
        <v>1.7033218038924571</v>
      </c>
    </row>
    <row r="9314" spans="1:11" hidden="1">
      <c r="A9314" s="4">
        <v>2026</v>
      </c>
      <c r="B9314">
        <v>34</v>
      </c>
      <c r="C9314" t="s">
        <v>54</v>
      </c>
      <c r="D9314" t="s">
        <v>11</v>
      </c>
      <c r="E9314" t="s">
        <v>65</v>
      </c>
      <c r="F9314" t="s">
        <v>69</v>
      </c>
      <c r="G9314" t="str">
        <f t="shared" si="390"/>
        <v>003QUICKSAND</v>
      </c>
      <c r="H9314" s="5">
        <v>1680</v>
      </c>
      <c r="I9314" s="6">
        <v>1162.4344827121247</v>
      </c>
      <c r="J9314" s="5">
        <v>8800</v>
      </c>
      <c r="K9314" s="6">
        <f t="shared" si="393"/>
        <v>1.4452427426966219</v>
      </c>
    </row>
    <row r="9315" spans="1:11" hidden="1">
      <c r="A9315" s="4">
        <v>2026</v>
      </c>
      <c r="B9315">
        <v>34</v>
      </c>
      <c r="C9315" t="s">
        <v>54</v>
      </c>
      <c r="D9315" t="s">
        <v>11</v>
      </c>
      <c r="E9315" t="s">
        <v>14</v>
      </c>
      <c r="F9315" t="s">
        <v>70</v>
      </c>
      <c r="G9315" t="str">
        <f t="shared" si="390"/>
        <v>004COTOPAXI</v>
      </c>
      <c r="H9315" s="5">
        <v>720</v>
      </c>
      <c r="I9315" s="6">
        <v>528.3915024419166</v>
      </c>
      <c r="J9315" s="5">
        <v>4000</v>
      </c>
      <c r="K9315" s="6">
        <f t="shared" si="393"/>
        <v>1.3626260011233733</v>
      </c>
    </row>
    <row r="9316" spans="1:11" hidden="1">
      <c r="A9316" s="4">
        <v>2026</v>
      </c>
      <c r="B9316">
        <v>34</v>
      </c>
      <c r="C9316" t="s">
        <v>54</v>
      </c>
      <c r="D9316" t="s">
        <v>11</v>
      </c>
      <c r="E9316" t="s">
        <v>14</v>
      </c>
      <c r="F9316" t="s">
        <v>67</v>
      </c>
      <c r="G9316" t="str">
        <f t="shared" si="390"/>
        <v>004DEEP PURPLE</v>
      </c>
      <c r="H9316" s="5">
        <v>8070</v>
      </c>
      <c r="I9316" s="6">
        <v>3910.1071427007282</v>
      </c>
      <c r="J9316" s="5">
        <v>29260</v>
      </c>
      <c r="K9316" s="6">
        <f t="shared" si="393"/>
        <v>2.0638820639646247</v>
      </c>
    </row>
    <row r="9317" spans="1:11" hidden="1">
      <c r="A9317" s="4">
        <v>2026</v>
      </c>
      <c r="B9317">
        <v>34</v>
      </c>
      <c r="C9317" t="s">
        <v>54</v>
      </c>
      <c r="D9317" t="s">
        <v>11</v>
      </c>
      <c r="E9317" t="s">
        <v>14</v>
      </c>
      <c r="F9317" t="s">
        <v>71</v>
      </c>
      <c r="G9317" t="str">
        <f t="shared" si="390"/>
        <v>004HOT EXPLORER</v>
      </c>
      <c r="H9317" s="5">
        <v>2450</v>
      </c>
      <c r="I9317" s="6">
        <v>1902.2142856381945</v>
      </c>
      <c r="J9317" s="5">
        <v>14400</v>
      </c>
      <c r="K9317" s="6">
        <f t="shared" si="393"/>
        <v>1.2879726634888682</v>
      </c>
    </row>
    <row r="9318" spans="1:11" hidden="1">
      <c r="A9318" s="4">
        <v>2026</v>
      </c>
      <c r="B9318">
        <v>34</v>
      </c>
      <c r="C9318" t="s">
        <v>54</v>
      </c>
      <c r="D9318" t="s">
        <v>11</v>
      </c>
      <c r="E9318" t="s">
        <v>14</v>
      </c>
      <c r="F9318" t="s">
        <v>72</v>
      </c>
      <c r="G9318" t="str">
        <f t="shared" si="390"/>
        <v>004HOT MERENGUE</v>
      </c>
      <c r="H9318" s="5">
        <v>1860</v>
      </c>
      <c r="I9318" s="6">
        <v>1162.4642856677858</v>
      </c>
      <c r="J9318" s="5">
        <v>8800</v>
      </c>
      <c r="K9318" s="6">
        <f t="shared" si="393"/>
        <v>1.6000491567201223</v>
      </c>
    </row>
    <row r="9319" spans="1:11" hidden="1">
      <c r="A9319" s="4">
        <v>2026</v>
      </c>
      <c r="B9319">
        <v>34</v>
      </c>
      <c r="C9319" t="s">
        <v>54</v>
      </c>
      <c r="D9319" t="s">
        <v>11</v>
      </c>
      <c r="E9319" t="s">
        <v>14</v>
      </c>
      <c r="F9319" t="s">
        <v>64</v>
      </c>
      <c r="G9319" t="str">
        <f t="shared" si="390"/>
        <v>004SWEETNESS</v>
      </c>
      <c r="H9319" s="5">
        <v>690</v>
      </c>
      <c r="I9319" s="6">
        <v>317.03571427303262</v>
      </c>
      <c r="J9319" s="5">
        <v>2400</v>
      </c>
      <c r="K9319" s="6">
        <f t="shared" si="393"/>
        <v>2.1764109497322086</v>
      </c>
    </row>
    <row r="9320" spans="1:11" hidden="1">
      <c r="A9320" s="4">
        <v>2026</v>
      </c>
      <c r="B9320">
        <v>34</v>
      </c>
      <c r="C9320" t="s">
        <v>54</v>
      </c>
      <c r="D9320" t="s">
        <v>11</v>
      </c>
      <c r="E9320" t="s">
        <v>16</v>
      </c>
      <c r="F9320" t="s">
        <v>57</v>
      </c>
      <c r="G9320" t="str">
        <f t="shared" si="390"/>
        <v>005EXPLORER</v>
      </c>
      <c r="H9320" s="5">
        <v>1525</v>
      </c>
      <c r="I9320" s="6">
        <v>951.10714281875391</v>
      </c>
      <c r="J9320" s="5">
        <v>7200</v>
      </c>
      <c r="K9320" s="6">
        <f t="shared" si="393"/>
        <v>1.6033945402622309</v>
      </c>
    </row>
    <row r="9321" spans="1:11" hidden="1">
      <c r="A9321" s="4">
        <v>2026</v>
      </c>
      <c r="B9321">
        <v>34</v>
      </c>
      <c r="C9321" t="s">
        <v>54</v>
      </c>
      <c r="D9321" t="s">
        <v>11</v>
      </c>
      <c r="E9321" t="s">
        <v>16</v>
      </c>
      <c r="F9321" t="s">
        <v>73</v>
      </c>
      <c r="G9321" t="str">
        <f t="shared" si="390"/>
        <v>005GOLDFINCH</v>
      </c>
      <c r="H9321" s="5">
        <v>675</v>
      </c>
      <c r="I9321" s="6">
        <v>898.26785710660101</v>
      </c>
      <c r="J9321" s="5">
        <v>6800</v>
      </c>
      <c r="K9321" s="6">
        <f t="shared" si="393"/>
        <v>0.75144623584131554</v>
      </c>
    </row>
    <row r="9322" spans="1:11" hidden="1">
      <c r="A9322" s="4">
        <v>2026</v>
      </c>
      <c r="B9322">
        <v>34</v>
      </c>
      <c r="C9322" t="s">
        <v>54</v>
      </c>
      <c r="D9322" t="s">
        <v>11</v>
      </c>
      <c r="E9322" t="s">
        <v>16</v>
      </c>
      <c r="F9322" t="s">
        <v>68</v>
      </c>
      <c r="G9322" t="str">
        <f t="shared" si="390"/>
        <v>005JOCKER</v>
      </c>
      <c r="H9322" s="5">
        <v>1950</v>
      </c>
      <c r="I9322" s="6">
        <v>1162.4642856673661</v>
      </c>
      <c r="J9322" s="5">
        <v>8800</v>
      </c>
      <c r="K9322" s="6">
        <f t="shared" si="393"/>
        <v>1.6774708901104112</v>
      </c>
    </row>
    <row r="9323" spans="1:11" hidden="1">
      <c r="A9323" s="4">
        <v>2026</v>
      </c>
      <c r="B9323">
        <v>34</v>
      </c>
      <c r="C9323" t="s">
        <v>54</v>
      </c>
      <c r="D9323" t="s">
        <v>11</v>
      </c>
      <c r="E9323" t="s">
        <v>16</v>
      </c>
      <c r="F9323" t="s">
        <v>74</v>
      </c>
      <c r="G9323" t="str">
        <f t="shared" si="390"/>
        <v>005VENDELA</v>
      </c>
      <c r="H9323" s="5">
        <v>2460</v>
      </c>
      <c r="I9323" s="6">
        <v>686.91071425798896</v>
      </c>
      <c r="J9323" s="5">
        <v>5200</v>
      </c>
      <c r="K9323" s="6">
        <f t="shared" si="393"/>
        <v>3.5812514624369021</v>
      </c>
    </row>
    <row r="9324" spans="1:11" hidden="1">
      <c r="A9324" s="4">
        <v>2026</v>
      </c>
      <c r="B9324">
        <v>34</v>
      </c>
      <c r="C9324" t="s">
        <v>54</v>
      </c>
      <c r="D9324" t="s">
        <v>11</v>
      </c>
      <c r="E9324" t="s">
        <v>75</v>
      </c>
      <c r="F9324" t="s">
        <v>76</v>
      </c>
      <c r="G9324" t="str">
        <f t="shared" si="390"/>
        <v>006ATOMIC</v>
      </c>
      <c r="H9324" s="5">
        <v>650</v>
      </c>
      <c r="I9324" s="6">
        <v>845.428571394752</v>
      </c>
      <c r="J9324" s="5">
        <v>6400</v>
      </c>
      <c r="K9324" s="6">
        <f t="shared" si="393"/>
        <v>0.7688408246336621</v>
      </c>
    </row>
    <row r="9325" spans="1:11" hidden="1">
      <c r="A9325" s="4">
        <v>2026</v>
      </c>
      <c r="B9325">
        <v>34</v>
      </c>
      <c r="C9325" t="s">
        <v>54</v>
      </c>
      <c r="D9325" t="s">
        <v>11</v>
      </c>
      <c r="E9325" t="s">
        <v>75</v>
      </c>
      <c r="F9325" t="s">
        <v>57</v>
      </c>
      <c r="G9325" t="str">
        <f t="shared" si="390"/>
        <v>006EXPLORER</v>
      </c>
      <c r="H9325" s="5">
        <v>5400</v>
      </c>
      <c r="I9325" s="6">
        <v>3910.1071427007355</v>
      </c>
      <c r="J9325" s="5">
        <v>29600</v>
      </c>
      <c r="K9325" s="6">
        <f t="shared" si="393"/>
        <v>1.3810363253294859</v>
      </c>
    </row>
    <row r="9326" spans="1:11" hidden="1">
      <c r="A9326" s="4">
        <v>2026</v>
      </c>
      <c r="B9326">
        <v>34</v>
      </c>
      <c r="C9326" t="s">
        <v>54</v>
      </c>
      <c r="D9326" t="s">
        <v>11</v>
      </c>
      <c r="E9326" t="s">
        <v>75</v>
      </c>
      <c r="F9326" t="s">
        <v>77</v>
      </c>
      <c r="G9326" t="str">
        <f t="shared" si="390"/>
        <v>006MONDIAL</v>
      </c>
      <c r="H9326" s="5">
        <v>5800</v>
      </c>
      <c r="I9326" s="6">
        <v>4015.7857141250793</v>
      </c>
      <c r="J9326" s="5">
        <v>30400</v>
      </c>
      <c r="K9326" s="6">
        <f t="shared" si="393"/>
        <v>1.4443001725911684</v>
      </c>
    </row>
    <row r="9327" spans="1:11" hidden="1">
      <c r="A9327" s="4">
        <v>2026</v>
      </c>
      <c r="B9327">
        <v>34</v>
      </c>
      <c r="C9327" t="s">
        <v>54</v>
      </c>
      <c r="D9327" t="s">
        <v>11</v>
      </c>
      <c r="E9327" t="s">
        <v>20</v>
      </c>
      <c r="F9327" t="s">
        <v>70</v>
      </c>
      <c r="G9327" t="str">
        <f t="shared" si="390"/>
        <v>007COTOPAXI</v>
      </c>
      <c r="H9327" s="5">
        <v>7590</v>
      </c>
      <c r="I9327" s="6">
        <v>2747.5751230427709</v>
      </c>
      <c r="J9327" s="5">
        <v>20800</v>
      </c>
      <c r="K9327" s="6">
        <f t="shared" si="393"/>
        <v>2.7624358425528839</v>
      </c>
    </row>
    <row r="9328" spans="1:11" hidden="1">
      <c r="A9328" s="4">
        <v>2026</v>
      </c>
      <c r="B9328">
        <v>34</v>
      </c>
      <c r="C9328" t="s">
        <v>54</v>
      </c>
      <c r="D9328" t="s">
        <v>11</v>
      </c>
      <c r="E9328" t="s">
        <v>20</v>
      </c>
      <c r="F9328" t="s">
        <v>78</v>
      </c>
      <c r="G9328" t="str">
        <f t="shared" si="390"/>
        <v>007REDIANT</v>
      </c>
      <c r="H9328" s="5">
        <v>1350</v>
      </c>
      <c r="I9328" s="6">
        <v>1056.75862064738</v>
      </c>
      <c r="J9328" s="5">
        <v>9600</v>
      </c>
      <c r="K9328" s="6">
        <f t="shared" si="393"/>
        <v>1.2774913529193428</v>
      </c>
    </row>
    <row r="9329" spans="1:11" hidden="1">
      <c r="A9329" s="4">
        <v>2026</v>
      </c>
      <c r="B9329">
        <v>34</v>
      </c>
      <c r="C9329" t="s">
        <v>54</v>
      </c>
      <c r="D9329" t="s">
        <v>11</v>
      </c>
      <c r="E9329" t="s">
        <v>20</v>
      </c>
      <c r="F9329" t="s">
        <v>63</v>
      </c>
      <c r="G9329" t="str">
        <f t="shared" si="390"/>
        <v>007SUMMER ROMANCE</v>
      </c>
      <c r="H9329" s="5">
        <v>0</v>
      </c>
      <c r="I9329" s="6">
        <v>317.02758619421581</v>
      </c>
      <c r="J9329" s="5">
        <v>2640</v>
      </c>
      <c r="K9329" s="6">
        <f t="shared" si="393"/>
        <v>0</v>
      </c>
    </row>
    <row r="9330" spans="1:11" hidden="1">
      <c r="A9330" s="4">
        <v>2026</v>
      </c>
      <c r="B9330">
        <v>34</v>
      </c>
      <c r="C9330" t="s">
        <v>54</v>
      </c>
      <c r="D9330" t="s">
        <v>11</v>
      </c>
      <c r="E9330" t="s">
        <v>20</v>
      </c>
      <c r="F9330" t="s">
        <v>114</v>
      </c>
      <c r="G9330" t="str">
        <f t="shared" ref="G9330:G9375" si="394">+E9330&amp;F9330</f>
        <v>007TOPACIO</v>
      </c>
      <c r="H9330" s="5">
        <v>0</v>
      </c>
      <c r="I9330" s="6">
        <v>52.837931032368999</v>
      </c>
      <c r="J9330" s="5">
        <v>440</v>
      </c>
      <c r="K9330" s="6">
        <f t="shared" si="393"/>
        <v>0</v>
      </c>
    </row>
    <row r="9331" spans="1:11" hidden="1">
      <c r="A9331" s="4">
        <v>2026</v>
      </c>
      <c r="B9331">
        <v>34</v>
      </c>
      <c r="C9331" t="s">
        <v>54</v>
      </c>
      <c r="D9331" t="s">
        <v>11</v>
      </c>
      <c r="E9331" t="s">
        <v>20</v>
      </c>
      <c r="F9331" t="s">
        <v>74</v>
      </c>
      <c r="G9331" t="str">
        <f t="shared" si="394"/>
        <v>007VENDELA</v>
      </c>
      <c r="H9331" s="5">
        <v>12090</v>
      </c>
      <c r="I9331" s="6">
        <v>3592.9793102011122</v>
      </c>
      <c r="J9331" s="5">
        <v>27820</v>
      </c>
      <c r="K9331" s="6">
        <f t="shared" si="393"/>
        <v>3.3648955243561587</v>
      </c>
    </row>
    <row r="9332" spans="1:11" hidden="1">
      <c r="A9332" s="4">
        <v>2026</v>
      </c>
      <c r="B9332">
        <v>34</v>
      </c>
      <c r="C9332" t="s">
        <v>54</v>
      </c>
      <c r="D9332" t="s">
        <v>11</v>
      </c>
      <c r="E9332" t="s">
        <v>79</v>
      </c>
      <c r="F9332" t="s">
        <v>67</v>
      </c>
      <c r="G9332" t="str">
        <f t="shared" si="394"/>
        <v>008DEEP PURPLE</v>
      </c>
      <c r="H9332" s="5">
        <v>3330</v>
      </c>
      <c r="I9332" s="6">
        <v>1585.2222221588099</v>
      </c>
      <c r="J9332" s="5">
        <v>11490</v>
      </c>
      <c r="K9332" s="6">
        <f t="shared" si="393"/>
        <v>2.1006518540126771</v>
      </c>
    </row>
    <row r="9333" spans="1:11" hidden="1">
      <c r="A9333" s="4">
        <v>2026</v>
      </c>
      <c r="B9333">
        <v>34</v>
      </c>
      <c r="C9333" t="s">
        <v>54</v>
      </c>
      <c r="D9333" t="s">
        <v>11</v>
      </c>
      <c r="E9333" t="s">
        <v>79</v>
      </c>
      <c r="F9333" t="s">
        <v>81</v>
      </c>
      <c r="G9333" t="str">
        <f t="shared" si="394"/>
        <v>008FREEDOM</v>
      </c>
      <c r="H9333" s="5">
        <v>3900</v>
      </c>
      <c r="I9333" s="6">
        <v>2219.311111022334</v>
      </c>
      <c r="J9333" s="5">
        <v>16800</v>
      </c>
      <c r="K9333" s="6">
        <f t="shared" si="393"/>
        <v>1.7573020657763707</v>
      </c>
    </row>
    <row r="9334" spans="1:11" hidden="1">
      <c r="A9334" s="4">
        <v>2026</v>
      </c>
      <c r="B9334">
        <v>34</v>
      </c>
      <c r="C9334" t="s">
        <v>54</v>
      </c>
      <c r="D9334" t="s">
        <v>11</v>
      </c>
      <c r="E9334" t="s">
        <v>79</v>
      </c>
      <c r="F9334" t="s">
        <v>68</v>
      </c>
      <c r="G9334" t="str">
        <f t="shared" si="394"/>
        <v>008JOCKER</v>
      </c>
      <c r="H9334" s="5">
        <v>4375</v>
      </c>
      <c r="I9334" s="6">
        <v>2959.0814813631118</v>
      </c>
      <c r="J9334" s="5">
        <v>22400</v>
      </c>
      <c r="K9334" s="6">
        <f t="shared" si="393"/>
        <v>1.4784993341868504</v>
      </c>
    </row>
    <row r="9335" spans="1:11" hidden="1">
      <c r="A9335" s="4">
        <v>2026</v>
      </c>
      <c r="B9335">
        <v>34</v>
      </c>
      <c r="C9335" t="s">
        <v>54</v>
      </c>
      <c r="D9335" t="s">
        <v>11</v>
      </c>
      <c r="E9335" t="s">
        <v>82</v>
      </c>
      <c r="F9335" t="s">
        <v>83</v>
      </c>
      <c r="G9335" t="str">
        <f t="shared" si="394"/>
        <v>010COOLDOWN</v>
      </c>
      <c r="H9335" s="5">
        <v>2425</v>
      </c>
      <c r="I9335" s="6">
        <v>1912.3542857142861</v>
      </c>
      <c r="J9335" s="5">
        <v>16320</v>
      </c>
      <c r="K9335" s="6">
        <f t="shared" si="393"/>
        <v>1.2680704711021864</v>
      </c>
    </row>
    <row r="9336" spans="1:11" hidden="1">
      <c r="A9336" s="4">
        <v>2026</v>
      </c>
      <c r="B9336">
        <v>34</v>
      </c>
      <c r="C9336" t="s">
        <v>54</v>
      </c>
      <c r="D9336" t="s">
        <v>11</v>
      </c>
      <c r="E9336" t="s">
        <v>82</v>
      </c>
      <c r="F9336" t="s">
        <v>84</v>
      </c>
      <c r="G9336" t="str">
        <f t="shared" si="394"/>
        <v>010VIOLET HILL</v>
      </c>
      <c r="H9336" s="5">
        <v>3030</v>
      </c>
      <c r="I9336" s="6">
        <v>2812.2857142428579</v>
      </c>
      <c r="J9336" s="5">
        <v>20000</v>
      </c>
      <c r="K9336" s="6">
        <f t="shared" si="393"/>
        <v>1.0774154221438188</v>
      </c>
    </row>
    <row r="9337" spans="1:11" hidden="1">
      <c r="A9337" s="4">
        <v>2026</v>
      </c>
      <c r="B9337">
        <v>34</v>
      </c>
      <c r="C9337" t="s">
        <v>54</v>
      </c>
      <c r="D9337" t="s">
        <v>11</v>
      </c>
      <c r="E9337" t="s">
        <v>85</v>
      </c>
      <c r="F9337" t="s">
        <v>86</v>
      </c>
      <c r="G9337" t="str">
        <f t="shared" si="394"/>
        <v>011BRIGHTON</v>
      </c>
      <c r="H9337" s="5">
        <v>3250</v>
      </c>
      <c r="I9337" s="6">
        <v>1768.8376470588223</v>
      </c>
      <c r="J9337" s="5">
        <v>12800</v>
      </c>
      <c r="K9337" s="6">
        <f t="shared" si="393"/>
        <v>1.8373647832541422</v>
      </c>
    </row>
    <row r="9338" spans="1:11" hidden="1">
      <c r="A9338" s="4">
        <v>2026</v>
      </c>
      <c r="B9338">
        <v>34</v>
      </c>
      <c r="C9338" t="s">
        <v>54</v>
      </c>
      <c r="D9338" t="s">
        <v>11</v>
      </c>
      <c r="E9338" t="s">
        <v>85</v>
      </c>
      <c r="F9338" t="s">
        <v>87</v>
      </c>
      <c r="G9338" t="str">
        <f t="shared" si="394"/>
        <v>011CANDLELIGHT</v>
      </c>
      <c r="H9338" s="5">
        <v>4360</v>
      </c>
      <c r="I9338" s="6">
        <v>2263.7999998868127</v>
      </c>
      <c r="J9338" s="5">
        <v>17920</v>
      </c>
      <c r="K9338" s="6">
        <f t="shared" si="393"/>
        <v>1.9259651913676097</v>
      </c>
    </row>
    <row r="9339" spans="1:11" hidden="1">
      <c r="A9339" s="4">
        <v>2026</v>
      </c>
      <c r="B9339">
        <v>34</v>
      </c>
      <c r="C9339" t="s">
        <v>54</v>
      </c>
      <c r="D9339" t="s">
        <v>11</v>
      </c>
      <c r="E9339" t="s">
        <v>85</v>
      </c>
      <c r="F9339" t="s">
        <v>88</v>
      </c>
      <c r="G9339" t="str">
        <f t="shared" si="394"/>
        <v>011CAYENNE</v>
      </c>
      <c r="H9339" s="5">
        <v>1440</v>
      </c>
      <c r="I9339" s="6">
        <v>994.97117647058747</v>
      </c>
      <c r="J9339" s="5">
        <v>7200</v>
      </c>
      <c r="K9339" s="6">
        <f t="shared" si="393"/>
        <v>1.4472781061940321</v>
      </c>
    </row>
    <row r="9340" spans="1:11" hidden="1">
      <c r="A9340" s="4">
        <v>2026</v>
      </c>
      <c r="B9340">
        <v>34</v>
      </c>
      <c r="C9340" t="s">
        <v>54</v>
      </c>
      <c r="D9340" t="s">
        <v>11</v>
      </c>
      <c r="E9340" t="s">
        <v>85</v>
      </c>
      <c r="F9340" t="s">
        <v>89</v>
      </c>
      <c r="G9340" t="str">
        <f t="shared" si="394"/>
        <v>011STARDUST</v>
      </c>
      <c r="H9340" s="5">
        <v>2500</v>
      </c>
      <c r="I9340" s="6">
        <v>2263.7999998868127</v>
      </c>
      <c r="J9340" s="5">
        <v>17920</v>
      </c>
      <c r="K9340" s="6">
        <f t="shared" si="393"/>
        <v>1.1043378390869323</v>
      </c>
    </row>
    <row r="9341" spans="1:11" hidden="1">
      <c r="A9341" s="4">
        <v>2026</v>
      </c>
      <c r="B9341">
        <v>34</v>
      </c>
      <c r="C9341" t="s">
        <v>54</v>
      </c>
      <c r="D9341" t="s">
        <v>11</v>
      </c>
      <c r="E9341" t="s">
        <v>90</v>
      </c>
      <c r="F9341" t="s">
        <v>67</v>
      </c>
      <c r="G9341" t="str">
        <f t="shared" si="394"/>
        <v>012DEEP PURPLE</v>
      </c>
      <c r="H9341" s="5">
        <v>11820</v>
      </c>
      <c r="I9341" s="6">
        <v>6727.0499997982479</v>
      </c>
      <c r="J9341" s="5">
        <v>49210</v>
      </c>
      <c r="K9341" s="6">
        <f t="shared" si="393"/>
        <v>1.7570852008465072</v>
      </c>
    </row>
    <row r="9342" spans="1:11" hidden="1">
      <c r="A9342" s="4">
        <v>2026</v>
      </c>
      <c r="B9342">
        <v>34</v>
      </c>
      <c r="C9342" t="s">
        <v>54</v>
      </c>
      <c r="D9342" t="s">
        <v>11</v>
      </c>
      <c r="E9342" t="s">
        <v>90</v>
      </c>
      <c r="F9342" t="s">
        <v>60</v>
      </c>
      <c r="G9342" t="str">
        <f t="shared" si="394"/>
        <v>012LIGHT HOUSE</v>
      </c>
      <c r="H9342" s="5">
        <v>1140</v>
      </c>
      <c r="I9342" s="6">
        <v>994.95</v>
      </c>
      <c r="J9342" s="5">
        <v>7200</v>
      </c>
      <c r="K9342" s="6">
        <f t="shared" si="393"/>
        <v>1.145786220413086</v>
      </c>
    </row>
    <row r="9343" spans="1:11" hidden="1">
      <c r="A9343" s="4">
        <v>2026</v>
      </c>
      <c r="B9343">
        <v>34</v>
      </c>
      <c r="C9343" t="s">
        <v>54</v>
      </c>
      <c r="D9343" t="s">
        <v>11</v>
      </c>
      <c r="E9343" t="s">
        <v>91</v>
      </c>
      <c r="F9343" t="s">
        <v>92</v>
      </c>
      <c r="G9343" t="str">
        <f t="shared" si="394"/>
        <v>013COUNTRY BLUES</v>
      </c>
      <c r="H9343" s="5">
        <v>1475</v>
      </c>
      <c r="I9343" s="6">
        <v>831.6</v>
      </c>
      <c r="J9343" s="5">
        <v>6300</v>
      </c>
      <c r="K9343" s="6">
        <f t="shared" si="393"/>
        <v>1.7736892736892735</v>
      </c>
    </row>
    <row r="9344" spans="1:11" hidden="1">
      <c r="A9344" s="4">
        <v>2026</v>
      </c>
      <c r="B9344">
        <v>34</v>
      </c>
      <c r="C9344" t="s">
        <v>54</v>
      </c>
      <c r="D9344" t="s">
        <v>11</v>
      </c>
      <c r="E9344" t="s">
        <v>91</v>
      </c>
      <c r="F9344" t="s">
        <v>93</v>
      </c>
      <c r="G9344" t="str">
        <f t="shared" si="394"/>
        <v>013LORRAINE</v>
      </c>
      <c r="H9344" s="5">
        <v>2200</v>
      </c>
      <c r="I9344" s="6">
        <v>1267.2</v>
      </c>
      <c r="J9344" s="5">
        <v>9600</v>
      </c>
      <c r="K9344" s="6">
        <f t="shared" si="393"/>
        <v>1.7361111111111109</v>
      </c>
    </row>
    <row r="9345" spans="1:11" hidden="1">
      <c r="A9345" s="4">
        <v>2026</v>
      </c>
      <c r="B9345">
        <v>34</v>
      </c>
      <c r="C9345" t="s">
        <v>54</v>
      </c>
      <c r="D9345" t="s">
        <v>11</v>
      </c>
      <c r="E9345" t="s">
        <v>91</v>
      </c>
      <c r="F9345" t="s">
        <v>74</v>
      </c>
      <c r="G9345" t="str">
        <f t="shared" si="394"/>
        <v>013VENDELA</v>
      </c>
      <c r="H9345" s="5">
        <v>7320</v>
      </c>
      <c r="I9345" s="6">
        <v>3603.6</v>
      </c>
      <c r="J9345" s="5">
        <v>27296</v>
      </c>
      <c r="K9345" s="6">
        <f t="shared" si="393"/>
        <v>2.0313020313020314</v>
      </c>
    </row>
    <row r="9346" spans="1:11" hidden="1">
      <c r="A9346" s="4">
        <v>2026</v>
      </c>
      <c r="B9346">
        <v>34</v>
      </c>
      <c r="C9346" t="s">
        <v>54</v>
      </c>
      <c r="D9346" t="s">
        <v>11</v>
      </c>
      <c r="E9346" t="s">
        <v>23</v>
      </c>
      <c r="F9346" t="s">
        <v>89</v>
      </c>
      <c r="G9346" t="str">
        <f t="shared" si="394"/>
        <v>014STARDUST</v>
      </c>
      <c r="H9346" s="5">
        <v>3500</v>
      </c>
      <c r="I9346" s="6">
        <v>3682.8</v>
      </c>
      <c r="J9346" s="5">
        <v>27900</v>
      </c>
      <c r="K9346" s="6">
        <f t="shared" si="393"/>
        <v>0.95036385358966002</v>
      </c>
    </row>
    <row r="9347" spans="1:11" hidden="1">
      <c r="A9347" s="4">
        <v>2026</v>
      </c>
      <c r="B9347">
        <v>34</v>
      </c>
      <c r="C9347" t="s">
        <v>54</v>
      </c>
      <c r="D9347" t="s">
        <v>11</v>
      </c>
      <c r="E9347" t="s">
        <v>25</v>
      </c>
      <c r="F9347" t="s">
        <v>68</v>
      </c>
      <c r="G9347" t="str">
        <f t="shared" si="394"/>
        <v>015JOCKER</v>
      </c>
      <c r="H9347" s="5">
        <v>2450</v>
      </c>
      <c r="I9347" s="6">
        <v>2376</v>
      </c>
      <c r="J9347" s="5">
        <v>18000</v>
      </c>
      <c r="K9347" s="6">
        <f t="shared" si="393"/>
        <v>1.0311447811447811</v>
      </c>
    </row>
    <row r="9348" spans="1:11" hidden="1">
      <c r="A9348" s="4">
        <v>2026</v>
      </c>
      <c r="B9348">
        <v>34</v>
      </c>
      <c r="C9348" t="s">
        <v>54</v>
      </c>
      <c r="D9348" t="s">
        <v>11</v>
      </c>
      <c r="E9348" t="s">
        <v>27</v>
      </c>
      <c r="F9348" t="s">
        <v>94</v>
      </c>
      <c r="G9348" t="str">
        <f t="shared" si="394"/>
        <v>016DREAM IN PEACH</v>
      </c>
      <c r="H9348" s="5">
        <v>420</v>
      </c>
      <c r="I9348" s="6">
        <v>950.4</v>
      </c>
      <c r="J9348" s="5">
        <v>7200</v>
      </c>
      <c r="K9348" s="6">
        <f t="shared" si="393"/>
        <v>0.44191919191919193</v>
      </c>
    </row>
    <row r="9349" spans="1:11" hidden="1">
      <c r="A9349" s="4">
        <v>2026</v>
      </c>
      <c r="B9349">
        <v>34</v>
      </c>
      <c r="C9349" t="s">
        <v>54</v>
      </c>
      <c r="D9349" t="s">
        <v>11</v>
      </c>
      <c r="E9349" t="s">
        <v>27</v>
      </c>
      <c r="F9349" t="s">
        <v>95</v>
      </c>
      <c r="G9349" t="str">
        <f t="shared" si="394"/>
        <v>016NINA</v>
      </c>
      <c r="H9349" s="5">
        <v>2825</v>
      </c>
      <c r="I9349" s="6">
        <v>1346.4</v>
      </c>
      <c r="J9349" s="5">
        <v>10200</v>
      </c>
      <c r="K9349" s="6">
        <f t="shared" si="393"/>
        <v>2.0981877599524656</v>
      </c>
    </row>
    <row r="9350" spans="1:11" hidden="1">
      <c r="A9350" s="4">
        <v>2026</v>
      </c>
      <c r="B9350">
        <v>34</v>
      </c>
      <c r="C9350" t="s">
        <v>54</v>
      </c>
      <c r="D9350" t="s">
        <v>11</v>
      </c>
      <c r="E9350" t="s">
        <v>30</v>
      </c>
      <c r="F9350" t="s">
        <v>81</v>
      </c>
      <c r="G9350" t="str">
        <f t="shared" si="394"/>
        <v>017FREEDOM</v>
      </c>
      <c r="H9350" s="5">
        <v>4380</v>
      </c>
      <c r="I9350" s="6">
        <v>2851.2</v>
      </c>
      <c r="J9350" s="5">
        <v>21600</v>
      </c>
      <c r="K9350" s="6">
        <f t="shared" si="393"/>
        <v>1.5361952861952863</v>
      </c>
    </row>
    <row r="9351" spans="1:11" hidden="1">
      <c r="A9351" s="4">
        <v>2026</v>
      </c>
      <c r="B9351">
        <v>34</v>
      </c>
      <c r="C9351" t="s">
        <v>54</v>
      </c>
      <c r="D9351" t="s">
        <v>11</v>
      </c>
      <c r="E9351" t="s">
        <v>30</v>
      </c>
      <c r="F9351" t="s">
        <v>73</v>
      </c>
      <c r="G9351" t="str">
        <f t="shared" si="394"/>
        <v>017GOLDFINCH</v>
      </c>
      <c r="H9351" s="5">
        <v>2025</v>
      </c>
      <c r="I9351" s="6">
        <v>2138.4</v>
      </c>
      <c r="J9351" s="5">
        <v>16200</v>
      </c>
      <c r="K9351" s="6">
        <f t="shared" si="393"/>
        <v>0.94696969696969691</v>
      </c>
    </row>
    <row r="9352" spans="1:11" hidden="1">
      <c r="A9352" s="4">
        <v>2026</v>
      </c>
      <c r="B9352">
        <v>34</v>
      </c>
      <c r="C9352" t="s">
        <v>54</v>
      </c>
      <c r="D9352" t="s">
        <v>11</v>
      </c>
      <c r="E9352" t="s">
        <v>32</v>
      </c>
      <c r="F9352" t="s">
        <v>86</v>
      </c>
      <c r="G9352" t="str">
        <f t="shared" si="394"/>
        <v>018BRIGHTON</v>
      </c>
      <c r="H9352" s="5">
        <v>1500</v>
      </c>
      <c r="I9352" s="6">
        <v>963.6</v>
      </c>
      <c r="J9352" s="5">
        <v>7570</v>
      </c>
      <c r="K9352" s="6">
        <f t="shared" si="393"/>
        <v>1.5566625155666252</v>
      </c>
    </row>
    <row r="9353" spans="1:11" hidden="1">
      <c r="A9353" s="4">
        <v>2026</v>
      </c>
      <c r="B9353">
        <v>34</v>
      </c>
      <c r="C9353" t="s">
        <v>54</v>
      </c>
      <c r="D9353" t="s">
        <v>11</v>
      </c>
      <c r="E9353" t="s">
        <v>35</v>
      </c>
      <c r="F9353" t="s">
        <v>86</v>
      </c>
      <c r="G9353" t="str">
        <f t="shared" si="394"/>
        <v>019BRIGHTON</v>
      </c>
      <c r="H9353" s="5">
        <v>4650</v>
      </c>
      <c r="I9353" s="6">
        <v>3168</v>
      </c>
      <c r="J9353" s="5">
        <v>24000</v>
      </c>
      <c r="K9353" s="6">
        <f t="shared" si="393"/>
        <v>1.4678030303030303</v>
      </c>
    </row>
    <row r="9354" spans="1:11" hidden="1">
      <c r="A9354" s="4">
        <v>2026</v>
      </c>
      <c r="B9354">
        <v>34</v>
      </c>
      <c r="C9354" t="s">
        <v>54</v>
      </c>
      <c r="D9354" t="s">
        <v>11</v>
      </c>
      <c r="E9354" t="s">
        <v>35</v>
      </c>
      <c r="F9354" t="s">
        <v>96</v>
      </c>
      <c r="G9354" t="str">
        <f t="shared" si="394"/>
        <v>019TABATHA</v>
      </c>
      <c r="H9354" s="5">
        <v>1830</v>
      </c>
      <c r="I9354" s="6">
        <v>1188</v>
      </c>
      <c r="J9354" s="5">
        <v>9000</v>
      </c>
      <c r="K9354" s="6">
        <f t="shared" si="393"/>
        <v>1.5404040404040404</v>
      </c>
    </row>
    <row r="9355" spans="1:11" hidden="1">
      <c r="A9355" s="4">
        <v>2026</v>
      </c>
      <c r="B9355">
        <v>34</v>
      </c>
      <c r="C9355" t="s">
        <v>54</v>
      </c>
      <c r="D9355" t="s">
        <v>11</v>
      </c>
      <c r="E9355" t="s">
        <v>36</v>
      </c>
      <c r="F9355" t="s">
        <v>86</v>
      </c>
      <c r="G9355" t="str">
        <f t="shared" si="394"/>
        <v>020BRIGHTON</v>
      </c>
      <c r="H9355" s="5">
        <v>3975</v>
      </c>
      <c r="I9355" s="6">
        <v>2732.4</v>
      </c>
      <c r="J9355" s="5">
        <v>20700</v>
      </c>
      <c r="K9355" s="6">
        <f t="shared" si="393"/>
        <v>1.4547650417215634</v>
      </c>
    </row>
    <row r="9356" spans="1:11" hidden="1">
      <c r="A9356" s="4">
        <v>2026</v>
      </c>
      <c r="B9356">
        <v>34</v>
      </c>
      <c r="C9356" t="s">
        <v>54</v>
      </c>
      <c r="D9356" t="s">
        <v>11</v>
      </c>
      <c r="E9356" t="s">
        <v>36</v>
      </c>
      <c r="F9356" t="s">
        <v>97</v>
      </c>
      <c r="G9356" t="str">
        <f t="shared" si="394"/>
        <v>020TYCOON</v>
      </c>
      <c r="H9356" s="5">
        <v>720</v>
      </c>
      <c r="I9356" s="6">
        <v>673.2</v>
      </c>
      <c r="J9356" s="5">
        <v>5100</v>
      </c>
      <c r="K9356" s="6">
        <f t="shared" si="393"/>
        <v>1.0695187165775399</v>
      </c>
    </row>
    <row r="9357" spans="1:11" hidden="1">
      <c r="A9357" s="4">
        <v>2026</v>
      </c>
      <c r="B9357">
        <v>34</v>
      </c>
      <c r="C9357" t="s">
        <v>54</v>
      </c>
      <c r="D9357" t="s">
        <v>11</v>
      </c>
      <c r="E9357" t="s">
        <v>38</v>
      </c>
      <c r="F9357" t="s">
        <v>98</v>
      </c>
      <c r="G9357" t="str">
        <f t="shared" si="394"/>
        <v>021SHOW GIRL</v>
      </c>
      <c r="H9357" s="5">
        <v>1825</v>
      </c>
      <c r="I9357" s="6">
        <v>1100.4749999999999</v>
      </c>
      <c r="J9357" s="5">
        <v>8000</v>
      </c>
      <c r="K9357" s="6">
        <f t="shared" si="393"/>
        <v>1.6583747927031511</v>
      </c>
    </row>
    <row r="9358" spans="1:11" hidden="1">
      <c r="A9358" s="4">
        <v>2026</v>
      </c>
      <c r="B9358">
        <v>34</v>
      </c>
      <c r="C9358" t="s">
        <v>54</v>
      </c>
      <c r="D9358" t="s">
        <v>11</v>
      </c>
      <c r="E9358" t="s">
        <v>43</v>
      </c>
      <c r="F9358" t="s">
        <v>99</v>
      </c>
      <c r="G9358" t="str">
        <f t="shared" si="394"/>
        <v>022CORAL REEF</v>
      </c>
      <c r="H9358" s="5">
        <v>1325</v>
      </c>
      <c r="I9358" s="6">
        <v>1287</v>
      </c>
      <c r="J9358" s="5">
        <v>9400</v>
      </c>
      <c r="K9358" s="6">
        <f t="shared" si="393"/>
        <v>1.0295260295260296</v>
      </c>
    </row>
    <row r="9359" spans="1:11" hidden="1">
      <c r="A9359" s="4">
        <v>2026</v>
      </c>
      <c r="B9359">
        <v>34</v>
      </c>
      <c r="C9359" t="s">
        <v>54</v>
      </c>
      <c r="D9359" t="s">
        <v>11</v>
      </c>
      <c r="E9359" t="s">
        <v>100</v>
      </c>
      <c r="F9359" t="s">
        <v>70</v>
      </c>
      <c r="G9359" t="str">
        <f t="shared" si="394"/>
        <v>023COTOPAXI</v>
      </c>
      <c r="H9359" s="5">
        <v>6960</v>
      </c>
      <c r="I9359" s="6">
        <v>2641.14</v>
      </c>
      <c r="J9359" s="5">
        <v>19200</v>
      </c>
      <c r="K9359" s="6">
        <f t="shared" si="393"/>
        <v>2.635225697994048</v>
      </c>
    </row>
    <row r="9360" spans="1:11" hidden="1">
      <c r="A9360" s="4">
        <v>2026</v>
      </c>
      <c r="B9360">
        <v>34</v>
      </c>
      <c r="C9360" t="s">
        <v>54</v>
      </c>
      <c r="D9360" t="s">
        <v>11</v>
      </c>
      <c r="E9360" t="s">
        <v>100</v>
      </c>
      <c r="F9360" t="s">
        <v>101</v>
      </c>
      <c r="G9360" t="str">
        <f t="shared" si="394"/>
        <v>023FRUTTETO</v>
      </c>
      <c r="H9360" s="5">
        <v>3780</v>
      </c>
      <c r="I9360" s="6">
        <v>2641.14</v>
      </c>
      <c r="J9360" s="5">
        <v>19200</v>
      </c>
      <c r="K9360" s="6">
        <f t="shared" si="393"/>
        <v>1.431200163565733</v>
      </c>
    </row>
    <row r="9361" spans="1:11" hidden="1">
      <c r="A9361" s="4">
        <v>2026</v>
      </c>
      <c r="B9361">
        <v>34</v>
      </c>
      <c r="C9361" t="s">
        <v>54</v>
      </c>
      <c r="D9361" t="s">
        <v>11</v>
      </c>
      <c r="E9361" t="s">
        <v>102</v>
      </c>
      <c r="F9361" t="s">
        <v>70</v>
      </c>
      <c r="G9361" t="str">
        <f t="shared" si="394"/>
        <v>024COTOPAXI</v>
      </c>
      <c r="H9361" s="5">
        <v>3660</v>
      </c>
      <c r="I9361" s="6">
        <v>1430.6174906250001</v>
      </c>
      <c r="J9361" s="5">
        <v>10400</v>
      </c>
      <c r="K9361" s="6">
        <f t="shared" si="393"/>
        <v>2.5583358402818352</v>
      </c>
    </row>
    <row r="9362" spans="1:11" hidden="1">
      <c r="A9362" s="4">
        <v>2026</v>
      </c>
      <c r="B9362">
        <v>34</v>
      </c>
      <c r="C9362" t="s">
        <v>54</v>
      </c>
      <c r="D9362" t="s">
        <v>11</v>
      </c>
      <c r="E9362" t="s">
        <v>102</v>
      </c>
      <c r="F9362" t="s">
        <v>64</v>
      </c>
      <c r="G9362" t="str">
        <f t="shared" si="394"/>
        <v>024SWEETNESS</v>
      </c>
      <c r="H9362" s="5">
        <v>1890</v>
      </c>
      <c r="I9362" s="6">
        <v>1430.6175000000001</v>
      </c>
      <c r="J9362" s="5">
        <v>10400</v>
      </c>
      <c r="K9362" s="6">
        <f t="shared" si="393"/>
        <v>1.3211078432914458</v>
      </c>
    </row>
    <row r="9363" spans="1:11" hidden="1">
      <c r="A9363" s="4">
        <v>2026</v>
      </c>
      <c r="B9363">
        <v>34</v>
      </c>
      <c r="C9363" t="s">
        <v>54</v>
      </c>
      <c r="D9363" t="s">
        <v>11</v>
      </c>
      <c r="E9363" t="s">
        <v>102</v>
      </c>
      <c r="F9363" t="s">
        <v>97</v>
      </c>
      <c r="G9363" t="str">
        <f t="shared" si="394"/>
        <v>024TYCOON</v>
      </c>
      <c r="H9363" s="5">
        <v>3270</v>
      </c>
      <c r="I9363" s="6">
        <v>2861.2350000000001</v>
      </c>
      <c r="J9363" s="5">
        <v>20800</v>
      </c>
      <c r="K9363" s="6">
        <f t="shared" si="393"/>
        <v>1.1428631342759332</v>
      </c>
    </row>
    <row r="9364" spans="1:11" hidden="1">
      <c r="A9364" s="4">
        <v>2026</v>
      </c>
      <c r="B9364">
        <v>34</v>
      </c>
      <c r="C9364" t="s">
        <v>54</v>
      </c>
      <c r="D9364" t="s">
        <v>11</v>
      </c>
      <c r="E9364" t="s">
        <v>103</v>
      </c>
      <c r="F9364" t="s">
        <v>104</v>
      </c>
      <c r="G9364" t="str">
        <f t="shared" si="394"/>
        <v>025PINK MONDIAL</v>
      </c>
      <c r="H9364" s="5">
        <v>3825</v>
      </c>
      <c r="I9364" s="6">
        <v>3071.9505625000002</v>
      </c>
      <c r="J9364" s="5">
        <v>22400</v>
      </c>
      <c r="K9364" s="6">
        <f t="shared" si="393"/>
        <v>1.2451372254139261</v>
      </c>
    </row>
    <row r="9365" spans="1:11" hidden="1">
      <c r="A9365" s="4">
        <v>2026</v>
      </c>
      <c r="B9365">
        <v>34</v>
      </c>
      <c r="C9365" t="s">
        <v>54</v>
      </c>
      <c r="D9365" t="s">
        <v>11</v>
      </c>
      <c r="E9365" t="s">
        <v>45</v>
      </c>
      <c r="F9365" t="s">
        <v>105</v>
      </c>
      <c r="G9365" t="str">
        <f t="shared" si="394"/>
        <v>026LOLA</v>
      </c>
      <c r="H9365" s="5">
        <v>3300</v>
      </c>
      <c r="I9365" s="6">
        <v>1097.125</v>
      </c>
      <c r="J9365" s="5">
        <v>8000</v>
      </c>
      <c r="K9365" s="6">
        <f t="shared" si="393"/>
        <v>3.0078614560783867</v>
      </c>
    </row>
    <row r="9366" spans="1:11" hidden="1">
      <c r="A9366" s="4">
        <v>2026</v>
      </c>
      <c r="B9366">
        <v>34</v>
      </c>
      <c r="C9366" t="s">
        <v>54</v>
      </c>
      <c r="D9366" t="s">
        <v>11</v>
      </c>
      <c r="E9366" t="s">
        <v>45</v>
      </c>
      <c r="F9366" t="s">
        <v>106</v>
      </c>
      <c r="G9366" t="str">
        <f t="shared" si="394"/>
        <v>026PALOMA</v>
      </c>
      <c r="H9366" s="5">
        <v>4350</v>
      </c>
      <c r="I9366" s="6">
        <v>2852.5250000000001</v>
      </c>
      <c r="J9366" s="5">
        <v>20800</v>
      </c>
      <c r="K9366" s="6">
        <f t="shared" si="393"/>
        <v>1.5249647242355457</v>
      </c>
    </row>
    <row r="9367" spans="1:11" hidden="1">
      <c r="A9367" s="4">
        <v>2026</v>
      </c>
      <c r="B9367">
        <v>34</v>
      </c>
      <c r="C9367" t="s">
        <v>54</v>
      </c>
      <c r="D9367" t="s">
        <v>11</v>
      </c>
      <c r="E9367" t="s">
        <v>107</v>
      </c>
      <c r="F9367" t="s">
        <v>108</v>
      </c>
      <c r="G9367" t="str">
        <f t="shared" si="394"/>
        <v>027SATISFACTION</v>
      </c>
      <c r="H9367" s="5">
        <v>4830</v>
      </c>
      <c r="I9367" s="6">
        <v>2633.1</v>
      </c>
      <c r="J9367" s="5">
        <v>19200</v>
      </c>
      <c r="K9367" s="6">
        <f t="shared" si="393"/>
        <v>1.8343397516235616</v>
      </c>
    </row>
    <row r="9368" spans="1:11" hidden="1">
      <c r="A9368" s="4">
        <v>2026</v>
      </c>
      <c r="B9368">
        <v>34</v>
      </c>
      <c r="C9368" t="s">
        <v>54</v>
      </c>
      <c r="D9368" t="s">
        <v>11</v>
      </c>
      <c r="E9368" t="s">
        <v>107</v>
      </c>
      <c r="F9368" t="s">
        <v>109</v>
      </c>
      <c r="G9368" t="str">
        <f t="shared" si="394"/>
        <v>027TIFFANY</v>
      </c>
      <c r="H9368" s="5">
        <v>4770</v>
      </c>
      <c r="I9368" s="6">
        <v>2633.1</v>
      </c>
      <c r="J9368" s="5">
        <v>19200</v>
      </c>
      <c r="K9368" s="6">
        <f t="shared" si="393"/>
        <v>1.8115529224108466</v>
      </c>
    </row>
    <row r="9369" spans="1:11" hidden="1">
      <c r="A9369" s="4">
        <v>2026</v>
      </c>
      <c r="B9369">
        <v>34</v>
      </c>
      <c r="C9369" t="s">
        <v>54</v>
      </c>
      <c r="D9369" t="s">
        <v>11</v>
      </c>
      <c r="E9369" t="s">
        <v>110</v>
      </c>
      <c r="F9369" t="s">
        <v>70</v>
      </c>
      <c r="G9369" t="str">
        <f t="shared" si="394"/>
        <v>028COTOPAXI</v>
      </c>
      <c r="H9369" s="5">
        <v>5280</v>
      </c>
      <c r="I9369" s="6">
        <v>2852.5250000000001</v>
      </c>
      <c r="J9369" s="5">
        <v>20800</v>
      </c>
      <c r="K9369" s="6">
        <f t="shared" ref="K9369:K9372" si="395">+H9369/I9369</f>
        <v>1.850991665279007</v>
      </c>
    </row>
    <row r="9370" spans="1:11" hidden="1">
      <c r="A9370" s="4">
        <v>2026</v>
      </c>
      <c r="B9370">
        <v>34</v>
      </c>
      <c r="C9370" t="s">
        <v>54</v>
      </c>
      <c r="D9370" t="s">
        <v>11</v>
      </c>
      <c r="E9370" t="s">
        <v>110</v>
      </c>
      <c r="F9370" t="s">
        <v>67</v>
      </c>
      <c r="G9370" t="str">
        <f t="shared" si="394"/>
        <v>028DEEP PURPLE</v>
      </c>
      <c r="H9370" s="5">
        <v>6960</v>
      </c>
      <c r="I9370" s="6">
        <v>2852.5250000000001</v>
      </c>
      <c r="J9370" s="5">
        <v>20800</v>
      </c>
      <c r="K9370" s="6">
        <f t="shared" si="395"/>
        <v>2.4399435587768732</v>
      </c>
    </row>
    <row r="9371" spans="1:11" hidden="1">
      <c r="A9371" s="4">
        <v>2026</v>
      </c>
      <c r="B9371">
        <v>34</v>
      </c>
      <c r="C9371" t="s">
        <v>54</v>
      </c>
      <c r="D9371" t="s">
        <v>11</v>
      </c>
      <c r="E9371" t="s">
        <v>111</v>
      </c>
      <c r="F9371" t="s">
        <v>112</v>
      </c>
      <c r="G9371" t="str">
        <f t="shared" si="394"/>
        <v>029PINK FLOYD</v>
      </c>
      <c r="H9371" s="5">
        <v>3200</v>
      </c>
      <c r="I9371" s="6">
        <v>3071.95</v>
      </c>
      <c r="J9371" s="5">
        <v>22400</v>
      </c>
      <c r="K9371" s="6">
        <f t="shared" si="395"/>
        <v>1.0416836211526881</v>
      </c>
    </row>
    <row r="9372" spans="1:11" hidden="1">
      <c r="A9372" s="4">
        <v>2026</v>
      </c>
      <c r="B9372">
        <v>34</v>
      </c>
      <c r="C9372" t="s">
        <v>54</v>
      </c>
      <c r="D9372" t="s">
        <v>11</v>
      </c>
      <c r="E9372" t="s">
        <v>47</v>
      </c>
      <c r="F9372" t="s">
        <v>57</v>
      </c>
      <c r="G9372" t="str">
        <f t="shared" si="394"/>
        <v>030EXPLORER</v>
      </c>
      <c r="H9372" s="5">
        <v>1200</v>
      </c>
      <c r="I9372" s="6">
        <v>1645.6875</v>
      </c>
      <c r="J9372" s="5">
        <v>12000</v>
      </c>
      <c r="K9372" s="6">
        <f t="shared" si="395"/>
        <v>0.72917853480688166</v>
      </c>
    </row>
    <row r="9373" spans="1:11" hidden="1">
      <c r="A9373" s="4">
        <v>2026</v>
      </c>
      <c r="B9373">
        <v>34</v>
      </c>
      <c r="C9373" t="s">
        <v>54</v>
      </c>
      <c r="D9373" t="s">
        <v>11</v>
      </c>
      <c r="E9373" t="s">
        <v>55</v>
      </c>
      <c r="F9373" t="s">
        <v>61</v>
      </c>
      <c r="G9373" t="str">
        <f t="shared" si="394"/>
        <v>001LUMIA</v>
      </c>
      <c r="H9373" s="5">
        <v>1200</v>
      </c>
      <c r="I9373" s="6">
        <v>1109.596551679753</v>
      </c>
      <c r="J9373" s="5">
        <v>8400</v>
      </c>
      <c r="K9373" s="6">
        <f t="shared" ref="K9373" si="396">IFERROR(H9373/I9373,"")</f>
        <v>1.0814741612015562</v>
      </c>
    </row>
    <row r="9374" spans="1:11" hidden="1">
      <c r="A9374" s="4">
        <v>2026</v>
      </c>
      <c r="B9374">
        <v>34</v>
      </c>
      <c r="C9374" t="s">
        <v>54</v>
      </c>
      <c r="D9374" t="s">
        <v>11</v>
      </c>
      <c r="E9374" t="s">
        <v>85</v>
      </c>
      <c r="F9374" t="s">
        <v>61</v>
      </c>
      <c r="G9374" t="str">
        <f t="shared" si="394"/>
        <v>011LUMIA</v>
      </c>
      <c r="H9374" s="5">
        <v>1560</v>
      </c>
      <c r="I9374" s="6">
        <v>994.97117647058747</v>
      </c>
      <c r="J9374" s="5">
        <v>7920</v>
      </c>
      <c r="K9374" s="6">
        <f t="shared" ref="K9374:K9375" si="397">+H9374/I9374</f>
        <v>1.5678846150435348</v>
      </c>
    </row>
    <row r="9375" spans="1:11" hidden="1">
      <c r="A9375" s="4">
        <v>2026</v>
      </c>
      <c r="B9375">
        <v>34</v>
      </c>
      <c r="C9375" t="s">
        <v>54</v>
      </c>
      <c r="D9375" t="s">
        <v>11</v>
      </c>
      <c r="E9375" t="s">
        <v>91</v>
      </c>
      <c r="F9375" t="s">
        <v>61</v>
      </c>
      <c r="G9375" t="str">
        <f t="shared" si="394"/>
        <v>013LUMIA</v>
      </c>
      <c r="H9375" s="5">
        <v>330</v>
      </c>
      <c r="I9375" s="6">
        <v>316.8</v>
      </c>
      <c r="J9375" s="5">
        <v>2400</v>
      </c>
      <c r="K9375" s="6">
        <f t="shared" si="397"/>
        <v>1.0416666666666665</v>
      </c>
    </row>
    <row r="9376" spans="1:11" hidden="1">
      <c r="A9376" s="4">
        <v>2026</v>
      </c>
      <c r="B9376">
        <v>35</v>
      </c>
      <c r="C9376" t="s">
        <v>10</v>
      </c>
      <c r="D9376" t="s">
        <v>11</v>
      </c>
      <c r="E9376" t="s">
        <v>12</v>
      </c>
      <c r="F9376" t="s">
        <v>13</v>
      </c>
      <c r="G9376" t="s">
        <v>118</v>
      </c>
      <c r="H9376" s="5">
        <v>7540</v>
      </c>
      <c r="I9376" s="6">
        <v>4121.4642855494085</v>
      </c>
      <c r="J9376" s="5">
        <v>31200</v>
      </c>
      <c r="K9376" s="6">
        <v>1.829446885282153</v>
      </c>
    </row>
    <row r="9377" spans="1:11" hidden="1">
      <c r="A9377" s="4">
        <v>2026</v>
      </c>
      <c r="B9377">
        <v>35</v>
      </c>
      <c r="C9377" t="s">
        <v>10</v>
      </c>
      <c r="D9377" t="s">
        <v>11</v>
      </c>
      <c r="E9377" t="s">
        <v>14</v>
      </c>
      <c r="F9377" t="s">
        <v>15</v>
      </c>
      <c r="G9377" t="s">
        <v>119</v>
      </c>
      <c r="H9377" s="5">
        <v>1350</v>
      </c>
      <c r="I9377" s="6">
        <v>1056.7857142434418</v>
      </c>
      <c r="J9377" s="5">
        <v>8000</v>
      </c>
      <c r="K9377" s="6">
        <v>1.2774586009297748</v>
      </c>
    </row>
    <row r="9378" spans="1:11" hidden="1">
      <c r="A9378" s="4">
        <v>2026</v>
      </c>
      <c r="B9378">
        <v>35</v>
      </c>
      <c r="C9378" t="s">
        <v>10</v>
      </c>
      <c r="D9378" t="s">
        <v>11</v>
      </c>
      <c r="E9378" t="s">
        <v>16</v>
      </c>
      <c r="F9378" t="s">
        <v>17</v>
      </c>
      <c r="G9378" t="s">
        <v>120</v>
      </c>
      <c r="H9378" s="5">
        <v>7530</v>
      </c>
      <c r="I9378" s="6">
        <v>2641.9642856076484</v>
      </c>
      <c r="J9378" s="5">
        <v>19996</v>
      </c>
      <c r="K9378" s="6">
        <v>2.850152078519907</v>
      </c>
    </row>
    <row r="9379" spans="1:11" hidden="1">
      <c r="A9379" s="4">
        <v>2026</v>
      </c>
      <c r="B9379">
        <v>35</v>
      </c>
      <c r="C9379" t="s">
        <v>10</v>
      </c>
      <c r="D9379" t="s">
        <v>11</v>
      </c>
      <c r="E9379" t="s">
        <v>16</v>
      </c>
      <c r="F9379" t="s">
        <v>18</v>
      </c>
      <c r="G9379" t="s">
        <v>121</v>
      </c>
      <c r="H9379" s="5">
        <v>1380</v>
      </c>
      <c r="I9379" s="6">
        <v>528.39285712153003</v>
      </c>
      <c r="J9379" s="5">
        <v>4000</v>
      </c>
      <c r="K9379" s="6">
        <v>2.6116931396795944</v>
      </c>
    </row>
    <row r="9380" spans="1:11" hidden="1">
      <c r="A9380" s="4">
        <v>2026</v>
      </c>
      <c r="B9380">
        <v>35</v>
      </c>
      <c r="C9380" t="s">
        <v>10</v>
      </c>
      <c r="D9380" t="s">
        <v>11</v>
      </c>
      <c r="E9380" t="s">
        <v>16</v>
      </c>
      <c r="F9380" t="s">
        <v>19</v>
      </c>
      <c r="G9380" t="s">
        <v>122</v>
      </c>
      <c r="H9380" s="5">
        <v>3750</v>
      </c>
      <c r="I9380" s="6">
        <v>1902.2142856375078</v>
      </c>
      <c r="J9380" s="5">
        <v>14400</v>
      </c>
      <c r="K9380" s="6">
        <v>1.9713867298306118</v>
      </c>
    </row>
    <row r="9381" spans="1:11" hidden="1">
      <c r="A9381" s="4">
        <v>2026</v>
      </c>
      <c r="B9381">
        <v>35</v>
      </c>
      <c r="C9381" t="s">
        <v>10</v>
      </c>
      <c r="D9381" t="s">
        <v>11</v>
      </c>
      <c r="E9381" t="s">
        <v>20</v>
      </c>
      <c r="F9381" t="s">
        <v>21</v>
      </c>
      <c r="G9381" t="s">
        <v>123</v>
      </c>
      <c r="H9381" s="5">
        <v>1340</v>
      </c>
      <c r="I9381" s="6">
        <v>634.05652706821195</v>
      </c>
      <c r="J9381" s="5">
        <v>4800</v>
      </c>
      <c r="K9381" s="6">
        <v>2.113376241383353</v>
      </c>
    </row>
    <row r="9382" spans="1:11" hidden="1">
      <c r="A9382" s="4">
        <v>2026</v>
      </c>
      <c r="B9382">
        <v>35</v>
      </c>
      <c r="C9382" t="s">
        <v>10</v>
      </c>
      <c r="D9382" t="s">
        <v>11</v>
      </c>
      <c r="E9382" t="s">
        <v>22</v>
      </c>
      <c r="F9382" t="s">
        <v>18</v>
      </c>
      <c r="G9382" t="s">
        <v>124</v>
      </c>
      <c r="H9382" s="5">
        <v>13160</v>
      </c>
      <c r="I9382" s="6">
        <v>4487.9999999102474</v>
      </c>
      <c r="J9382" s="5">
        <v>31740</v>
      </c>
      <c r="K9382" s="6">
        <v>2.9322638146753963</v>
      </c>
    </row>
    <row r="9383" spans="1:11" hidden="1">
      <c r="A9383" s="4">
        <v>2026</v>
      </c>
      <c r="B9383">
        <v>35</v>
      </c>
      <c r="C9383" t="s">
        <v>10</v>
      </c>
      <c r="D9383" t="s">
        <v>11</v>
      </c>
      <c r="E9383" t="s">
        <v>23</v>
      </c>
      <c r="F9383" t="s">
        <v>24</v>
      </c>
      <c r="G9383" t="s">
        <v>125</v>
      </c>
      <c r="H9383" s="5">
        <v>2700</v>
      </c>
      <c r="I9383" s="6">
        <v>1702.8</v>
      </c>
      <c r="J9383" s="5">
        <v>12900</v>
      </c>
      <c r="K9383" s="6">
        <v>1.5856236786469344</v>
      </c>
    </row>
    <row r="9384" spans="1:11" hidden="1">
      <c r="A9384" s="4">
        <v>2026</v>
      </c>
      <c r="B9384">
        <v>35</v>
      </c>
      <c r="C9384" t="s">
        <v>10</v>
      </c>
      <c r="D9384" t="s">
        <v>11</v>
      </c>
      <c r="E9384" t="s">
        <v>25</v>
      </c>
      <c r="F9384" t="s">
        <v>26</v>
      </c>
      <c r="G9384" t="s">
        <v>126</v>
      </c>
      <c r="H9384" s="5">
        <v>6420</v>
      </c>
      <c r="I9384" s="6">
        <v>3009.6</v>
      </c>
      <c r="J9384" s="5">
        <v>22800</v>
      </c>
      <c r="K9384" s="6">
        <v>2.1331738437001597</v>
      </c>
    </row>
    <row r="9385" spans="1:11" hidden="1">
      <c r="A9385" s="4">
        <v>2026</v>
      </c>
      <c r="B9385">
        <v>35</v>
      </c>
      <c r="C9385" t="s">
        <v>10</v>
      </c>
      <c r="D9385" t="s">
        <v>11</v>
      </c>
      <c r="E9385" t="s">
        <v>27</v>
      </c>
      <c r="F9385" t="s">
        <v>28</v>
      </c>
      <c r="G9385" t="s">
        <v>127</v>
      </c>
      <c r="H9385" s="5">
        <v>4170</v>
      </c>
      <c r="I9385" s="6">
        <v>1386</v>
      </c>
      <c r="J9385" s="5">
        <v>10500</v>
      </c>
      <c r="K9385" s="6">
        <v>3.0086580086580086</v>
      </c>
    </row>
    <row r="9386" spans="1:11" hidden="1">
      <c r="A9386" s="4">
        <v>2026</v>
      </c>
      <c r="B9386">
        <v>35</v>
      </c>
      <c r="C9386" t="s">
        <v>10</v>
      </c>
      <c r="D9386" t="s">
        <v>11</v>
      </c>
      <c r="E9386" t="s">
        <v>27</v>
      </c>
      <c r="F9386" t="s">
        <v>29</v>
      </c>
      <c r="G9386" t="s">
        <v>128</v>
      </c>
      <c r="H9386" s="5">
        <v>3720</v>
      </c>
      <c r="I9386" s="6">
        <v>1386</v>
      </c>
      <c r="J9386" s="5">
        <v>10500</v>
      </c>
      <c r="K9386" s="6">
        <v>2.6839826839826841</v>
      </c>
    </row>
    <row r="9387" spans="1:11" hidden="1">
      <c r="A9387" s="4">
        <v>2026</v>
      </c>
      <c r="B9387">
        <v>35</v>
      </c>
      <c r="C9387" t="s">
        <v>10</v>
      </c>
      <c r="D9387" t="s">
        <v>11</v>
      </c>
      <c r="E9387" t="s">
        <v>30</v>
      </c>
      <c r="F9387" t="s">
        <v>31</v>
      </c>
      <c r="G9387" t="s">
        <v>129</v>
      </c>
      <c r="H9387" s="5">
        <v>1025</v>
      </c>
      <c r="I9387" s="6">
        <v>1029.5999999999999</v>
      </c>
      <c r="J9387" s="5">
        <v>7800</v>
      </c>
      <c r="K9387" s="6">
        <v>0.99553224553224562</v>
      </c>
    </row>
    <row r="9388" spans="1:11" hidden="1">
      <c r="A9388" s="4">
        <v>2026</v>
      </c>
      <c r="B9388">
        <v>35</v>
      </c>
      <c r="C9388" t="s">
        <v>10</v>
      </c>
      <c r="D9388" t="s">
        <v>11</v>
      </c>
      <c r="E9388" t="s">
        <v>32</v>
      </c>
      <c r="F9388" t="s">
        <v>33</v>
      </c>
      <c r="G9388" t="s">
        <v>130</v>
      </c>
      <c r="H9388" s="5">
        <v>3925</v>
      </c>
      <c r="I9388" s="6">
        <v>2653.2</v>
      </c>
      <c r="J9388" s="5">
        <v>20100</v>
      </c>
      <c r="K9388" s="6">
        <v>1.4793456957636064</v>
      </c>
    </row>
    <row r="9389" spans="1:11" hidden="1">
      <c r="A9389" s="4">
        <v>2026</v>
      </c>
      <c r="B9389">
        <v>35</v>
      </c>
      <c r="C9389" t="s">
        <v>10</v>
      </c>
      <c r="D9389" t="s">
        <v>11</v>
      </c>
      <c r="E9389" t="s">
        <v>32</v>
      </c>
      <c r="F9389" t="s">
        <v>34</v>
      </c>
      <c r="G9389" t="s">
        <v>131</v>
      </c>
      <c r="H9389" s="5">
        <v>5280</v>
      </c>
      <c r="I9389" s="6">
        <v>1768.8</v>
      </c>
      <c r="J9389" s="5">
        <v>13400</v>
      </c>
      <c r="K9389" s="6">
        <v>2.9850746268656718</v>
      </c>
    </row>
    <row r="9390" spans="1:11" hidden="1">
      <c r="A9390" s="4">
        <v>2026</v>
      </c>
      <c r="B9390">
        <v>35</v>
      </c>
      <c r="C9390" t="s">
        <v>10</v>
      </c>
      <c r="D9390" t="s">
        <v>11</v>
      </c>
      <c r="E9390" t="s">
        <v>35</v>
      </c>
      <c r="F9390" t="s">
        <v>15</v>
      </c>
      <c r="G9390" t="s">
        <v>132</v>
      </c>
      <c r="H9390" s="5">
        <v>1935</v>
      </c>
      <c r="I9390" s="6">
        <v>1029.5999999999999</v>
      </c>
      <c r="J9390" s="5">
        <v>7800</v>
      </c>
      <c r="K9390" s="6">
        <v>1.8793706293706296</v>
      </c>
    </row>
    <row r="9391" spans="1:11" hidden="1">
      <c r="A9391" s="4">
        <v>2026</v>
      </c>
      <c r="B9391">
        <v>35</v>
      </c>
      <c r="C9391" t="s">
        <v>10</v>
      </c>
      <c r="D9391" t="s">
        <v>11</v>
      </c>
      <c r="E9391" t="s">
        <v>36</v>
      </c>
      <c r="F9391" t="s">
        <v>37</v>
      </c>
      <c r="G9391" t="s">
        <v>133</v>
      </c>
      <c r="H9391" s="5">
        <v>3150</v>
      </c>
      <c r="I9391" s="6">
        <v>1346.4</v>
      </c>
      <c r="J9391" s="5">
        <v>10200</v>
      </c>
      <c r="K9391" s="6">
        <v>2.3395721925133688</v>
      </c>
    </row>
    <row r="9392" spans="1:11" hidden="1">
      <c r="A9392" s="4">
        <v>2026</v>
      </c>
      <c r="B9392">
        <v>35</v>
      </c>
      <c r="C9392" t="s">
        <v>10</v>
      </c>
      <c r="D9392" t="s">
        <v>11</v>
      </c>
      <c r="E9392" t="s">
        <v>38</v>
      </c>
      <c r="F9392" t="s">
        <v>39</v>
      </c>
      <c r="G9392" t="s">
        <v>134</v>
      </c>
      <c r="H9392" s="5">
        <v>300</v>
      </c>
      <c r="I9392" s="6">
        <v>440.18999062500001</v>
      </c>
      <c r="J9392" s="5">
        <v>3200</v>
      </c>
      <c r="K9392" s="6">
        <v>0.68152390192709189</v>
      </c>
    </row>
    <row r="9393" spans="1:11" hidden="1">
      <c r="A9393" s="4">
        <v>2026</v>
      </c>
      <c r="B9393">
        <v>35</v>
      </c>
      <c r="C9393" t="s">
        <v>10</v>
      </c>
      <c r="D9393" t="s">
        <v>11</v>
      </c>
      <c r="E9393" t="s">
        <v>38</v>
      </c>
      <c r="F9393" t="s">
        <v>40</v>
      </c>
      <c r="G9393" t="s">
        <v>135</v>
      </c>
      <c r="H9393" s="5">
        <v>1625</v>
      </c>
      <c r="I9393" s="6">
        <v>880.38</v>
      </c>
      <c r="J9393" s="5">
        <v>6400</v>
      </c>
      <c r="K9393" s="6">
        <v>1.8457938617415208</v>
      </c>
    </row>
    <row r="9394" spans="1:11" hidden="1">
      <c r="A9394" s="4">
        <v>2026</v>
      </c>
      <c r="B9394">
        <v>35</v>
      </c>
      <c r="C9394" t="s">
        <v>10</v>
      </c>
      <c r="D9394" t="s">
        <v>11</v>
      </c>
      <c r="E9394" t="s">
        <v>38</v>
      </c>
      <c r="F9394" t="s">
        <v>41</v>
      </c>
      <c r="G9394" t="s">
        <v>136</v>
      </c>
      <c r="H9394" s="5">
        <v>600</v>
      </c>
      <c r="I9394" s="6">
        <v>330.14249999999998</v>
      </c>
      <c r="J9394" s="5">
        <v>2400</v>
      </c>
      <c r="K9394" s="6">
        <v>1.8173970330993436</v>
      </c>
    </row>
    <row r="9395" spans="1:11" hidden="1">
      <c r="A9395" s="4">
        <v>2026</v>
      </c>
      <c r="B9395">
        <v>35</v>
      </c>
      <c r="C9395" t="s">
        <v>10</v>
      </c>
      <c r="D9395" t="s">
        <v>11</v>
      </c>
      <c r="E9395" t="s">
        <v>38</v>
      </c>
      <c r="F9395" t="s">
        <v>42</v>
      </c>
      <c r="G9395" t="s">
        <v>137</v>
      </c>
      <c r="H9395" s="5">
        <v>2650</v>
      </c>
      <c r="I9395" s="6">
        <v>1650.7125000000001</v>
      </c>
      <c r="J9395" s="5">
        <v>12000</v>
      </c>
      <c r="K9395" s="6">
        <v>1.6053673792377534</v>
      </c>
    </row>
    <row r="9396" spans="1:11" hidden="1">
      <c r="A9396" s="4">
        <v>2026</v>
      </c>
      <c r="B9396">
        <v>35</v>
      </c>
      <c r="C9396" t="s">
        <v>10</v>
      </c>
      <c r="D9396" t="s">
        <v>11</v>
      </c>
      <c r="E9396" t="s">
        <v>38</v>
      </c>
      <c r="F9396" t="s">
        <v>21</v>
      </c>
      <c r="G9396" t="s">
        <v>138</v>
      </c>
      <c r="H9396" s="5">
        <v>2500</v>
      </c>
      <c r="I9396" s="6">
        <v>1287.0000000000018</v>
      </c>
      <c r="J9396" s="5">
        <v>9400</v>
      </c>
      <c r="K9396" s="6">
        <v>1.9425019425019399</v>
      </c>
    </row>
    <row r="9397" spans="1:11" hidden="1">
      <c r="A9397" s="4">
        <v>2026</v>
      </c>
      <c r="B9397">
        <v>35</v>
      </c>
      <c r="C9397" t="s">
        <v>10</v>
      </c>
      <c r="D9397" t="s">
        <v>11</v>
      </c>
      <c r="E9397" t="s">
        <v>43</v>
      </c>
      <c r="F9397" t="s">
        <v>24</v>
      </c>
      <c r="G9397" t="s">
        <v>139</v>
      </c>
      <c r="H9397" s="5">
        <v>4200</v>
      </c>
      <c r="I9397" s="6">
        <v>2641.14</v>
      </c>
      <c r="J9397" s="5">
        <v>19200</v>
      </c>
      <c r="K9397" s="6">
        <v>1.5902224039619257</v>
      </c>
    </row>
    <row r="9398" spans="1:11" hidden="1">
      <c r="A9398" s="4">
        <v>2026</v>
      </c>
      <c r="B9398">
        <v>35</v>
      </c>
      <c r="C9398" t="s">
        <v>10</v>
      </c>
      <c r="D9398" t="s">
        <v>11</v>
      </c>
      <c r="E9398" t="s">
        <v>43</v>
      </c>
      <c r="F9398" t="s">
        <v>28</v>
      </c>
      <c r="G9398" t="s">
        <v>140</v>
      </c>
      <c r="H9398" s="5">
        <v>2190</v>
      </c>
      <c r="I9398" s="6">
        <v>880.38</v>
      </c>
      <c r="J9398" s="5">
        <v>6400</v>
      </c>
      <c r="K9398" s="6">
        <v>2.4875621890547266</v>
      </c>
    </row>
    <row r="9399" spans="1:11" hidden="1">
      <c r="A9399" s="4">
        <v>2026</v>
      </c>
      <c r="B9399">
        <v>35</v>
      </c>
      <c r="C9399" t="s">
        <v>10</v>
      </c>
      <c r="D9399" t="s">
        <v>11</v>
      </c>
      <c r="E9399" t="s">
        <v>43</v>
      </c>
      <c r="F9399" t="s">
        <v>44</v>
      </c>
      <c r="G9399" t="s">
        <v>141</v>
      </c>
      <c r="H9399" s="5">
        <v>1580</v>
      </c>
      <c r="I9399" s="6">
        <v>880.38</v>
      </c>
      <c r="J9399" s="5">
        <v>6400</v>
      </c>
      <c r="K9399" s="6">
        <v>1.7946795701856018</v>
      </c>
    </row>
    <row r="9400" spans="1:11" hidden="1">
      <c r="A9400" s="4">
        <v>2026</v>
      </c>
      <c r="B9400">
        <v>35</v>
      </c>
      <c r="C9400" t="s">
        <v>10</v>
      </c>
      <c r="D9400" t="s">
        <v>11</v>
      </c>
      <c r="E9400" t="s">
        <v>45</v>
      </c>
      <c r="F9400" t="s">
        <v>46</v>
      </c>
      <c r="G9400" t="s">
        <v>142</v>
      </c>
      <c r="H9400" s="5">
        <v>470</v>
      </c>
      <c r="I9400" s="6">
        <v>1755.4</v>
      </c>
      <c r="J9400" s="5">
        <v>12800</v>
      </c>
      <c r="K9400" s="6">
        <v>0.26774524324940185</v>
      </c>
    </row>
    <row r="9401" spans="1:11" hidden="1">
      <c r="A9401" s="4">
        <v>2026</v>
      </c>
      <c r="B9401">
        <v>35</v>
      </c>
      <c r="C9401" t="s">
        <v>10</v>
      </c>
      <c r="D9401" t="s">
        <v>11</v>
      </c>
      <c r="E9401" t="s">
        <v>47</v>
      </c>
      <c r="F9401" t="s">
        <v>44</v>
      </c>
      <c r="G9401" t="s">
        <v>143</v>
      </c>
      <c r="H9401" s="5">
        <v>4880</v>
      </c>
      <c r="I9401" s="6">
        <v>2413.6749943750001</v>
      </c>
      <c r="J9401" s="5">
        <v>17600</v>
      </c>
      <c r="K9401" s="6">
        <v>2.0218132148581307</v>
      </c>
    </row>
    <row r="9402" spans="1:11" hidden="1">
      <c r="A9402" s="4">
        <v>2026</v>
      </c>
      <c r="B9402">
        <v>35</v>
      </c>
      <c r="C9402" t="s">
        <v>10</v>
      </c>
      <c r="D9402" t="s">
        <v>11</v>
      </c>
      <c r="E9402" t="s">
        <v>47</v>
      </c>
      <c r="F9402" t="s">
        <v>13</v>
      </c>
      <c r="G9402" t="s">
        <v>144</v>
      </c>
      <c r="H9402" s="5">
        <v>2440</v>
      </c>
      <c r="I9402" s="6">
        <v>1645.6875</v>
      </c>
      <c r="J9402" s="5">
        <v>12000</v>
      </c>
      <c r="K9402" s="6">
        <v>1.4826630207739926</v>
      </c>
    </row>
    <row r="9403" spans="1:11" hidden="1">
      <c r="A9403" s="4">
        <v>2026</v>
      </c>
      <c r="B9403">
        <v>35</v>
      </c>
      <c r="C9403" t="s">
        <v>10</v>
      </c>
      <c r="D9403" t="s">
        <v>11</v>
      </c>
      <c r="E9403" t="s">
        <v>48</v>
      </c>
      <c r="F9403" t="s">
        <v>49</v>
      </c>
      <c r="G9403" t="s">
        <v>145</v>
      </c>
      <c r="H9403" s="5">
        <v>2620</v>
      </c>
      <c r="I9403" s="6">
        <v>726.32013058333712</v>
      </c>
      <c r="J9403" s="5">
        <v>5712</v>
      </c>
      <c r="K9403" s="6">
        <v>3.6072248168252914</v>
      </c>
    </row>
    <row r="9404" spans="1:11" hidden="1">
      <c r="A9404" s="4">
        <v>2026</v>
      </c>
      <c r="B9404">
        <v>35</v>
      </c>
      <c r="C9404" t="s">
        <v>10</v>
      </c>
      <c r="D9404" t="s">
        <v>11</v>
      </c>
      <c r="E9404" t="s">
        <v>48</v>
      </c>
      <c r="F9404" t="s">
        <v>34</v>
      </c>
      <c r="G9404" t="s">
        <v>146</v>
      </c>
      <c r="H9404" s="5">
        <v>2310</v>
      </c>
      <c r="I9404" s="6">
        <v>924.39958333667107</v>
      </c>
      <c r="J9404" s="5">
        <v>6720</v>
      </c>
      <c r="K9404" s="6">
        <v>2.4989193435829211</v>
      </c>
    </row>
    <row r="9405" spans="1:11" hidden="1">
      <c r="A9405" s="4">
        <v>2026</v>
      </c>
      <c r="B9405">
        <v>35</v>
      </c>
      <c r="C9405" t="s">
        <v>10</v>
      </c>
      <c r="D9405" t="s">
        <v>11</v>
      </c>
      <c r="E9405" t="s">
        <v>48</v>
      </c>
      <c r="F9405" t="s">
        <v>13</v>
      </c>
      <c r="G9405" t="s">
        <v>147</v>
      </c>
      <c r="H9405" s="5">
        <v>3520</v>
      </c>
      <c r="I9405" s="6">
        <v>1122.485208333339</v>
      </c>
      <c r="J9405" s="5">
        <v>8160</v>
      </c>
      <c r="K9405" s="6">
        <v>3.1358987841153652</v>
      </c>
    </row>
    <row r="9406" spans="1:11" hidden="1">
      <c r="A9406" s="4">
        <v>2026</v>
      </c>
      <c r="B9406">
        <v>35</v>
      </c>
      <c r="C9406" t="s">
        <v>10</v>
      </c>
      <c r="D9406" t="s">
        <v>11</v>
      </c>
      <c r="E9406" t="s">
        <v>48</v>
      </c>
      <c r="F9406" t="s">
        <v>50</v>
      </c>
      <c r="G9406" t="s">
        <v>148</v>
      </c>
      <c r="H9406" s="5">
        <v>680</v>
      </c>
      <c r="I9406" s="6">
        <v>396.17125000000198</v>
      </c>
      <c r="J9406" s="5">
        <v>2880</v>
      </c>
      <c r="K9406" s="6">
        <v>1.716429448123751</v>
      </c>
    </row>
    <row r="9407" spans="1:11" hidden="1">
      <c r="A9407" s="4">
        <v>2026</v>
      </c>
      <c r="B9407">
        <v>35</v>
      </c>
      <c r="C9407" t="s">
        <v>10</v>
      </c>
      <c r="D9407" t="s">
        <v>11</v>
      </c>
      <c r="E9407" t="s">
        <v>51</v>
      </c>
      <c r="F9407" t="s">
        <v>17</v>
      </c>
      <c r="G9407" t="s">
        <v>149</v>
      </c>
      <c r="H9407" s="5">
        <v>3270</v>
      </c>
      <c r="I9407" s="6">
        <v>1535.9749999999999</v>
      </c>
      <c r="J9407" s="5">
        <v>11200</v>
      </c>
      <c r="K9407" s="6">
        <v>2.1289409007308064</v>
      </c>
    </row>
    <row r="9408" spans="1:11" hidden="1">
      <c r="A9408" s="4">
        <v>2026</v>
      </c>
      <c r="B9408">
        <v>35</v>
      </c>
      <c r="C9408" t="s">
        <v>10</v>
      </c>
      <c r="D9408" t="s">
        <v>11</v>
      </c>
      <c r="E9408" t="s">
        <v>51</v>
      </c>
      <c r="F9408" t="s">
        <v>44</v>
      </c>
      <c r="G9408" t="s">
        <v>150</v>
      </c>
      <c r="H9408" s="5">
        <v>1900</v>
      </c>
      <c r="I9408" s="6">
        <v>1535.9749999999999</v>
      </c>
      <c r="J9408" s="5">
        <v>11200</v>
      </c>
      <c r="K9408" s="6">
        <v>1.2369993001188171</v>
      </c>
    </row>
    <row r="9409" spans="1:11" hidden="1">
      <c r="A9409" s="4">
        <v>2026</v>
      </c>
      <c r="B9409">
        <v>35</v>
      </c>
      <c r="C9409" t="s">
        <v>10</v>
      </c>
      <c r="D9409" t="s">
        <v>11</v>
      </c>
      <c r="E9409" t="s">
        <v>52</v>
      </c>
      <c r="F9409" t="s">
        <v>53</v>
      </c>
      <c r="G9409" t="s">
        <v>151</v>
      </c>
      <c r="H9409" s="5">
        <v>1620</v>
      </c>
      <c r="I9409" s="6">
        <v>594.25687500000299</v>
      </c>
      <c r="J9409" s="5">
        <v>4320</v>
      </c>
      <c r="K9409" s="6">
        <v>2.7260938293730161</v>
      </c>
    </row>
    <row r="9410" spans="1:11" hidden="1">
      <c r="A9410" s="4">
        <v>2026</v>
      </c>
      <c r="B9410">
        <v>35</v>
      </c>
      <c r="C9410" t="s">
        <v>10</v>
      </c>
      <c r="D9410" t="s">
        <v>11</v>
      </c>
      <c r="E9410" t="s">
        <v>52</v>
      </c>
      <c r="F9410" t="s">
        <v>18</v>
      </c>
      <c r="G9410" t="s">
        <v>152</v>
      </c>
      <c r="H9410" s="5">
        <v>4200</v>
      </c>
      <c r="I9410" s="6">
        <v>2575.1131250013459</v>
      </c>
      <c r="J9410" s="5">
        <v>18720</v>
      </c>
      <c r="K9410" s="6">
        <v>1.6309963081710459</v>
      </c>
    </row>
    <row r="9411" spans="1:11" hidden="1">
      <c r="A9411" s="4">
        <v>2026</v>
      </c>
      <c r="B9411">
        <v>35</v>
      </c>
      <c r="C9411" t="s">
        <v>54</v>
      </c>
      <c r="D9411" t="s">
        <v>11</v>
      </c>
      <c r="E9411" t="s">
        <v>55</v>
      </c>
      <c r="F9411" t="s">
        <v>56</v>
      </c>
      <c r="G9411" t="s">
        <v>153</v>
      </c>
      <c r="H9411" s="5">
        <v>1530</v>
      </c>
      <c r="I9411" s="6">
        <v>528.37931032368999</v>
      </c>
      <c r="J9411" s="5">
        <v>4000</v>
      </c>
      <c r="K9411" s="6">
        <v>2.895647066617177</v>
      </c>
    </row>
    <row r="9412" spans="1:11" hidden="1">
      <c r="A9412" s="4">
        <v>2026</v>
      </c>
      <c r="B9412">
        <v>35</v>
      </c>
      <c r="C9412" t="s">
        <v>54</v>
      </c>
      <c r="D9412" t="s">
        <v>11</v>
      </c>
      <c r="E9412" t="s">
        <v>55</v>
      </c>
      <c r="F9412" t="s">
        <v>57</v>
      </c>
      <c r="G9412" t="s">
        <v>154</v>
      </c>
      <c r="H9412" s="5">
        <v>2950</v>
      </c>
      <c r="I9412" s="6">
        <v>2272.0310343918732</v>
      </c>
      <c r="J9412" s="5">
        <v>17200</v>
      </c>
      <c r="K9412" s="6">
        <v>1.2983977574890788</v>
      </c>
    </row>
    <row r="9413" spans="1:11" hidden="1">
      <c r="A9413" s="4">
        <v>2026</v>
      </c>
      <c r="B9413">
        <v>35</v>
      </c>
      <c r="C9413" t="s">
        <v>54</v>
      </c>
      <c r="D9413" t="s">
        <v>11</v>
      </c>
      <c r="E9413" t="s">
        <v>55</v>
      </c>
      <c r="F9413" t="s">
        <v>58</v>
      </c>
      <c r="G9413" t="s">
        <v>155</v>
      </c>
      <c r="H9413" s="5">
        <v>1350</v>
      </c>
      <c r="I9413" s="6">
        <v>1162.4344827121224</v>
      </c>
      <c r="J9413" s="5">
        <v>8800</v>
      </c>
      <c r="K9413" s="6">
        <v>1.1613557753812163</v>
      </c>
    </row>
    <row r="9414" spans="1:11" hidden="1">
      <c r="A9414" s="4">
        <v>2026</v>
      </c>
      <c r="B9414">
        <v>35</v>
      </c>
      <c r="C9414" t="s">
        <v>54</v>
      </c>
      <c r="D9414" t="s">
        <v>11</v>
      </c>
      <c r="E9414" t="s">
        <v>55</v>
      </c>
      <c r="F9414" t="s">
        <v>59</v>
      </c>
      <c r="G9414" t="s">
        <v>156</v>
      </c>
      <c r="H9414" s="5">
        <v>1505</v>
      </c>
      <c r="I9414" s="6">
        <v>1162.4344827121181</v>
      </c>
      <c r="J9414" s="5">
        <v>8800</v>
      </c>
      <c r="K9414" s="6">
        <v>1.2946966236657311</v>
      </c>
    </row>
    <row r="9415" spans="1:11" hidden="1">
      <c r="A9415" s="4">
        <v>2026</v>
      </c>
      <c r="B9415">
        <v>35</v>
      </c>
      <c r="C9415" t="s">
        <v>54</v>
      </c>
      <c r="D9415" t="s">
        <v>11</v>
      </c>
      <c r="E9415" t="s">
        <v>55</v>
      </c>
      <c r="F9415" t="s">
        <v>60</v>
      </c>
      <c r="G9415" t="s">
        <v>157</v>
      </c>
      <c r="H9415" s="5">
        <v>1140</v>
      </c>
      <c r="I9415" s="6">
        <v>1056.7586206473827</v>
      </c>
      <c r="J9415" s="5">
        <v>8000</v>
      </c>
      <c r="K9415" s="6">
        <v>1.0787704757985535</v>
      </c>
    </row>
    <row r="9416" spans="1:11" hidden="1">
      <c r="A9416" s="4">
        <v>2026</v>
      </c>
      <c r="B9416">
        <v>35</v>
      </c>
      <c r="C9416" t="s">
        <v>54</v>
      </c>
      <c r="D9416" t="s">
        <v>11</v>
      </c>
      <c r="E9416" t="s">
        <v>55</v>
      </c>
      <c r="F9416" t="s">
        <v>61</v>
      </c>
      <c r="G9416" t="s">
        <v>158</v>
      </c>
      <c r="H9416" s="5">
        <v>1500</v>
      </c>
      <c r="I9416" s="6">
        <v>1109.596551679753</v>
      </c>
      <c r="J9416" s="5">
        <v>8400</v>
      </c>
      <c r="K9416" s="6">
        <v>1.3518427015019452</v>
      </c>
    </row>
    <row r="9417" spans="1:11" hidden="1">
      <c r="A9417" s="4">
        <v>2026</v>
      </c>
      <c r="B9417">
        <v>35</v>
      </c>
      <c r="C9417" t="s">
        <v>54</v>
      </c>
      <c r="D9417" t="s">
        <v>11</v>
      </c>
      <c r="E9417" t="s">
        <v>55</v>
      </c>
      <c r="F9417" t="s">
        <v>62</v>
      </c>
      <c r="G9417" t="s">
        <v>159</v>
      </c>
      <c r="H9417" s="5">
        <v>4775</v>
      </c>
      <c r="I9417" s="6">
        <v>1902.1655171652881</v>
      </c>
      <c r="J9417" s="5">
        <v>14400</v>
      </c>
      <c r="K9417" s="6">
        <v>2.51029679431681</v>
      </c>
    </row>
    <row r="9418" spans="1:11" hidden="1">
      <c r="A9418" s="4">
        <v>2026</v>
      </c>
      <c r="B9418">
        <v>35</v>
      </c>
      <c r="C9418" t="s">
        <v>54</v>
      </c>
      <c r="D9418" t="s">
        <v>11</v>
      </c>
      <c r="E9418" t="s">
        <v>12</v>
      </c>
      <c r="F9418" t="s">
        <v>63</v>
      </c>
      <c r="G9418" t="s">
        <v>160</v>
      </c>
      <c r="H9418" s="5">
        <v>1450</v>
      </c>
      <c r="I9418" s="6">
        <v>951.10714281909407</v>
      </c>
      <c r="J9418" s="5">
        <v>7200</v>
      </c>
      <c r="K9418" s="6">
        <v>1.5245390710684612</v>
      </c>
    </row>
    <row r="9419" spans="1:11" hidden="1">
      <c r="A9419" s="4">
        <v>2026</v>
      </c>
      <c r="B9419">
        <v>35</v>
      </c>
      <c r="C9419" t="s">
        <v>54</v>
      </c>
      <c r="D9419" t="s">
        <v>11</v>
      </c>
      <c r="E9419" t="s">
        <v>12</v>
      </c>
      <c r="F9419" t="s">
        <v>64</v>
      </c>
      <c r="G9419" t="s">
        <v>161</v>
      </c>
      <c r="H9419" s="5">
        <v>6930</v>
      </c>
      <c r="I9419" s="6">
        <v>3804.4285712763772</v>
      </c>
      <c r="J9419" s="5">
        <v>28800</v>
      </c>
      <c r="K9419" s="6">
        <v>1.8215613383628335</v>
      </c>
    </row>
    <row r="9420" spans="1:11" hidden="1">
      <c r="A9420" s="4">
        <v>2026</v>
      </c>
      <c r="B9420">
        <v>35</v>
      </c>
      <c r="C9420" t="s">
        <v>54</v>
      </c>
      <c r="D9420" t="s">
        <v>11</v>
      </c>
      <c r="E9420" t="s">
        <v>65</v>
      </c>
      <c r="F9420" t="s">
        <v>66</v>
      </c>
      <c r="G9420" t="s">
        <v>162</v>
      </c>
      <c r="H9420" s="5">
        <v>4230</v>
      </c>
      <c r="I9420" s="6">
        <v>2641.8965516184649</v>
      </c>
      <c r="J9420" s="5">
        <v>20000</v>
      </c>
      <c r="K9420" s="6">
        <v>1.6011224956589005</v>
      </c>
    </row>
    <row r="9421" spans="1:11" hidden="1">
      <c r="A9421" s="4">
        <v>2026</v>
      </c>
      <c r="B9421">
        <v>35</v>
      </c>
      <c r="C9421" t="s">
        <v>54</v>
      </c>
      <c r="D9421" t="s">
        <v>11</v>
      </c>
      <c r="E9421" t="s">
        <v>65</v>
      </c>
      <c r="F9421" t="s">
        <v>67</v>
      </c>
      <c r="G9421" t="s">
        <v>163</v>
      </c>
      <c r="H9421" s="5">
        <v>6060</v>
      </c>
      <c r="I9421" s="6">
        <v>3592.9793102010913</v>
      </c>
      <c r="J9421" s="5">
        <v>26044</v>
      </c>
      <c r="K9421" s="6">
        <v>1.6866225705209628</v>
      </c>
    </row>
    <row r="9422" spans="1:11" hidden="1">
      <c r="A9422" s="4">
        <v>2026</v>
      </c>
      <c r="B9422">
        <v>35</v>
      </c>
      <c r="C9422" t="s">
        <v>54</v>
      </c>
      <c r="D9422" t="s">
        <v>11</v>
      </c>
      <c r="E9422" t="s">
        <v>65</v>
      </c>
      <c r="F9422" t="s">
        <v>57</v>
      </c>
      <c r="G9422" t="s">
        <v>164</v>
      </c>
      <c r="H9422" s="5">
        <v>1975</v>
      </c>
      <c r="I9422" s="6">
        <v>1268.1103447768633</v>
      </c>
      <c r="J9422" s="5">
        <v>9600</v>
      </c>
      <c r="K9422" s="6">
        <v>1.5574354456886961</v>
      </c>
    </row>
    <row r="9423" spans="1:11" hidden="1">
      <c r="A9423" s="4">
        <v>2026</v>
      </c>
      <c r="B9423">
        <v>35</v>
      </c>
      <c r="C9423" t="s">
        <v>54</v>
      </c>
      <c r="D9423" t="s">
        <v>11</v>
      </c>
      <c r="E9423" t="s">
        <v>65</v>
      </c>
      <c r="F9423" t="s">
        <v>68</v>
      </c>
      <c r="G9423" t="s">
        <v>165</v>
      </c>
      <c r="H9423" s="5">
        <v>550</v>
      </c>
      <c r="I9423" s="6">
        <v>528.37931032368999</v>
      </c>
      <c r="J9423" s="5">
        <v>4000</v>
      </c>
      <c r="K9423" s="6">
        <v>1.0409188801565015</v>
      </c>
    </row>
    <row r="9424" spans="1:11" hidden="1">
      <c r="A9424" s="4">
        <v>2026</v>
      </c>
      <c r="B9424">
        <v>35</v>
      </c>
      <c r="C9424" t="s">
        <v>54</v>
      </c>
      <c r="D9424" t="s">
        <v>11</v>
      </c>
      <c r="E9424" t="s">
        <v>65</v>
      </c>
      <c r="F9424" t="s">
        <v>69</v>
      </c>
      <c r="G9424" t="s">
        <v>166</v>
      </c>
      <c r="H9424" s="5">
        <v>1470</v>
      </c>
      <c r="I9424" s="6">
        <v>1162.4344827121247</v>
      </c>
      <c r="J9424" s="5">
        <v>8800</v>
      </c>
      <c r="K9424" s="6">
        <v>1.2645873998595443</v>
      </c>
    </row>
    <row r="9425" spans="1:11" hidden="1">
      <c r="A9425" s="4">
        <v>2026</v>
      </c>
      <c r="B9425">
        <v>35</v>
      </c>
      <c r="C9425" t="s">
        <v>54</v>
      </c>
      <c r="D9425" t="s">
        <v>11</v>
      </c>
      <c r="E9425" t="s">
        <v>14</v>
      </c>
      <c r="F9425" t="s">
        <v>70</v>
      </c>
      <c r="G9425" t="s">
        <v>167</v>
      </c>
      <c r="H9425" s="5">
        <v>1560</v>
      </c>
      <c r="I9425" s="6">
        <v>528.3915024419166</v>
      </c>
      <c r="J9425" s="5">
        <v>4000</v>
      </c>
      <c r="K9425" s="6">
        <v>2.952356335767309</v>
      </c>
    </row>
    <row r="9426" spans="1:11" hidden="1">
      <c r="A9426" s="4">
        <v>2026</v>
      </c>
      <c r="B9426">
        <v>35</v>
      </c>
      <c r="C9426" t="s">
        <v>54</v>
      </c>
      <c r="D9426" t="s">
        <v>11</v>
      </c>
      <c r="E9426" t="s">
        <v>14</v>
      </c>
      <c r="F9426" t="s">
        <v>67</v>
      </c>
      <c r="G9426" t="s">
        <v>168</v>
      </c>
      <c r="H9426" s="5">
        <v>6210</v>
      </c>
      <c r="I9426" s="6">
        <v>3910.1071427007282</v>
      </c>
      <c r="J9426" s="5">
        <v>29260</v>
      </c>
      <c r="K9426" s="6">
        <v>1.588191774128912</v>
      </c>
    </row>
    <row r="9427" spans="1:11" hidden="1">
      <c r="A9427" s="4">
        <v>2026</v>
      </c>
      <c r="B9427">
        <v>35</v>
      </c>
      <c r="C9427" t="s">
        <v>54</v>
      </c>
      <c r="D9427" t="s">
        <v>11</v>
      </c>
      <c r="E9427" t="s">
        <v>14</v>
      </c>
      <c r="F9427" t="s">
        <v>71</v>
      </c>
      <c r="G9427" t="s">
        <v>169</v>
      </c>
      <c r="H9427" s="5">
        <v>3025</v>
      </c>
      <c r="I9427" s="6">
        <v>1902.2142856381945</v>
      </c>
      <c r="J9427" s="5">
        <v>14400</v>
      </c>
      <c r="K9427" s="6">
        <v>1.5902519620627862</v>
      </c>
    </row>
    <row r="9428" spans="1:11" hidden="1">
      <c r="A9428" s="4">
        <v>2026</v>
      </c>
      <c r="B9428">
        <v>35</v>
      </c>
      <c r="C9428" t="s">
        <v>54</v>
      </c>
      <c r="D9428" t="s">
        <v>11</v>
      </c>
      <c r="E9428" t="s">
        <v>14</v>
      </c>
      <c r="F9428" t="s">
        <v>72</v>
      </c>
      <c r="G9428" t="s">
        <v>170</v>
      </c>
      <c r="H9428" s="5">
        <v>2010</v>
      </c>
      <c r="I9428" s="6">
        <v>1162.4642856677858</v>
      </c>
      <c r="J9428" s="5">
        <v>8800</v>
      </c>
      <c r="K9428" s="6">
        <v>1.7290853790362612</v>
      </c>
    </row>
    <row r="9429" spans="1:11" hidden="1">
      <c r="A9429" s="4">
        <v>2026</v>
      </c>
      <c r="B9429">
        <v>35</v>
      </c>
      <c r="C9429" t="s">
        <v>54</v>
      </c>
      <c r="D9429" t="s">
        <v>11</v>
      </c>
      <c r="E9429" t="s">
        <v>14</v>
      </c>
      <c r="F9429" t="s">
        <v>64</v>
      </c>
      <c r="G9429" t="s">
        <v>171</v>
      </c>
      <c r="H9429" s="5">
        <v>720</v>
      </c>
      <c r="I9429" s="6">
        <v>317.03571427303262</v>
      </c>
      <c r="J9429" s="5">
        <v>2400</v>
      </c>
      <c r="K9429" s="6">
        <v>2.2710375127640434</v>
      </c>
    </row>
    <row r="9430" spans="1:11" hidden="1">
      <c r="A9430" s="4">
        <v>2026</v>
      </c>
      <c r="B9430">
        <v>35</v>
      </c>
      <c r="C9430" t="s">
        <v>54</v>
      </c>
      <c r="D9430" t="s">
        <v>11</v>
      </c>
      <c r="E9430" t="s">
        <v>16</v>
      </c>
      <c r="F9430" t="s">
        <v>57</v>
      </c>
      <c r="G9430" t="s">
        <v>172</v>
      </c>
      <c r="H9430" s="5">
        <v>925</v>
      </c>
      <c r="I9430" s="6">
        <v>951.10714281875391</v>
      </c>
      <c r="J9430" s="5">
        <v>7200</v>
      </c>
      <c r="K9430" s="6">
        <v>0.97255078671643513</v>
      </c>
    </row>
    <row r="9431" spans="1:11" hidden="1">
      <c r="A9431" s="4">
        <v>2026</v>
      </c>
      <c r="B9431">
        <v>35</v>
      </c>
      <c r="C9431" t="s">
        <v>54</v>
      </c>
      <c r="D9431" t="s">
        <v>11</v>
      </c>
      <c r="E9431" t="s">
        <v>16</v>
      </c>
      <c r="F9431" t="s">
        <v>73</v>
      </c>
      <c r="G9431" t="s">
        <v>173</v>
      </c>
      <c r="H9431" s="5">
        <v>750</v>
      </c>
      <c r="I9431" s="6">
        <v>898.26785710660101</v>
      </c>
      <c r="J9431" s="5">
        <v>6800</v>
      </c>
      <c r="K9431" s="6">
        <v>0.8349402620459061</v>
      </c>
    </row>
    <row r="9432" spans="1:11" hidden="1">
      <c r="A9432" s="4">
        <v>2026</v>
      </c>
      <c r="B9432">
        <v>35</v>
      </c>
      <c r="C9432" t="s">
        <v>54</v>
      </c>
      <c r="D9432" t="s">
        <v>11</v>
      </c>
      <c r="E9432" t="s">
        <v>16</v>
      </c>
      <c r="F9432" t="s">
        <v>68</v>
      </c>
      <c r="G9432" t="s">
        <v>174</v>
      </c>
      <c r="H9432" s="5">
        <v>1350</v>
      </c>
      <c r="I9432" s="6">
        <v>1162.4642856673661</v>
      </c>
      <c r="J9432" s="5">
        <v>8800</v>
      </c>
      <c r="K9432" s="6">
        <v>1.1613260008456694</v>
      </c>
    </row>
    <row r="9433" spans="1:11" hidden="1">
      <c r="A9433" s="4">
        <v>2026</v>
      </c>
      <c r="B9433">
        <v>35</v>
      </c>
      <c r="C9433" t="s">
        <v>54</v>
      </c>
      <c r="D9433" t="s">
        <v>11</v>
      </c>
      <c r="E9433" t="s">
        <v>16</v>
      </c>
      <c r="F9433" t="s">
        <v>74</v>
      </c>
      <c r="G9433" t="s">
        <v>175</v>
      </c>
      <c r="H9433" s="5">
        <v>1920</v>
      </c>
      <c r="I9433" s="6">
        <v>686.91071425798896</v>
      </c>
      <c r="J9433" s="5">
        <v>5200</v>
      </c>
      <c r="K9433" s="6">
        <v>2.7951230926336796</v>
      </c>
    </row>
    <row r="9434" spans="1:11" hidden="1">
      <c r="A9434" s="4">
        <v>2026</v>
      </c>
      <c r="B9434">
        <v>35</v>
      </c>
      <c r="C9434" t="s">
        <v>54</v>
      </c>
      <c r="D9434" t="s">
        <v>11</v>
      </c>
      <c r="E9434" t="s">
        <v>75</v>
      </c>
      <c r="F9434" t="s">
        <v>76</v>
      </c>
      <c r="G9434" t="s">
        <v>176</v>
      </c>
      <c r="H9434" s="5">
        <v>650</v>
      </c>
      <c r="I9434" s="6">
        <v>845.428571394752</v>
      </c>
      <c r="J9434" s="5">
        <v>6400</v>
      </c>
      <c r="K9434" s="6">
        <v>0.7688408246336621</v>
      </c>
    </row>
    <row r="9435" spans="1:11" hidden="1">
      <c r="A9435" s="4">
        <v>2026</v>
      </c>
      <c r="B9435">
        <v>35</v>
      </c>
      <c r="C9435" t="s">
        <v>54</v>
      </c>
      <c r="D9435" t="s">
        <v>11</v>
      </c>
      <c r="E9435" t="s">
        <v>75</v>
      </c>
      <c r="F9435" t="s">
        <v>57</v>
      </c>
      <c r="G9435" t="s">
        <v>177</v>
      </c>
      <c r="H9435" s="5">
        <v>5450</v>
      </c>
      <c r="I9435" s="6">
        <v>3910.1071427007355</v>
      </c>
      <c r="J9435" s="5">
        <v>29600</v>
      </c>
      <c r="K9435" s="6">
        <v>1.3938236987121664</v>
      </c>
    </row>
    <row r="9436" spans="1:11" hidden="1">
      <c r="A9436" s="4">
        <v>2026</v>
      </c>
      <c r="B9436">
        <v>35</v>
      </c>
      <c r="C9436" t="s">
        <v>54</v>
      </c>
      <c r="D9436" t="s">
        <v>11</v>
      </c>
      <c r="E9436" t="s">
        <v>75</v>
      </c>
      <c r="F9436" t="s">
        <v>77</v>
      </c>
      <c r="G9436" t="s">
        <v>178</v>
      </c>
      <c r="H9436" s="5">
        <v>4825</v>
      </c>
      <c r="I9436" s="6">
        <v>4015.7857141250793</v>
      </c>
      <c r="J9436" s="5">
        <v>30400</v>
      </c>
      <c r="K9436" s="6">
        <v>1.2015083332331702</v>
      </c>
    </row>
    <row r="9437" spans="1:11" hidden="1">
      <c r="A9437" s="4">
        <v>2026</v>
      </c>
      <c r="B9437">
        <v>35</v>
      </c>
      <c r="C9437" t="s">
        <v>54</v>
      </c>
      <c r="D9437" t="s">
        <v>11</v>
      </c>
      <c r="E9437" t="s">
        <v>20</v>
      </c>
      <c r="F9437" t="s">
        <v>70</v>
      </c>
      <c r="G9437" t="s">
        <v>179</v>
      </c>
      <c r="H9437" s="5">
        <v>8490</v>
      </c>
      <c r="I9437" s="6">
        <v>2747.5751230427709</v>
      </c>
      <c r="J9437" s="5">
        <v>20800</v>
      </c>
      <c r="K9437" s="6">
        <v>3.0899974049109331</v>
      </c>
    </row>
    <row r="9438" spans="1:11" hidden="1">
      <c r="A9438" s="4">
        <v>2026</v>
      </c>
      <c r="B9438">
        <v>35</v>
      </c>
      <c r="C9438" t="s">
        <v>54</v>
      </c>
      <c r="D9438" t="s">
        <v>11</v>
      </c>
      <c r="E9438" t="s">
        <v>20</v>
      </c>
      <c r="F9438" t="s">
        <v>78</v>
      </c>
      <c r="G9438" t="s">
        <v>180</v>
      </c>
      <c r="H9438" s="5">
        <v>1650</v>
      </c>
      <c r="I9438" s="6">
        <v>1056.75862064738</v>
      </c>
      <c r="J9438" s="5">
        <v>9600</v>
      </c>
      <c r="K9438" s="6">
        <v>1.5613783202347522</v>
      </c>
    </row>
    <row r="9439" spans="1:11" hidden="1">
      <c r="A9439" s="4">
        <v>2026</v>
      </c>
      <c r="B9439">
        <v>35</v>
      </c>
      <c r="C9439" t="s">
        <v>54</v>
      </c>
      <c r="D9439" t="s">
        <v>11</v>
      </c>
      <c r="E9439" t="s">
        <v>20</v>
      </c>
      <c r="F9439" t="s">
        <v>63</v>
      </c>
      <c r="G9439" t="s">
        <v>181</v>
      </c>
      <c r="H9439" s="5">
        <v>0</v>
      </c>
      <c r="I9439" s="6">
        <v>369.86551722658481</v>
      </c>
      <c r="J9439" s="5">
        <v>3080</v>
      </c>
      <c r="K9439" s="6">
        <v>0</v>
      </c>
    </row>
    <row r="9440" spans="1:11" hidden="1">
      <c r="A9440" s="4">
        <v>2026</v>
      </c>
      <c r="B9440">
        <v>35</v>
      </c>
      <c r="C9440" t="s">
        <v>54</v>
      </c>
      <c r="D9440" t="s">
        <v>11</v>
      </c>
      <c r="E9440" t="s">
        <v>20</v>
      </c>
      <c r="F9440" t="s">
        <v>74</v>
      </c>
      <c r="G9440" t="s">
        <v>182</v>
      </c>
      <c r="H9440" s="5">
        <v>12090</v>
      </c>
      <c r="I9440" s="6">
        <v>3592.9793102011122</v>
      </c>
      <c r="J9440" s="5">
        <v>27820</v>
      </c>
      <c r="K9440" s="6">
        <v>3.3648955243561587</v>
      </c>
    </row>
    <row r="9441" spans="1:11" hidden="1">
      <c r="A9441" s="4">
        <v>2026</v>
      </c>
      <c r="B9441">
        <v>35</v>
      </c>
      <c r="C9441" t="s">
        <v>54</v>
      </c>
      <c r="D9441" t="s">
        <v>11</v>
      </c>
      <c r="E9441" t="s">
        <v>79</v>
      </c>
      <c r="F9441" t="s">
        <v>67</v>
      </c>
      <c r="G9441" t="s">
        <v>183</v>
      </c>
      <c r="H9441" s="5">
        <v>1920</v>
      </c>
      <c r="I9441" s="6">
        <v>1585.2222221588099</v>
      </c>
      <c r="J9441" s="5">
        <v>11490</v>
      </c>
      <c r="K9441" s="6">
        <v>1.2111866545658678</v>
      </c>
    </row>
    <row r="9442" spans="1:11" hidden="1">
      <c r="A9442" s="4">
        <v>2026</v>
      </c>
      <c r="B9442">
        <v>35</v>
      </c>
      <c r="C9442" t="s">
        <v>54</v>
      </c>
      <c r="D9442" t="s">
        <v>11</v>
      </c>
      <c r="E9442" t="s">
        <v>79</v>
      </c>
      <c r="F9442" t="s">
        <v>81</v>
      </c>
      <c r="G9442" t="s">
        <v>184</v>
      </c>
      <c r="H9442" s="5">
        <v>3060</v>
      </c>
      <c r="I9442" s="6">
        <v>2219.311111022334</v>
      </c>
      <c r="J9442" s="5">
        <v>16800</v>
      </c>
      <c r="K9442" s="6">
        <v>1.378806236224537</v>
      </c>
    </row>
    <row r="9443" spans="1:11" hidden="1">
      <c r="A9443" s="4">
        <v>2026</v>
      </c>
      <c r="B9443">
        <v>35</v>
      </c>
      <c r="C9443" t="s">
        <v>54</v>
      </c>
      <c r="D9443" t="s">
        <v>11</v>
      </c>
      <c r="E9443" t="s">
        <v>79</v>
      </c>
      <c r="F9443" t="s">
        <v>68</v>
      </c>
      <c r="G9443" t="s">
        <v>185</v>
      </c>
      <c r="H9443" s="5">
        <v>4700</v>
      </c>
      <c r="I9443" s="6">
        <v>2959.0814813631118</v>
      </c>
      <c r="J9443" s="5">
        <v>22400</v>
      </c>
      <c r="K9443" s="6">
        <v>1.5883307132978737</v>
      </c>
    </row>
    <row r="9444" spans="1:11" hidden="1">
      <c r="A9444" s="4">
        <v>2026</v>
      </c>
      <c r="B9444">
        <v>35</v>
      </c>
      <c r="C9444" t="s">
        <v>54</v>
      </c>
      <c r="D9444" t="s">
        <v>11</v>
      </c>
      <c r="E9444" t="s">
        <v>79</v>
      </c>
      <c r="F9444" t="s">
        <v>61</v>
      </c>
      <c r="G9444" t="s">
        <v>186</v>
      </c>
      <c r="H9444" s="5">
        <v>0</v>
      </c>
      <c r="I9444" s="6">
        <v>1796.5851851133182</v>
      </c>
      <c r="J9444" s="5">
        <v>13600</v>
      </c>
      <c r="K9444" s="6">
        <v>0</v>
      </c>
    </row>
    <row r="9445" spans="1:11" hidden="1">
      <c r="A9445" s="4">
        <v>2026</v>
      </c>
      <c r="B9445">
        <v>35</v>
      </c>
      <c r="C9445" t="s">
        <v>54</v>
      </c>
      <c r="D9445" t="s">
        <v>11</v>
      </c>
      <c r="E9445" t="s">
        <v>82</v>
      </c>
      <c r="F9445" t="s">
        <v>83</v>
      </c>
      <c r="G9445" t="s">
        <v>187</v>
      </c>
      <c r="H9445" s="5">
        <v>2575</v>
      </c>
      <c r="I9445" s="6">
        <v>1912.3542857142861</v>
      </c>
      <c r="J9445" s="5">
        <v>16320</v>
      </c>
      <c r="K9445" s="6">
        <v>1.3465078198301568</v>
      </c>
    </row>
    <row r="9446" spans="1:11" hidden="1">
      <c r="A9446" s="4">
        <v>2026</v>
      </c>
      <c r="B9446">
        <v>35</v>
      </c>
      <c r="C9446" t="s">
        <v>54</v>
      </c>
      <c r="D9446" t="s">
        <v>11</v>
      </c>
      <c r="E9446" t="s">
        <v>82</v>
      </c>
      <c r="F9446" t="s">
        <v>84</v>
      </c>
      <c r="G9446" t="s">
        <v>188</v>
      </c>
      <c r="H9446" s="5">
        <v>3570</v>
      </c>
      <c r="I9446" s="6">
        <v>2812.2857142428579</v>
      </c>
      <c r="J9446" s="5">
        <v>20000</v>
      </c>
      <c r="K9446" s="6">
        <v>1.2694300518328163</v>
      </c>
    </row>
    <row r="9447" spans="1:11" hidden="1">
      <c r="A9447" s="4">
        <v>2026</v>
      </c>
      <c r="B9447">
        <v>35</v>
      </c>
      <c r="C9447" t="s">
        <v>54</v>
      </c>
      <c r="D9447" t="s">
        <v>11</v>
      </c>
      <c r="E9447" t="s">
        <v>85</v>
      </c>
      <c r="F9447" t="s">
        <v>86</v>
      </c>
      <c r="G9447" t="s">
        <v>189</v>
      </c>
      <c r="H9447" s="5">
        <v>3450</v>
      </c>
      <c r="I9447" s="6">
        <v>1768.8376470588223</v>
      </c>
      <c r="J9447" s="5">
        <v>12800</v>
      </c>
      <c r="K9447" s="6">
        <v>1.9504333853005509</v>
      </c>
    </row>
    <row r="9448" spans="1:11" hidden="1">
      <c r="A9448" s="4">
        <v>2026</v>
      </c>
      <c r="B9448">
        <v>35</v>
      </c>
      <c r="C9448" t="s">
        <v>54</v>
      </c>
      <c r="D9448" t="s">
        <v>11</v>
      </c>
      <c r="E9448" t="s">
        <v>85</v>
      </c>
      <c r="F9448" t="s">
        <v>87</v>
      </c>
      <c r="G9448" t="s">
        <v>190</v>
      </c>
      <c r="H9448" s="5">
        <v>5120</v>
      </c>
      <c r="I9448" s="6">
        <v>2263.7999998868127</v>
      </c>
      <c r="J9448" s="5">
        <v>17920</v>
      </c>
      <c r="K9448" s="6">
        <v>2.2616838944500373</v>
      </c>
    </row>
    <row r="9449" spans="1:11" hidden="1">
      <c r="A9449" s="4">
        <v>2026</v>
      </c>
      <c r="B9449">
        <v>35</v>
      </c>
      <c r="C9449" t="s">
        <v>54</v>
      </c>
      <c r="D9449" t="s">
        <v>11</v>
      </c>
      <c r="E9449" t="s">
        <v>85</v>
      </c>
      <c r="F9449" t="s">
        <v>88</v>
      </c>
      <c r="G9449" t="s">
        <v>191</v>
      </c>
      <c r="H9449" s="5">
        <v>1020</v>
      </c>
      <c r="I9449" s="6">
        <v>994.97117647058747</v>
      </c>
      <c r="J9449" s="5">
        <v>7200</v>
      </c>
      <c r="K9449" s="6">
        <v>1.0251553252207728</v>
      </c>
    </row>
    <row r="9450" spans="1:11" hidden="1">
      <c r="A9450" s="4">
        <v>2026</v>
      </c>
      <c r="B9450">
        <v>35</v>
      </c>
      <c r="C9450" t="s">
        <v>54</v>
      </c>
      <c r="D9450" t="s">
        <v>11</v>
      </c>
      <c r="E9450" t="s">
        <v>85</v>
      </c>
      <c r="F9450" t="s">
        <v>61</v>
      </c>
      <c r="G9450" t="s">
        <v>192</v>
      </c>
      <c r="H9450" s="5">
        <v>1200</v>
      </c>
      <c r="I9450" s="6">
        <v>994.97117647058747</v>
      </c>
      <c r="J9450" s="5">
        <v>7920</v>
      </c>
      <c r="K9450" s="6">
        <v>1.2060650884950268</v>
      </c>
    </row>
    <row r="9451" spans="1:11" hidden="1">
      <c r="A9451" s="4">
        <v>2026</v>
      </c>
      <c r="B9451">
        <v>35</v>
      </c>
      <c r="C9451" t="s">
        <v>54</v>
      </c>
      <c r="D9451" t="s">
        <v>11</v>
      </c>
      <c r="E9451" t="s">
        <v>85</v>
      </c>
      <c r="F9451" t="s">
        <v>89</v>
      </c>
      <c r="G9451" t="s">
        <v>193</v>
      </c>
      <c r="H9451" s="5">
        <v>2775</v>
      </c>
      <c r="I9451" s="6">
        <v>2263.7999998868127</v>
      </c>
      <c r="J9451" s="5">
        <v>17920</v>
      </c>
      <c r="K9451" s="6">
        <v>1.2258150013864948</v>
      </c>
    </row>
    <row r="9452" spans="1:11" hidden="1">
      <c r="A9452" s="4">
        <v>2026</v>
      </c>
      <c r="B9452">
        <v>35</v>
      </c>
      <c r="C9452" t="s">
        <v>54</v>
      </c>
      <c r="D9452" t="s">
        <v>11</v>
      </c>
      <c r="E9452" t="s">
        <v>90</v>
      </c>
      <c r="F9452" t="s">
        <v>67</v>
      </c>
      <c r="G9452" t="s">
        <v>194</v>
      </c>
      <c r="H9452" s="5">
        <v>9570</v>
      </c>
      <c r="I9452" s="6">
        <v>6727.0499997982479</v>
      </c>
      <c r="J9452" s="5">
        <v>49210</v>
      </c>
      <c r="K9452" s="6">
        <v>1.4226146676904461</v>
      </c>
    </row>
    <row r="9453" spans="1:11" hidden="1">
      <c r="A9453" s="4">
        <v>2026</v>
      </c>
      <c r="B9453">
        <v>35</v>
      </c>
      <c r="C9453" t="s">
        <v>54</v>
      </c>
      <c r="D9453" t="s">
        <v>11</v>
      </c>
      <c r="E9453" t="s">
        <v>90</v>
      </c>
      <c r="F9453" t="s">
        <v>60</v>
      </c>
      <c r="G9453" t="s">
        <v>195</v>
      </c>
      <c r="H9453" s="5">
        <v>1080</v>
      </c>
      <c r="I9453" s="6">
        <v>994.95</v>
      </c>
      <c r="J9453" s="5">
        <v>7200</v>
      </c>
      <c r="K9453" s="6">
        <v>1.0854816824966078</v>
      </c>
    </row>
    <row r="9454" spans="1:11" hidden="1">
      <c r="A9454" s="4">
        <v>2026</v>
      </c>
      <c r="B9454">
        <v>35</v>
      </c>
      <c r="C9454" t="s">
        <v>54</v>
      </c>
      <c r="D9454" t="s">
        <v>11</v>
      </c>
      <c r="E9454" t="s">
        <v>91</v>
      </c>
      <c r="F9454" t="s">
        <v>92</v>
      </c>
      <c r="G9454" t="s">
        <v>196</v>
      </c>
      <c r="H9454" s="5">
        <v>1425</v>
      </c>
      <c r="I9454" s="6">
        <v>831.6</v>
      </c>
      <c r="J9454" s="5">
        <v>6300</v>
      </c>
      <c r="K9454" s="6">
        <v>1.7135642135642135</v>
      </c>
    </row>
    <row r="9455" spans="1:11" hidden="1">
      <c r="A9455" s="4">
        <v>2026</v>
      </c>
      <c r="B9455">
        <v>35</v>
      </c>
      <c r="C9455" t="s">
        <v>54</v>
      </c>
      <c r="D9455" t="s">
        <v>11</v>
      </c>
      <c r="E9455" t="s">
        <v>91</v>
      </c>
      <c r="F9455" t="s">
        <v>93</v>
      </c>
      <c r="G9455" t="s">
        <v>197</v>
      </c>
      <c r="H9455" s="5">
        <v>2300</v>
      </c>
      <c r="I9455" s="6">
        <v>1267.2</v>
      </c>
      <c r="J9455" s="5">
        <v>9600</v>
      </c>
      <c r="K9455" s="6">
        <v>1.8150252525252524</v>
      </c>
    </row>
    <row r="9456" spans="1:11" hidden="1">
      <c r="A9456" s="4">
        <v>2026</v>
      </c>
      <c r="B9456">
        <v>35</v>
      </c>
      <c r="C9456" t="s">
        <v>54</v>
      </c>
      <c r="D9456" t="s">
        <v>11</v>
      </c>
      <c r="E9456" t="s">
        <v>91</v>
      </c>
      <c r="F9456" t="s">
        <v>61</v>
      </c>
      <c r="G9456" t="s">
        <v>198</v>
      </c>
      <c r="H9456" s="5">
        <v>270</v>
      </c>
      <c r="I9456" s="6">
        <v>316.8</v>
      </c>
      <c r="J9456" s="5">
        <v>2400</v>
      </c>
      <c r="K9456" s="6">
        <v>0.85227272727272729</v>
      </c>
    </row>
    <row r="9457" spans="1:11" hidden="1">
      <c r="A9457" s="4">
        <v>2026</v>
      </c>
      <c r="B9457">
        <v>35</v>
      </c>
      <c r="C9457" t="s">
        <v>54</v>
      </c>
      <c r="D9457" t="s">
        <v>11</v>
      </c>
      <c r="E9457" t="s">
        <v>91</v>
      </c>
      <c r="F9457" t="s">
        <v>74</v>
      </c>
      <c r="G9457" t="s">
        <v>199</v>
      </c>
      <c r="H9457" s="5">
        <v>8700</v>
      </c>
      <c r="I9457" s="6">
        <v>3603.6</v>
      </c>
      <c r="J9457" s="5">
        <v>27296</v>
      </c>
      <c r="K9457" s="6">
        <v>2.4142524142524144</v>
      </c>
    </row>
    <row r="9458" spans="1:11" hidden="1">
      <c r="A9458" s="4">
        <v>2026</v>
      </c>
      <c r="B9458">
        <v>35</v>
      </c>
      <c r="C9458" t="s">
        <v>54</v>
      </c>
      <c r="D9458" t="s">
        <v>11</v>
      </c>
      <c r="E9458" t="s">
        <v>23</v>
      </c>
      <c r="F9458" t="s">
        <v>89</v>
      </c>
      <c r="G9458" t="s">
        <v>200</v>
      </c>
      <c r="H9458" s="5">
        <v>5300</v>
      </c>
      <c r="I9458" s="6">
        <v>3682.8</v>
      </c>
      <c r="J9458" s="5">
        <v>27900</v>
      </c>
      <c r="K9458" s="6">
        <v>1.4391224068643422</v>
      </c>
    </row>
    <row r="9459" spans="1:11" hidden="1">
      <c r="A9459" s="4">
        <v>2026</v>
      </c>
      <c r="B9459">
        <v>35</v>
      </c>
      <c r="C9459" t="s">
        <v>54</v>
      </c>
      <c r="D9459" t="s">
        <v>11</v>
      </c>
      <c r="E9459" t="s">
        <v>25</v>
      </c>
      <c r="F9459" t="s">
        <v>68</v>
      </c>
      <c r="G9459" t="s">
        <v>201</v>
      </c>
      <c r="H9459" s="5">
        <v>2775</v>
      </c>
      <c r="I9459" s="6">
        <v>2376</v>
      </c>
      <c r="J9459" s="5">
        <v>18000</v>
      </c>
      <c r="K9459" s="6">
        <v>1.167929292929293</v>
      </c>
    </row>
    <row r="9460" spans="1:11" hidden="1">
      <c r="A9460" s="4">
        <v>2026</v>
      </c>
      <c r="B9460">
        <v>35</v>
      </c>
      <c r="C9460" t="s">
        <v>54</v>
      </c>
      <c r="D9460" t="s">
        <v>11</v>
      </c>
      <c r="E9460" t="s">
        <v>27</v>
      </c>
      <c r="F9460" t="s">
        <v>94</v>
      </c>
      <c r="G9460" t="s">
        <v>202</v>
      </c>
      <c r="H9460" s="5">
        <v>660</v>
      </c>
      <c r="I9460" s="6">
        <v>950.4</v>
      </c>
      <c r="J9460" s="5">
        <v>7200</v>
      </c>
      <c r="K9460" s="6">
        <v>0.69444444444444442</v>
      </c>
    </row>
    <row r="9461" spans="1:11" hidden="1">
      <c r="A9461" s="4">
        <v>2026</v>
      </c>
      <c r="B9461">
        <v>35</v>
      </c>
      <c r="C9461" t="s">
        <v>54</v>
      </c>
      <c r="D9461" t="s">
        <v>11</v>
      </c>
      <c r="E9461" t="s">
        <v>27</v>
      </c>
      <c r="F9461" t="s">
        <v>95</v>
      </c>
      <c r="G9461" t="s">
        <v>203</v>
      </c>
      <c r="H9461" s="5">
        <v>2450</v>
      </c>
      <c r="I9461" s="6">
        <v>1346.4</v>
      </c>
      <c r="J9461" s="5">
        <v>10200</v>
      </c>
      <c r="K9461" s="6">
        <v>1.8196672608437312</v>
      </c>
    </row>
    <row r="9462" spans="1:11" hidden="1">
      <c r="A9462" s="4">
        <v>2026</v>
      </c>
      <c r="B9462">
        <v>35</v>
      </c>
      <c r="C9462" t="s">
        <v>54</v>
      </c>
      <c r="D9462" t="s">
        <v>11</v>
      </c>
      <c r="E9462" t="s">
        <v>30</v>
      </c>
      <c r="F9462" t="s">
        <v>81</v>
      </c>
      <c r="G9462" t="s">
        <v>204</v>
      </c>
      <c r="H9462" s="5">
        <v>3360</v>
      </c>
      <c r="I9462" s="6">
        <v>2851.2</v>
      </c>
      <c r="J9462" s="5">
        <v>21600</v>
      </c>
      <c r="K9462" s="6">
        <v>1.1784511784511784</v>
      </c>
    </row>
    <row r="9463" spans="1:11" hidden="1">
      <c r="A9463" s="4">
        <v>2026</v>
      </c>
      <c r="B9463">
        <v>35</v>
      </c>
      <c r="C9463" t="s">
        <v>54</v>
      </c>
      <c r="D9463" t="s">
        <v>11</v>
      </c>
      <c r="E9463" t="s">
        <v>30</v>
      </c>
      <c r="F9463" t="s">
        <v>73</v>
      </c>
      <c r="G9463" t="s">
        <v>205</v>
      </c>
      <c r="H9463" s="5">
        <v>1750</v>
      </c>
      <c r="I9463" s="6">
        <v>2138.4</v>
      </c>
      <c r="J9463" s="5">
        <v>16200</v>
      </c>
      <c r="K9463" s="6">
        <v>0.81836887392442947</v>
      </c>
    </row>
    <row r="9464" spans="1:11" hidden="1">
      <c r="A9464" s="4">
        <v>2026</v>
      </c>
      <c r="B9464">
        <v>35</v>
      </c>
      <c r="C9464" t="s">
        <v>54</v>
      </c>
      <c r="D9464" t="s">
        <v>11</v>
      </c>
      <c r="E9464" t="s">
        <v>32</v>
      </c>
      <c r="F9464" t="s">
        <v>86</v>
      </c>
      <c r="G9464" t="s">
        <v>206</v>
      </c>
      <c r="H9464" s="5">
        <v>1425</v>
      </c>
      <c r="I9464" s="6">
        <v>963.6</v>
      </c>
      <c r="J9464" s="5">
        <v>7570</v>
      </c>
      <c r="K9464" s="6">
        <v>1.4788293897882938</v>
      </c>
    </row>
    <row r="9465" spans="1:11" hidden="1">
      <c r="A9465" s="4">
        <v>2026</v>
      </c>
      <c r="B9465">
        <v>35</v>
      </c>
      <c r="C9465" t="s">
        <v>54</v>
      </c>
      <c r="D9465" t="s">
        <v>11</v>
      </c>
      <c r="E9465" t="s">
        <v>35</v>
      </c>
      <c r="F9465" t="s">
        <v>86</v>
      </c>
      <c r="G9465" t="s">
        <v>207</v>
      </c>
      <c r="H9465" s="5">
        <v>4575</v>
      </c>
      <c r="I9465" s="6">
        <v>3168</v>
      </c>
      <c r="J9465" s="5">
        <v>24000</v>
      </c>
      <c r="K9465" s="6">
        <v>1.4441287878787878</v>
      </c>
    </row>
    <row r="9466" spans="1:11" hidden="1">
      <c r="A9466" s="4">
        <v>2026</v>
      </c>
      <c r="B9466">
        <v>35</v>
      </c>
      <c r="C9466" t="s">
        <v>54</v>
      </c>
      <c r="D9466" t="s">
        <v>11</v>
      </c>
      <c r="E9466" t="s">
        <v>35</v>
      </c>
      <c r="F9466" t="s">
        <v>96</v>
      </c>
      <c r="G9466" t="s">
        <v>208</v>
      </c>
      <c r="H9466" s="5">
        <v>1980</v>
      </c>
      <c r="I9466" s="6">
        <v>1188</v>
      </c>
      <c r="J9466" s="5">
        <v>9000</v>
      </c>
      <c r="K9466" s="6">
        <v>1.6666666666666667</v>
      </c>
    </row>
    <row r="9467" spans="1:11" hidden="1">
      <c r="A9467" s="4">
        <v>2026</v>
      </c>
      <c r="B9467">
        <v>35</v>
      </c>
      <c r="C9467" t="s">
        <v>54</v>
      </c>
      <c r="D9467" t="s">
        <v>11</v>
      </c>
      <c r="E9467" t="s">
        <v>36</v>
      </c>
      <c r="F9467" t="s">
        <v>86</v>
      </c>
      <c r="G9467" t="s">
        <v>209</v>
      </c>
      <c r="H9467" s="5">
        <v>4500</v>
      </c>
      <c r="I9467" s="6">
        <v>2732.4</v>
      </c>
      <c r="J9467" s="5">
        <v>20700</v>
      </c>
      <c r="K9467" s="6">
        <v>1.6469038208168643</v>
      </c>
    </row>
    <row r="9468" spans="1:11" hidden="1">
      <c r="A9468" s="4">
        <v>2026</v>
      </c>
      <c r="B9468">
        <v>35</v>
      </c>
      <c r="C9468" t="s">
        <v>54</v>
      </c>
      <c r="D9468" t="s">
        <v>11</v>
      </c>
      <c r="E9468" t="s">
        <v>36</v>
      </c>
      <c r="F9468" t="s">
        <v>97</v>
      </c>
      <c r="G9468" t="s">
        <v>210</v>
      </c>
      <c r="H9468" s="5">
        <v>540</v>
      </c>
      <c r="I9468" s="6">
        <v>673.2</v>
      </c>
      <c r="J9468" s="5">
        <v>5100</v>
      </c>
      <c r="K9468" s="6">
        <v>0.80213903743315507</v>
      </c>
    </row>
    <row r="9469" spans="1:11" hidden="1">
      <c r="A9469" s="4">
        <v>2026</v>
      </c>
      <c r="B9469">
        <v>35</v>
      </c>
      <c r="C9469" t="s">
        <v>54</v>
      </c>
      <c r="D9469" t="s">
        <v>11</v>
      </c>
      <c r="E9469" t="s">
        <v>38</v>
      </c>
      <c r="F9469" t="s">
        <v>98</v>
      </c>
      <c r="G9469" t="s">
        <v>211</v>
      </c>
      <c r="H9469" s="5">
        <v>2075</v>
      </c>
      <c r="I9469" s="6">
        <v>1100.4749999999999</v>
      </c>
      <c r="J9469" s="5">
        <v>8000</v>
      </c>
      <c r="K9469" s="6">
        <v>1.8855494218405691</v>
      </c>
    </row>
    <row r="9470" spans="1:11" hidden="1">
      <c r="A9470" s="4">
        <v>2026</v>
      </c>
      <c r="B9470">
        <v>35</v>
      </c>
      <c r="C9470" t="s">
        <v>54</v>
      </c>
      <c r="D9470" t="s">
        <v>11</v>
      </c>
      <c r="E9470" t="s">
        <v>43</v>
      </c>
      <c r="F9470" t="s">
        <v>99</v>
      </c>
      <c r="G9470" t="s">
        <v>212</v>
      </c>
      <c r="H9470" s="5">
        <v>1875</v>
      </c>
      <c r="I9470" s="6">
        <v>1287</v>
      </c>
      <c r="J9470" s="5">
        <v>9400</v>
      </c>
      <c r="K9470" s="6">
        <v>1.4568764568764569</v>
      </c>
    </row>
    <row r="9471" spans="1:11" hidden="1">
      <c r="A9471" s="4">
        <v>2026</v>
      </c>
      <c r="B9471">
        <v>35</v>
      </c>
      <c r="C9471" t="s">
        <v>54</v>
      </c>
      <c r="D9471" t="s">
        <v>11</v>
      </c>
      <c r="E9471" t="s">
        <v>100</v>
      </c>
      <c r="F9471" t="s">
        <v>70</v>
      </c>
      <c r="G9471" t="s">
        <v>213</v>
      </c>
      <c r="H9471" s="5">
        <v>8250</v>
      </c>
      <c r="I9471" s="6">
        <v>2641.14</v>
      </c>
      <c r="J9471" s="5">
        <v>19200</v>
      </c>
      <c r="K9471" s="6">
        <v>3.1236511506394966</v>
      </c>
    </row>
    <row r="9472" spans="1:11" hidden="1">
      <c r="A9472" s="4">
        <v>2026</v>
      </c>
      <c r="B9472">
        <v>35</v>
      </c>
      <c r="C9472" t="s">
        <v>54</v>
      </c>
      <c r="D9472" t="s">
        <v>11</v>
      </c>
      <c r="E9472" t="s">
        <v>100</v>
      </c>
      <c r="F9472" t="s">
        <v>101</v>
      </c>
      <c r="G9472" t="s">
        <v>214</v>
      </c>
      <c r="H9472" s="5">
        <v>4410</v>
      </c>
      <c r="I9472" s="6">
        <v>2641.14</v>
      </c>
      <c r="J9472" s="5">
        <v>19200</v>
      </c>
      <c r="K9472" s="6">
        <v>1.669733524160022</v>
      </c>
    </row>
    <row r="9473" spans="1:11" hidden="1">
      <c r="A9473" s="4">
        <v>2026</v>
      </c>
      <c r="B9473">
        <v>35</v>
      </c>
      <c r="C9473" t="s">
        <v>54</v>
      </c>
      <c r="D9473" t="s">
        <v>11</v>
      </c>
      <c r="E9473" t="s">
        <v>102</v>
      </c>
      <c r="F9473" t="s">
        <v>70</v>
      </c>
      <c r="G9473" t="s">
        <v>215</v>
      </c>
      <c r="H9473" s="5">
        <v>4410</v>
      </c>
      <c r="I9473" s="6">
        <v>1430.6174906250001</v>
      </c>
      <c r="J9473" s="5">
        <v>10400</v>
      </c>
      <c r="K9473" s="6">
        <v>3.0825849878805718</v>
      </c>
    </row>
    <row r="9474" spans="1:11" hidden="1">
      <c r="A9474" s="4">
        <v>2026</v>
      </c>
      <c r="B9474">
        <v>35</v>
      </c>
      <c r="C9474" t="s">
        <v>54</v>
      </c>
      <c r="D9474" t="s">
        <v>11</v>
      </c>
      <c r="E9474" t="s">
        <v>102</v>
      </c>
      <c r="F9474" t="s">
        <v>64</v>
      </c>
      <c r="G9474" t="s">
        <v>216</v>
      </c>
      <c r="H9474" s="5">
        <v>2370</v>
      </c>
      <c r="I9474" s="6">
        <v>1430.6175000000001</v>
      </c>
      <c r="J9474" s="5">
        <v>10400</v>
      </c>
      <c r="K9474" s="6">
        <v>1.65662729555594</v>
      </c>
    </row>
    <row r="9475" spans="1:11" hidden="1">
      <c r="A9475" s="4">
        <v>2026</v>
      </c>
      <c r="B9475">
        <v>35</v>
      </c>
      <c r="C9475" t="s">
        <v>54</v>
      </c>
      <c r="D9475" t="s">
        <v>11</v>
      </c>
      <c r="E9475" t="s">
        <v>102</v>
      </c>
      <c r="F9475" t="s">
        <v>97</v>
      </c>
      <c r="G9475" t="s">
        <v>217</v>
      </c>
      <c r="H9475" s="5">
        <v>4590</v>
      </c>
      <c r="I9475" s="6">
        <v>2861.2350000000001</v>
      </c>
      <c r="J9475" s="5">
        <v>20800</v>
      </c>
      <c r="K9475" s="6">
        <v>1.6042023811396127</v>
      </c>
    </row>
    <row r="9476" spans="1:11" hidden="1">
      <c r="A9476" s="4">
        <v>2026</v>
      </c>
      <c r="B9476">
        <v>35</v>
      </c>
      <c r="C9476" t="s">
        <v>54</v>
      </c>
      <c r="D9476" t="s">
        <v>11</v>
      </c>
      <c r="E9476" t="s">
        <v>103</v>
      </c>
      <c r="F9476" t="s">
        <v>104</v>
      </c>
      <c r="G9476" t="s">
        <v>218</v>
      </c>
      <c r="H9476" s="5">
        <v>3300</v>
      </c>
      <c r="I9476" s="6">
        <v>3071.9505625000002</v>
      </c>
      <c r="J9476" s="5">
        <v>22400</v>
      </c>
      <c r="K9476" s="6">
        <v>1.0742360376120148</v>
      </c>
    </row>
    <row r="9477" spans="1:11" hidden="1">
      <c r="A9477" s="4">
        <v>2026</v>
      </c>
      <c r="B9477">
        <v>35</v>
      </c>
      <c r="C9477" t="s">
        <v>54</v>
      </c>
      <c r="D9477" t="s">
        <v>11</v>
      </c>
      <c r="E9477" t="s">
        <v>45</v>
      </c>
      <c r="F9477" t="s">
        <v>105</v>
      </c>
      <c r="G9477" t="s">
        <v>219</v>
      </c>
      <c r="H9477" s="5">
        <v>2700</v>
      </c>
      <c r="I9477" s="6">
        <v>1097.125</v>
      </c>
      <c r="J9477" s="5">
        <v>8000</v>
      </c>
      <c r="K9477" s="6">
        <v>2.4609775549732253</v>
      </c>
    </row>
    <row r="9478" spans="1:11" hidden="1">
      <c r="A9478" s="4">
        <v>2026</v>
      </c>
      <c r="B9478">
        <v>35</v>
      </c>
      <c r="C9478" t="s">
        <v>54</v>
      </c>
      <c r="D9478" t="s">
        <v>11</v>
      </c>
      <c r="E9478" t="s">
        <v>45</v>
      </c>
      <c r="F9478" t="s">
        <v>106</v>
      </c>
      <c r="G9478" t="s">
        <v>220</v>
      </c>
      <c r="H9478" s="5">
        <v>3425</v>
      </c>
      <c r="I9478" s="6">
        <v>2852.5250000000001</v>
      </c>
      <c r="J9478" s="5">
        <v>20800</v>
      </c>
      <c r="K9478" s="6">
        <v>1.200690616208447</v>
      </c>
    </row>
    <row r="9479" spans="1:11" hidden="1">
      <c r="A9479" s="4">
        <v>2026</v>
      </c>
      <c r="B9479">
        <v>35</v>
      </c>
      <c r="C9479" t="s">
        <v>54</v>
      </c>
      <c r="D9479" t="s">
        <v>11</v>
      </c>
      <c r="E9479" t="s">
        <v>107</v>
      </c>
      <c r="F9479" t="s">
        <v>108</v>
      </c>
      <c r="G9479" t="s">
        <v>221</v>
      </c>
      <c r="H9479" s="5">
        <v>5550</v>
      </c>
      <c r="I9479" s="6">
        <v>2633.1</v>
      </c>
      <c r="J9479" s="5">
        <v>19200</v>
      </c>
      <c r="K9479" s="6">
        <v>2.1077817021761422</v>
      </c>
    </row>
    <row r="9480" spans="1:11" hidden="1">
      <c r="A9480" s="4">
        <v>2026</v>
      </c>
      <c r="B9480">
        <v>35</v>
      </c>
      <c r="C9480" t="s">
        <v>54</v>
      </c>
      <c r="D9480" t="s">
        <v>11</v>
      </c>
      <c r="E9480" t="s">
        <v>107</v>
      </c>
      <c r="F9480" t="s">
        <v>109</v>
      </c>
      <c r="G9480" t="s">
        <v>222</v>
      </c>
      <c r="H9480" s="5">
        <v>6360</v>
      </c>
      <c r="I9480" s="6">
        <v>2633.1</v>
      </c>
      <c r="J9480" s="5">
        <v>19200</v>
      </c>
      <c r="K9480" s="6">
        <v>2.4154038965477955</v>
      </c>
    </row>
    <row r="9481" spans="1:11" hidden="1">
      <c r="A9481" s="4">
        <v>2026</v>
      </c>
      <c r="B9481">
        <v>35</v>
      </c>
      <c r="C9481" t="s">
        <v>54</v>
      </c>
      <c r="D9481" t="s">
        <v>11</v>
      </c>
      <c r="E9481" t="s">
        <v>110</v>
      </c>
      <c r="F9481" t="s">
        <v>70</v>
      </c>
      <c r="G9481" t="s">
        <v>223</v>
      </c>
      <c r="H9481" s="5">
        <v>6420</v>
      </c>
      <c r="I9481" s="6">
        <v>2852.5250000000001</v>
      </c>
      <c r="J9481" s="5">
        <v>20800</v>
      </c>
      <c r="K9481" s="6">
        <v>2.250637593009702</v>
      </c>
    </row>
    <row r="9482" spans="1:11" hidden="1">
      <c r="A9482" s="4">
        <v>2026</v>
      </c>
      <c r="B9482">
        <v>35</v>
      </c>
      <c r="C9482" t="s">
        <v>54</v>
      </c>
      <c r="D9482" t="s">
        <v>11</v>
      </c>
      <c r="E9482" t="s">
        <v>110</v>
      </c>
      <c r="F9482" t="s">
        <v>67</v>
      </c>
      <c r="G9482" t="s">
        <v>224</v>
      </c>
      <c r="H9482" s="5">
        <v>6240</v>
      </c>
      <c r="I9482" s="6">
        <v>2852.5250000000001</v>
      </c>
      <c r="J9482" s="5">
        <v>20800</v>
      </c>
      <c r="K9482" s="6">
        <v>2.1875356044206447</v>
      </c>
    </row>
    <row r="9483" spans="1:11" hidden="1">
      <c r="A9483" s="4">
        <v>2026</v>
      </c>
      <c r="B9483">
        <v>35</v>
      </c>
      <c r="C9483" t="s">
        <v>54</v>
      </c>
      <c r="D9483" t="s">
        <v>11</v>
      </c>
      <c r="E9483" t="s">
        <v>111</v>
      </c>
      <c r="F9483" t="s">
        <v>112</v>
      </c>
      <c r="G9483" t="s">
        <v>225</v>
      </c>
      <c r="H9483" s="5">
        <v>2725</v>
      </c>
      <c r="I9483" s="6">
        <v>3071.95</v>
      </c>
      <c r="J9483" s="5">
        <v>22400</v>
      </c>
      <c r="K9483" s="6">
        <v>0.88705870863783598</v>
      </c>
    </row>
    <row r="9484" spans="1:11" hidden="1">
      <c r="A9484" s="4">
        <v>2026</v>
      </c>
      <c r="B9484">
        <v>35</v>
      </c>
      <c r="C9484" t="s">
        <v>54</v>
      </c>
      <c r="D9484" t="s">
        <v>11</v>
      </c>
      <c r="E9484" t="s">
        <v>47</v>
      </c>
      <c r="F9484" t="s">
        <v>57</v>
      </c>
      <c r="G9484" t="s">
        <v>226</v>
      </c>
      <c r="H9484" s="5">
        <v>1525</v>
      </c>
      <c r="I9484" s="6">
        <v>1645.6875</v>
      </c>
      <c r="J9484" s="5">
        <v>12000</v>
      </c>
      <c r="K9484" s="6">
        <v>0.9266643879837454</v>
      </c>
    </row>
    <row r="9485" spans="1:11" hidden="1">
      <c r="A9485" s="4">
        <v>2026</v>
      </c>
      <c r="B9485">
        <v>36</v>
      </c>
      <c r="C9485" t="s">
        <v>10</v>
      </c>
      <c r="D9485" t="s">
        <v>11</v>
      </c>
      <c r="E9485" t="s">
        <v>12</v>
      </c>
      <c r="F9485" t="s">
        <v>13</v>
      </c>
      <c r="G9485" t="str">
        <f t="shared" ref="G9485:G9548" si="398">+E9485&amp;F9485</f>
        <v>002SOMERSET</v>
      </c>
      <c r="H9485" s="5">
        <v>8140</v>
      </c>
      <c r="I9485" s="6">
        <v>4121.4642855494085</v>
      </c>
      <c r="J9485" s="5">
        <v>31200</v>
      </c>
      <c r="K9485" s="6">
        <f t="shared" ref="K9485:K9519" si="399">+H9485/I9485</f>
        <v>1.9750262130234386</v>
      </c>
    </row>
    <row r="9486" spans="1:11" hidden="1">
      <c r="A9486" s="4">
        <v>2026</v>
      </c>
      <c r="B9486">
        <v>36</v>
      </c>
      <c r="C9486" t="s">
        <v>10</v>
      </c>
      <c r="D9486" t="s">
        <v>11</v>
      </c>
      <c r="E9486" t="s">
        <v>14</v>
      </c>
      <c r="F9486" t="s">
        <v>15</v>
      </c>
      <c r="G9486" t="str">
        <f t="shared" si="398"/>
        <v>004BELLINA</v>
      </c>
      <c r="H9486" s="5">
        <v>1605</v>
      </c>
      <c r="I9486" s="6">
        <v>1056.7857142434418</v>
      </c>
      <c r="J9486" s="5">
        <v>8000</v>
      </c>
      <c r="K9486" s="6">
        <f t="shared" si="399"/>
        <v>1.5187563366609544</v>
      </c>
    </row>
    <row r="9487" spans="1:11" hidden="1">
      <c r="A9487" s="4">
        <v>2026</v>
      </c>
      <c r="B9487">
        <v>36</v>
      </c>
      <c r="C9487" t="s">
        <v>10</v>
      </c>
      <c r="D9487" t="s">
        <v>11</v>
      </c>
      <c r="E9487" t="s">
        <v>16</v>
      </c>
      <c r="F9487" t="s">
        <v>17</v>
      </c>
      <c r="G9487" t="str">
        <f t="shared" si="398"/>
        <v>005ELBA</v>
      </c>
      <c r="H9487" s="5">
        <v>7290</v>
      </c>
      <c r="I9487" s="6">
        <v>2641.9642856076484</v>
      </c>
      <c r="J9487" s="5">
        <v>19996</v>
      </c>
      <c r="K9487" s="6">
        <f t="shared" si="399"/>
        <v>2.7593105780093121</v>
      </c>
    </row>
    <row r="9488" spans="1:11" hidden="1">
      <c r="A9488" s="4">
        <v>2026</v>
      </c>
      <c r="B9488">
        <v>36</v>
      </c>
      <c r="C9488" t="s">
        <v>10</v>
      </c>
      <c r="D9488" t="s">
        <v>11</v>
      </c>
      <c r="E9488" t="s">
        <v>16</v>
      </c>
      <c r="F9488" t="s">
        <v>18</v>
      </c>
      <c r="G9488" t="str">
        <f t="shared" si="398"/>
        <v>005HOT BUBBLES</v>
      </c>
      <c r="H9488" s="5">
        <v>1180</v>
      </c>
      <c r="I9488" s="6">
        <v>528.39285712153003</v>
      </c>
      <c r="J9488" s="5">
        <v>4000</v>
      </c>
      <c r="K9488" s="6">
        <f t="shared" si="399"/>
        <v>2.2331868875521166</v>
      </c>
    </row>
    <row r="9489" spans="1:11" hidden="1">
      <c r="A9489" s="4">
        <v>2026</v>
      </c>
      <c r="B9489">
        <v>36</v>
      </c>
      <c r="C9489" t="s">
        <v>10</v>
      </c>
      <c r="D9489" t="s">
        <v>11</v>
      </c>
      <c r="E9489" t="s">
        <v>16</v>
      </c>
      <c r="F9489" t="s">
        <v>19</v>
      </c>
      <c r="G9489" t="str">
        <f t="shared" si="398"/>
        <v>005SUSPIRO</v>
      </c>
      <c r="H9489" s="5">
        <v>3300</v>
      </c>
      <c r="I9489" s="6">
        <v>1902.2142856375078</v>
      </c>
      <c r="J9489" s="5">
        <v>14400</v>
      </c>
      <c r="K9489" s="6">
        <f t="shared" si="399"/>
        <v>1.7348203222509384</v>
      </c>
    </row>
    <row r="9490" spans="1:11" hidden="1">
      <c r="A9490" s="4">
        <v>2026</v>
      </c>
      <c r="B9490">
        <v>36</v>
      </c>
      <c r="C9490" t="s">
        <v>10</v>
      </c>
      <c r="D9490" t="s">
        <v>11</v>
      </c>
      <c r="E9490" t="s">
        <v>20</v>
      </c>
      <c r="F9490" t="s">
        <v>21</v>
      </c>
      <c r="G9490" t="str">
        <f t="shared" si="398"/>
        <v>007SNOW BUBBLES</v>
      </c>
      <c r="H9490" s="5">
        <v>1140</v>
      </c>
      <c r="I9490" s="6">
        <v>634.05652706821195</v>
      </c>
      <c r="J9490" s="5">
        <v>4800</v>
      </c>
      <c r="K9490" s="6">
        <f t="shared" si="399"/>
        <v>1.7979469516246436</v>
      </c>
    </row>
    <row r="9491" spans="1:11" hidden="1">
      <c r="A9491" s="4">
        <v>2026</v>
      </c>
      <c r="B9491">
        <v>36</v>
      </c>
      <c r="C9491" t="s">
        <v>10</v>
      </c>
      <c r="D9491" t="s">
        <v>11</v>
      </c>
      <c r="E9491" t="s">
        <v>22</v>
      </c>
      <c r="F9491" t="s">
        <v>18</v>
      </c>
      <c r="G9491" t="str">
        <f t="shared" si="398"/>
        <v>009HOT BUBBLES</v>
      </c>
      <c r="H9491" s="5">
        <v>10540</v>
      </c>
      <c r="I9491" s="6">
        <v>4487.9999999102474</v>
      </c>
      <c r="J9491" s="5">
        <v>31740</v>
      </c>
      <c r="K9491" s="6">
        <f t="shared" si="399"/>
        <v>2.3484848485318142</v>
      </c>
    </row>
    <row r="9492" spans="1:11" hidden="1">
      <c r="A9492" s="4">
        <v>2026</v>
      </c>
      <c r="B9492">
        <v>36</v>
      </c>
      <c r="C9492" t="s">
        <v>10</v>
      </c>
      <c r="D9492" t="s">
        <v>11</v>
      </c>
      <c r="E9492" t="s">
        <v>23</v>
      </c>
      <c r="F9492" t="s">
        <v>24</v>
      </c>
      <c r="G9492" t="str">
        <f t="shared" si="398"/>
        <v>014FRUITY BUBBLES</v>
      </c>
      <c r="H9492" s="5">
        <v>2775</v>
      </c>
      <c r="I9492" s="6">
        <v>1702.8</v>
      </c>
      <c r="J9492" s="5">
        <v>12900</v>
      </c>
      <c r="K9492" s="6">
        <f t="shared" si="399"/>
        <v>1.6296687808315715</v>
      </c>
    </row>
    <row r="9493" spans="1:11" hidden="1">
      <c r="A9493" s="4">
        <v>2026</v>
      </c>
      <c r="B9493">
        <v>36</v>
      </c>
      <c r="C9493" t="s">
        <v>10</v>
      </c>
      <c r="D9493" t="s">
        <v>11</v>
      </c>
      <c r="E9493" t="s">
        <v>25</v>
      </c>
      <c r="F9493" t="s">
        <v>26</v>
      </c>
      <c r="G9493" t="str">
        <f t="shared" si="398"/>
        <v>015FELLINI</v>
      </c>
      <c r="H9493" s="5">
        <v>5000</v>
      </c>
      <c r="I9493" s="6">
        <v>3009.6</v>
      </c>
      <c r="J9493" s="5">
        <v>22800</v>
      </c>
      <c r="K9493" s="6">
        <f t="shared" si="399"/>
        <v>1.661350345560872</v>
      </c>
    </row>
    <row r="9494" spans="1:11" hidden="1">
      <c r="A9494" s="4">
        <v>2026</v>
      </c>
      <c r="B9494">
        <v>36</v>
      </c>
      <c r="C9494" t="s">
        <v>10</v>
      </c>
      <c r="D9494" t="s">
        <v>11</v>
      </c>
      <c r="E9494" t="s">
        <v>27</v>
      </c>
      <c r="F9494" t="s">
        <v>28</v>
      </c>
      <c r="G9494" t="str">
        <f t="shared" si="398"/>
        <v>016GOOD PEACH</v>
      </c>
      <c r="H9494" s="5">
        <v>3840</v>
      </c>
      <c r="I9494" s="6">
        <v>1386</v>
      </c>
      <c r="J9494" s="5">
        <v>10500</v>
      </c>
      <c r="K9494" s="6">
        <f t="shared" si="399"/>
        <v>2.7705627705627704</v>
      </c>
    </row>
    <row r="9495" spans="1:11" hidden="1">
      <c r="A9495" s="4">
        <v>2026</v>
      </c>
      <c r="B9495">
        <v>36</v>
      </c>
      <c r="C9495" t="s">
        <v>10</v>
      </c>
      <c r="D9495" t="s">
        <v>11</v>
      </c>
      <c r="E9495" t="s">
        <v>27</v>
      </c>
      <c r="F9495" t="s">
        <v>29</v>
      </c>
      <c r="G9495" t="str">
        <f t="shared" si="398"/>
        <v>016GOOD YELLOW</v>
      </c>
      <c r="H9495" s="5">
        <v>3660</v>
      </c>
      <c r="I9495" s="6">
        <v>1386</v>
      </c>
      <c r="J9495" s="5">
        <v>10500</v>
      </c>
      <c r="K9495" s="6">
        <f t="shared" si="399"/>
        <v>2.6406926406926408</v>
      </c>
    </row>
    <row r="9496" spans="1:11" hidden="1">
      <c r="A9496" s="4">
        <v>2026</v>
      </c>
      <c r="B9496">
        <v>36</v>
      </c>
      <c r="C9496" t="s">
        <v>10</v>
      </c>
      <c r="D9496" t="s">
        <v>11</v>
      </c>
      <c r="E9496" t="s">
        <v>30</v>
      </c>
      <c r="F9496" t="s">
        <v>31</v>
      </c>
      <c r="G9496" t="str">
        <f t="shared" si="398"/>
        <v>017ORANGE STAR</v>
      </c>
      <c r="H9496" s="5">
        <v>1075</v>
      </c>
      <c r="I9496" s="6">
        <v>1029.5999999999999</v>
      </c>
      <c r="J9496" s="5">
        <v>7800</v>
      </c>
      <c r="K9496" s="6">
        <f t="shared" si="399"/>
        <v>1.0440947940947942</v>
      </c>
    </row>
    <row r="9497" spans="1:11" hidden="1">
      <c r="A9497" s="4">
        <v>2026</v>
      </c>
      <c r="B9497">
        <v>36</v>
      </c>
      <c r="C9497" t="s">
        <v>10</v>
      </c>
      <c r="D9497" t="s">
        <v>11</v>
      </c>
      <c r="E9497" t="s">
        <v>32</v>
      </c>
      <c r="F9497" t="s">
        <v>33</v>
      </c>
      <c r="G9497" t="str">
        <f t="shared" si="398"/>
        <v>018COSMO</v>
      </c>
      <c r="H9497" s="5">
        <v>3375</v>
      </c>
      <c r="I9497" s="6">
        <v>2653.2</v>
      </c>
      <c r="J9497" s="5">
        <v>20100</v>
      </c>
      <c r="K9497" s="6">
        <f t="shared" si="399"/>
        <v>1.2720488466757125</v>
      </c>
    </row>
    <row r="9498" spans="1:11" hidden="1">
      <c r="A9498" s="4">
        <v>2026</v>
      </c>
      <c r="B9498">
        <v>36</v>
      </c>
      <c r="C9498" t="s">
        <v>10</v>
      </c>
      <c r="D9498" t="s">
        <v>11</v>
      </c>
      <c r="E9498" t="s">
        <v>32</v>
      </c>
      <c r="F9498" t="s">
        <v>34</v>
      </c>
      <c r="G9498" t="str">
        <f t="shared" si="398"/>
        <v>018RUBICON</v>
      </c>
      <c r="H9498" s="5">
        <v>4680</v>
      </c>
      <c r="I9498" s="6">
        <v>1768.8</v>
      </c>
      <c r="J9498" s="5">
        <v>13400</v>
      </c>
      <c r="K9498" s="6">
        <f t="shared" si="399"/>
        <v>2.6458616010854819</v>
      </c>
    </row>
    <row r="9499" spans="1:11" hidden="1">
      <c r="A9499" s="4">
        <v>2026</v>
      </c>
      <c r="B9499">
        <v>36</v>
      </c>
      <c r="C9499" t="s">
        <v>10</v>
      </c>
      <c r="D9499" t="s">
        <v>11</v>
      </c>
      <c r="E9499" t="s">
        <v>35</v>
      </c>
      <c r="F9499" t="s">
        <v>15</v>
      </c>
      <c r="G9499" t="str">
        <f t="shared" si="398"/>
        <v>019BELLINA</v>
      </c>
      <c r="H9499" s="5">
        <v>1125</v>
      </c>
      <c r="I9499" s="6">
        <v>1029.5999999999999</v>
      </c>
      <c r="J9499" s="5">
        <v>7800</v>
      </c>
      <c r="K9499" s="6">
        <f t="shared" si="399"/>
        <v>1.0926573426573427</v>
      </c>
    </row>
    <row r="9500" spans="1:11" hidden="1">
      <c r="A9500" s="4">
        <v>2026</v>
      </c>
      <c r="B9500">
        <v>36</v>
      </c>
      <c r="C9500" t="s">
        <v>10</v>
      </c>
      <c r="D9500" t="s">
        <v>11</v>
      </c>
      <c r="E9500" t="s">
        <v>36</v>
      </c>
      <c r="F9500" t="s">
        <v>37</v>
      </c>
      <c r="G9500" t="str">
        <f t="shared" si="398"/>
        <v>020SUMMER DANCE</v>
      </c>
      <c r="H9500" s="5">
        <v>2475</v>
      </c>
      <c r="I9500" s="6">
        <v>1346.4</v>
      </c>
      <c r="J9500" s="5">
        <v>10200</v>
      </c>
      <c r="K9500" s="6">
        <f t="shared" si="399"/>
        <v>1.838235294117647</v>
      </c>
    </row>
    <row r="9501" spans="1:11" hidden="1">
      <c r="A9501" s="4">
        <v>2026</v>
      </c>
      <c r="B9501">
        <v>36</v>
      </c>
      <c r="C9501" t="s">
        <v>10</v>
      </c>
      <c r="D9501" t="s">
        <v>11</v>
      </c>
      <c r="E9501" t="s">
        <v>38</v>
      </c>
      <c r="F9501" t="s">
        <v>39</v>
      </c>
      <c r="G9501" t="str">
        <f t="shared" si="398"/>
        <v>021ELEGANT ROSEVER</v>
      </c>
      <c r="H9501" s="5">
        <v>420</v>
      </c>
      <c r="I9501" s="6">
        <v>440.18999062500001</v>
      </c>
      <c r="J9501" s="5">
        <v>3200</v>
      </c>
      <c r="K9501" s="6">
        <f t="shared" si="399"/>
        <v>0.95413346269792865</v>
      </c>
    </row>
    <row r="9502" spans="1:11" hidden="1">
      <c r="A9502" s="4">
        <v>2026</v>
      </c>
      <c r="B9502">
        <v>36</v>
      </c>
      <c r="C9502" t="s">
        <v>10</v>
      </c>
      <c r="D9502" t="s">
        <v>11</v>
      </c>
      <c r="E9502" t="s">
        <v>38</v>
      </c>
      <c r="F9502" t="s">
        <v>40</v>
      </c>
      <c r="G9502" t="str">
        <f t="shared" si="398"/>
        <v>021FLAME CLUB</v>
      </c>
      <c r="H9502" s="5">
        <v>1575</v>
      </c>
      <c r="I9502" s="6">
        <v>880.38</v>
      </c>
      <c r="J9502" s="5">
        <v>6400</v>
      </c>
      <c r="K9502" s="6">
        <f t="shared" si="399"/>
        <v>1.7890002044571662</v>
      </c>
    </row>
    <row r="9503" spans="1:11" hidden="1">
      <c r="A9503" s="4">
        <v>2026</v>
      </c>
      <c r="B9503">
        <v>36</v>
      </c>
      <c r="C9503" t="s">
        <v>10</v>
      </c>
      <c r="D9503" t="s">
        <v>11</v>
      </c>
      <c r="E9503" t="s">
        <v>38</v>
      </c>
      <c r="F9503" t="s">
        <v>41</v>
      </c>
      <c r="G9503" t="str">
        <f t="shared" si="398"/>
        <v>021KELLY</v>
      </c>
      <c r="H9503" s="5">
        <v>550</v>
      </c>
      <c r="I9503" s="6">
        <v>330.14249999999998</v>
      </c>
      <c r="J9503" s="5">
        <v>2400</v>
      </c>
      <c r="K9503" s="6">
        <f t="shared" si="399"/>
        <v>1.6659472803410649</v>
      </c>
    </row>
    <row r="9504" spans="1:11" hidden="1">
      <c r="A9504" s="4">
        <v>2026</v>
      </c>
      <c r="B9504">
        <v>36</v>
      </c>
      <c r="C9504" t="s">
        <v>10</v>
      </c>
      <c r="D9504" t="s">
        <v>11</v>
      </c>
      <c r="E9504" t="s">
        <v>38</v>
      </c>
      <c r="F9504" t="s">
        <v>42</v>
      </c>
      <c r="G9504" t="str">
        <f t="shared" si="398"/>
        <v>021LEILA</v>
      </c>
      <c r="H9504" s="5">
        <v>2725</v>
      </c>
      <c r="I9504" s="6">
        <v>1650.7125000000001</v>
      </c>
      <c r="J9504" s="5">
        <v>12000</v>
      </c>
      <c r="K9504" s="6">
        <f t="shared" si="399"/>
        <v>1.650802305065237</v>
      </c>
    </row>
    <row r="9505" spans="1:11" hidden="1">
      <c r="A9505" s="4">
        <v>2026</v>
      </c>
      <c r="B9505">
        <v>36</v>
      </c>
      <c r="C9505" t="s">
        <v>10</v>
      </c>
      <c r="D9505" t="s">
        <v>11</v>
      </c>
      <c r="E9505" t="s">
        <v>38</v>
      </c>
      <c r="F9505" t="s">
        <v>21</v>
      </c>
      <c r="G9505" t="str">
        <f t="shared" si="398"/>
        <v>021SNOW BUBBLES</v>
      </c>
      <c r="H9505" s="5">
        <v>2480</v>
      </c>
      <c r="I9505" s="6">
        <v>1287.0000000000018</v>
      </c>
      <c r="J9505" s="5">
        <v>9400</v>
      </c>
      <c r="K9505" s="6">
        <f t="shared" si="399"/>
        <v>1.9269619269619243</v>
      </c>
    </row>
    <row r="9506" spans="1:11" hidden="1">
      <c r="A9506" s="4">
        <v>2026</v>
      </c>
      <c r="B9506">
        <v>36</v>
      </c>
      <c r="C9506" t="s">
        <v>10</v>
      </c>
      <c r="D9506" t="s">
        <v>11</v>
      </c>
      <c r="E9506" t="s">
        <v>43</v>
      </c>
      <c r="F9506" t="s">
        <v>24</v>
      </c>
      <c r="G9506" t="str">
        <f t="shared" si="398"/>
        <v>022FRUITY BUBBLES</v>
      </c>
      <c r="H9506" s="5">
        <v>3350</v>
      </c>
      <c r="I9506" s="6">
        <v>2641.14</v>
      </c>
      <c r="J9506" s="5">
        <v>19200</v>
      </c>
      <c r="K9506" s="6">
        <f t="shared" si="399"/>
        <v>1.2683916793505836</v>
      </c>
    </row>
    <row r="9507" spans="1:11" hidden="1">
      <c r="A9507" s="4">
        <v>2026</v>
      </c>
      <c r="B9507">
        <v>36</v>
      </c>
      <c r="C9507" t="s">
        <v>10</v>
      </c>
      <c r="D9507" t="s">
        <v>11</v>
      </c>
      <c r="E9507" t="s">
        <v>43</v>
      </c>
      <c r="F9507" t="s">
        <v>28</v>
      </c>
      <c r="G9507" t="str">
        <f t="shared" si="398"/>
        <v>022GOOD PEACH</v>
      </c>
      <c r="H9507" s="5">
        <v>1920</v>
      </c>
      <c r="I9507" s="6">
        <v>880.38</v>
      </c>
      <c r="J9507" s="5">
        <v>6400</v>
      </c>
      <c r="K9507" s="6">
        <f t="shared" si="399"/>
        <v>2.1808764397192122</v>
      </c>
    </row>
    <row r="9508" spans="1:11" hidden="1">
      <c r="A9508" s="4">
        <v>2026</v>
      </c>
      <c r="B9508">
        <v>36</v>
      </c>
      <c r="C9508" t="s">
        <v>10</v>
      </c>
      <c r="D9508" t="s">
        <v>11</v>
      </c>
      <c r="E9508" t="s">
        <v>43</v>
      </c>
      <c r="F9508" t="s">
        <v>44</v>
      </c>
      <c r="G9508" t="str">
        <f t="shared" si="398"/>
        <v>022MIRABEL</v>
      </c>
      <c r="H9508" s="5">
        <v>1500</v>
      </c>
      <c r="I9508" s="6">
        <v>880.38</v>
      </c>
      <c r="J9508" s="5">
        <v>6400</v>
      </c>
      <c r="K9508" s="6">
        <f t="shared" si="399"/>
        <v>1.7038097185306345</v>
      </c>
    </row>
    <row r="9509" spans="1:11" hidden="1">
      <c r="A9509" s="4">
        <v>2026</v>
      </c>
      <c r="B9509">
        <v>36</v>
      </c>
      <c r="C9509" t="s">
        <v>10</v>
      </c>
      <c r="D9509" t="s">
        <v>11</v>
      </c>
      <c r="E9509" t="s">
        <v>45</v>
      </c>
      <c r="F9509" t="s">
        <v>46</v>
      </c>
      <c r="G9509" t="str">
        <f t="shared" si="398"/>
        <v>026PURPLE BUBBLY</v>
      </c>
      <c r="H9509" s="5">
        <v>400</v>
      </c>
      <c r="I9509" s="6">
        <v>1755.4</v>
      </c>
      <c r="J9509" s="5">
        <v>12800</v>
      </c>
      <c r="K9509" s="6">
        <f t="shared" si="399"/>
        <v>0.22786829212715048</v>
      </c>
    </row>
    <row r="9510" spans="1:11" hidden="1">
      <c r="A9510" s="4">
        <v>2026</v>
      </c>
      <c r="B9510">
        <v>36</v>
      </c>
      <c r="C9510" t="s">
        <v>10</v>
      </c>
      <c r="D9510" t="s">
        <v>11</v>
      </c>
      <c r="E9510" t="s">
        <v>47</v>
      </c>
      <c r="F9510" t="s">
        <v>44</v>
      </c>
      <c r="G9510" t="str">
        <f t="shared" si="398"/>
        <v>030MIRABEL</v>
      </c>
      <c r="H9510" s="5">
        <v>5440</v>
      </c>
      <c r="I9510" s="6">
        <v>2413.6749943750001</v>
      </c>
      <c r="J9510" s="5">
        <v>17600</v>
      </c>
      <c r="K9510" s="6">
        <f t="shared" si="399"/>
        <v>2.2538245673828343</v>
      </c>
    </row>
    <row r="9511" spans="1:11" hidden="1">
      <c r="A9511" s="4">
        <v>2026</v>
      </c>
      <c r="B9511">
        <v>36</v>
      </c>
      <c r="C9511" t="s">
        <v>10</v>
      </c>
      <c r="D9511" t="s">
        <v>11</v>
      </c>
      <c r="E9511" t="s">
        <v>47</v>
      </c>
      <c r="F9511" t="s">
        <v>13</v>
      </c>
      <c r="G9511" t="str">
        <f t="shared" si="398"/>
        <v>030SOMERSET</v>
      </c>
      <c r="H9511" s="5">
        <v>3080</v>
      </c>
      <c r="I9511" s="6">
        <v>1645.6875</v>
      </c>
      <c r="J9511" s="5">
        <v>12000</v>
      </c>
      <c r="K9511" s="6">
        <f t="shared" si="399"/>
        <v>1.8715582393376629</v>
      </c>
    </row>
    <row r="9512" spans="1:11" hidden="1">
      <c r="A9512" s="4">
        <v>2026</v>
      </c>
      <c r="B9512">
        <v>36</v>
      </c>
      <c r="C9512" t="s">
        <v>10</v>
      </c>
      <c r="D9512" t="s">
        <v>11</v>
      </c>
      <c r="E9512" t="s">
        <v>48</v>
      </c>
      <c r="F9512" t="s">
        <v>49</v>
      </c>
      <c r="G9512" t="str">
        <f t="shared" si="398"/>
        <v>03182989</v>
      </c>
      <c r="H9512" s="5">
        <v>3000</v>
      </c>
      <c r="I9512" s="6">
        <v>726.32013058333712</v>
      </c>
      <c r="J9512" s="5">
        <v>5712</v>
      </c>
      <c r="K9512" s="6">
        <f t="shared" si="399"/>
        <v>4.1304100956014791</v>
      </c>
    </row>
    <row r="9513" spans="1:11" hidden="1">
      <c r="A9513" s="4">
        <v>2026</v>
      </c>
      <c r="B9513">
        <v>36</v>
      </c>
      <c r="C9513" t="s">
        <v>10</v>
      </c>
      <c r="D9513" t="s">
        <v>11</v>
      </c>
      <c r="E9513" t="s">
        <v>48</v>
      </c>
      <c r="F9513" t="s">
        <v>34</v>
      </c>
      <c r="G9513" t="str">
        <f t="shared" si="398"/>
        <v>031RUBICON</v>
      </c>
      <c r="H9513" s="5">
        <v>2160</v>
      </c>
      <c r="I9513" s="6">
        <v>924.39958333667107</v>
      </c>
      <c r="J9513" s="5">
        <v>6720</v>
      </c>
      <c r="K9513" s="6">
        <f t="shared" si="399"/>
        <v>2.3366518537398746</v>
      </c>
    </row>
    <row r="9514" spans="1:11" hidden="1">
      <c r="A9514" s="4">
        <v>2026</v>
      </c>
      <c r="B9514">
        <v>36</v>
      </c>
      <c r="C9514" t="s">
        <v>10</v>
      </c>
      <c r="D9514" t="s">
        <v>11</v>
      </c>
      <c r="E9514" t="s">
        <v>48</v>
      </c>
      <c r="F9514" t="s">
        <v>13</v>
      </c>
      <c r="G9514" t="str">
        <f t="shared" si="398"/>
        <v>031SOMERSET</v>
      </c>
      <c r="H9514" s="5">
        <v>3560</v>
      </c>
      <c r="I9514" s="6">
        <v>1122.485208333339</v>
      </c>
      <c r="J9514" s="5">
        <v>8160</v>
      </c>
      <c r="K9514" s="6">
        <f t="shared" si="399"/>
        <v>3.1715339975712218</v>
      </c>
    </row>
    <row r="9515" spans="1:11" hidden="1">
      <c r="A9515" s="4">
        <v>2026</v>
      </c>
      <c r="B9515">
        <v>36</v>
      </c>
      <c r="C9515" t="s">
        <v>10</v>
      </c>
      <c r="D9515" t="s">
        <v>11</v>
      </c>
      <c r="E9515" t="s">
        <v>48</v>
      </c>
      <c r="F9515" t="s">
        <v>50</v>
      </c>
      <c r="G9515" t="str">
        <f t="shared" si="398"/>
        <v>031VELVET BLOSSOMS</v>
      </c>
      <c r="H9515" s="5">
        <v>760</v>
      </c>
      <c r="I9515" s="6">
        <v>396.17125000000198</v>
      </c>
      <c r="J9515" s="5">
        <v>2880</v>
      </c>
      <c r="K9515" s="6">
        <f t="shared" si="399"/>
        <v>1.9183623243736041</v>
      </c>
    </row>
    <row r="9516" spans="1:11" hidden="1">
      <c r="A9516" s="4">
        <v>2026</v>
      </c>
      <c r="B9516">
        <v>36</v>
      </c>
      <c r="C9516" t="s">
        <v>10</v>
      </c>
      <c r="D9516" t="s">
        <v>11</v>
      </c>
      <c r="E9516" t="s">
        <v>51</v>
      </c>
      <c r="F9516" t="s">
        <v>17</v>
      </c>
      <c r="G9516" t="str">
        <f t="shared" si="398"/>
        <v>032ELBA</v>
      </c>
      <c r="H9516" s="5">
        <v>4080</v>
      </c>
      <c r="I9516" s="6">
        <v>1535.9749999999999</v>
      </c>
      <c r="J9516" s="5">
        <v>11200</v>
      </c>
      <c r="K9516" s="6">
        <f t="shared" si="399"/>
        <v>2.6562932339393548</v>
      </c>
    </row>
    <row r="9517" spans="1:11" hidden="1">
      <c r="A9517" s="4">
        <v>2026</v>
      </c>
      <c r="B9517">
        <v>36</v>
      </c>
      <c r="C9517" t="s">
        <v>10</v>
      </c>
      <c r="D9517" t="s">
        <v>11</v>
      </c>
      <c r="E9517" t="s">
        <v>51</v>
      </c>
      <c r="F9517" t="s">
        <v>44</v>
      </c>
      <c r="G9517" t="str">
        <f t="shared" si="398"/>
        <v>032MIRABEL</v>
      </c>
      <c r="H9517" s="5">
        <v>2080</v>
      </c>
      <c r="I9517" s="6">
        <v>1535.9749999999999</v>
      </c>
      <c r="J9517" s="5">
        <v>11200</v>
      </c>
      <c r="K9517" s="6">
        <f t="shared" si="399"/>
        <v>1.3541887074984946</v>
      </c>
    </row>
    <row r="9518" spans="1:11" hidden="1">
      <c r="A9518" s="4">
        <v>2026</v>
      </c>
      <c r="B9518">
        <v>36</v>
      </c>
      <c r="C9518" t="s">
        <v>10</v>
      </c>
      <c r="D9518" t="s">
        <v>11</v>
      </c>
      <c r="E9518" t="s">
        <v>52</v>
      </c>
      <c r="F9518" t="s">
        <v>53</v>
      </c>
      <c r="G9518" t="str">
        <f t="shared" si="398"/>
        <v>033CREAMY FOLIES</v>
      </c>
      <c r="H9518" s="5">
        <v>1530</v>
      </c>
      <c r="I9518" s="6">
        <v>594.25687500000299</v>
      </c>
      <c r="J9518" s="5">
        <v>4320</v>
      </c>
      <c r="K9518" s="6">
        <f t="shared" si="399"/>
        <v>2.5746441721856264</v>
      </c>
    </row>
    <row r="9519" spans="1:11" hidden="1">
      <c r="A9519" s="4">
        <v>2026</v>
      </c>
      <c r="B9519">
        <v>36</v>
      </c>
      <c r="C9519" t="s">
        <v>10</v>
      </c>
      <c r="D9519" t="s">
        <v>11</v>
      </c>
      <c r="E9519" t="s">
        <v>52</v>
      </c>
      <c r="F9519" t="s">
        <v>18</v>
      </c>
      <c r="G9519" t="str">
        <f t="shared" si="398"/>
        <v>033HOT BUBBLES</v>
      </c>
      <c r="H9519" s="5">
        <v>4500</v>
      </c>
      <c r="I9519" s="6">
        <v>2575.1131250013459</v>
      </c>
      <c r="J9519" s="5">
        <v>18720</v>
      </c>
      <c r="K9519" s="6">
        <f t="shared" si="399"/>
        <v>1.7474960444689778</v>
      </c>
    </row>
    <row r="9520" spans="1:11" hidden="1">
      <c r="A9520" s="4">
        <v>2026</v>
      </c>
      <c r="B9520">
        <v>36</v>
      </c>
      <c r="C9520" t="s">
        <v>54</v>
      </c>
      <c r="D9520" t="s">
        <v>11</v>
      </c>
      <c r="E9520" t="s">
        <v>55</v>
      </c>
      <c r="F9520" t="s">
        <v>56</v>
      </c>
      <c r="G9520" t="str">
        <f t="shared" si="398"/>
        <v>001BELIEVE IN PINK</v>
      </c>
      <c r="H9520" s="5">
        <v>1380</v>
      </c>
      <c r="I9520" s="6">
        <v>528.37931032368999</v>
      </c>
      <c r="J9520" s="5">
        <v>4000</v>
      </c>
      <c r="K9520" s="6">
        <f t="shared" ref="K9520:K9526" si="400">IFERROR(H9520/I9520,"")</f>
        <v>2.6117600993017676</v>
      </c>
    </row>
    <row r="9521" spans="1:11" hidden="1">
      <c r="A9521" s="4">
        <v>2026</v>
      </c>
      <c r="B9521">
        <v>36</v>
      </c>
      <c r="C9521" t="s">
        <v>54</v>
      </c>
      <c r="D9521" t="s">
        <v>11</v>
      </c>
      <c r="E9521" t="s">
        <v>55</v>
      </c>
      <c r="F9521" t="s">
        <v>57</v>
      </c>
      <c r="G9521" t="str">
        <f t="shared" si="398"/>
        <v>001EXPLORER</v>
      </c>
      <c r="H9521" s="5">
        <v>3000</v>
      </c>
      <c r="I9521" s="6">
        <v>2272.0310343918732</v>
      </c>
      <c r="J9521" s="5">
        <v>17200</v>
      </c>
      <c r="K9521" s="6">
        <f t="shared" si="400"/>
        <v>1.3204044991414361</v>
      </c>
    </row>
    <row r="9522" spans="1:11" hidden="1">
      <c r="A9522" s="4">
        <v>2026</v>
      </c>
      <c r="B9522">
        <v>36</v>
      </c>
      <c r="C9522" t="s">
        <v>54</v>
      </c>
      <c r="D9522" t="s">
        <v>11</v>
      </c>
      <c r="E9522" t="s">
        <v>55</v>
      </c>
      <c r="F9522" t="s">
        <v>58</v>
      </c>
      <c r="G9522" t="str">
        <f t="shared" si="398"/>
        <v>001GRACE KELLY</v>
      </c>
      <c r="H9522" s="5">
        <v>1560</v>
      </c>
      <c r="I9522" s="6">
        <v>1162.4344827121224</v>
      </c>
      <c r="J9522" s="5">
        <v>8800</v>
      </c>
      <c r="K9522" s="6">
        <f t="shared" si="400"/>
        <v>1.3420111182182943</v>
      </c>
    </row>
    <row r="9523" spans="1:11" hidden="1">
      <c r="A9523" s="4">
        <v>2026</v>
      </c>
      <c r="B9523">
        <v>36</v>
      </c>
      <c r="C9523" t="s">
        <v>54</v>
      </c>
      <c r="D9523" t="s">
        <v>11</v>
      </c>
      <c r="E9523" t="s">
        <v>55</v>
      </c>
      <c r="F9523" t="s">
        <v>59</v>
      </c>
      <c r="G9523" t="str">
        <f t="shared" si="398"/>
        <v>001IDOLE</v>
      </c>
      <c r="H9523" s="5">
        <v>735</v>
      </c>
      <c r="I9523" s="6">
        <v>1162.4344827121181</v>
      </c>
      <c r="J9523" s="5">
        <v>8800</v>
      </c>
      <c r="K9523" s="6">
        <f t="shared" si="400"/>
        <v>0.63229369992977569</v>
      </c>
    </row>
    <row r="9524" spans="1:11" hidden="1">
      <c r="A9524" s="4">
        <v>2026</v>
      </c>
      <c r="B9524">
        <v>36</v>
      </c>
      <c r="C9524" t="s">
        <v>54</v>
      </c>
      <c r="D9524" t="s">
        <v>11</v>
      </c>
      <c r="E9524" t="s">
        <v>55</v>
      </c>
      <c r="F9524" t="s">
        <v>60</v>
      </c>
      <c r="G9524" t="str">
        <f t="shared" si="398"/>
        <v>001LIGHT HOUSE</v>
      </c>
      <c r="H9524" s="5">
        <v>930</v>
      </c>
      <c r="I9524" s="6">
        <v>1056.7586206473827</v>
      </c>
      <c r="J9524" s="5">
        <v>8000</v>
      </c>
      <c r="K9524" s="6">
        <f t="shared" si="400"/>
        <v>0.88004959867776722</v>
      </c>
    </row>
    <row r="9525" spans="1:11" hidden="1">
      <c r="A9525" s="4">
        <v>2026</v>
      </c>
      <c r="B9525">
        <v>36</v>
      </c>
      <c r="C9525" t="s">
        <v>54</v>
      </c>
      <c r="D9525" t="s">
        <v>11</v>
      </c>
      <c r="E9525" t="s">
        <v>55</v>
      </c>
      <c r="F9525" t="s">
        <v>61</v>
      </c>
      <c r="G9525" t="str">
        <f t="shared" si="398"/>
        <v>001LUMIA</v>
      </c>
      <c r="H9525" s="5">
        <v>1530</v>
      </c>
      <c r="I9525" s="6">
        <v>1109.596551679753</v>
      </c>
      <c r="J9525" s="5">
        <v>8400</v>
      </c>
      <c r="K9525" s="6">
        <f t="shared" si="400"/>
        <v>1.3788795555319839</v>
      </c>
    </row>
    <row r="9526" spans="1:11" hidden="1">
      <c r="A9526" s="4">
        <v>2026</v>
      </c>
      <c r="B9526">
        <v>36</v>
      </c>
      <c r="C9526" t="s">
        <v>54</v>
      </c>
      <c r="D9526" t="s">
        <v>11</v>
      </c>
      <c r="E9526" t="s">
        <v>55</v>
      </c>
      <c r="F9526" t="s">
        <v>62</v>
      </c>
      <c r="G9526" t="str">
        <f t="shared" si="398"/>
        <v>001MOMENTUM</v>
      </c>
      <c r="H9526" s="5">
        <v>3075</v>
      </c>
      <c r="I9526" s="6">
        <v>1902.1655171652881</v>
      </c>
      <c r="J9526" s="5">
        <v>14400</v>
      </c>
      <c r="K9526" s="6">
        <f t="shared" si="400"/>
        <v>1.6165785638794119</v>
      </c>
    </row>
    <row r="9527" spans="1:11" hidden="1">
      <c r="A9527" s="4">
        <v>2026</v>
      </c>
      <c r="B9527">
        <v>36</v>
      </c>
      <c r="C9527" t="s">
        <v>54</v>
      </c>
      <c r="D9527" t="s">
        <v>11</v>
      </c>
      <c r="E9527" t="s">
        <v>12</v>
      </c>
      <c r="F9527" t="s">
        <v>63</v>
      </c>
      <c r="G9527" t="str">
        <f t="shared" si="398"/>
        <v>002SUMMER ROMANCE</v>
      </c>
      <c r="H9527" s="5">
        <v>1650</v>
      </c>
      <c r="I9527" s="6">
        <v>951.10714281909407</v>
      </c>
      <c r="J9527" s="5">
        <v>7200</v>
      </c>
      <c r="K9527" s="6">
        <f t="shared" ref="K9527:K9590" si="401">+H9527/I9527</f>
        <v>1.734820322250318</v>
      </c>
    </row>
    <row r="9528" spans="1:11" hidden="1">
      <c r="A9528" s="4">
        <v>2026</v>
      </c>
      <c r="B9528">
        <v>36</v>
      </c>
      <c r="C9528" t="s">
        <v>54</v>
      </c>
      <c r="D9528" t="s">
        <v>11</v>
      </c>
      <c r="E9528" t="s">
        <v>12</v>
      </c>
      <c r="F9528" t="s">
        <v>64</v>
      </c>
      <c r="G9528" t="str">
        <f t="shared" si="398"/>
        <v>002SWEETNESS</v>
      </c>
      <c r="H9528" s="5">
        <v>6000</v>
      </c>
      <c r="I9528" s="6">
        <v>3804.4285712763772</v>
      </c>
      <c r="J9528" s="5">
        <v>28800</v>
      </c>
      <c r="K9528" s="6">
        <f t="shared" si="401"/>
        <v>1.5771093838639252</v>
      </c>
    </row>
    <row r="9529" spans="1:11" hidden="1">
      <c r="A9529" s="4">
        <v>2026</v>
      </c>
      <c r="B9529">
        <v>36</v>
      </c>
      <c r="C9529" t="s">
        <v>54</v>
      </c>
      <c r="D9529" t="s">
        <v>11</v>
      </c>
      <c r="E9529" t="s">
        <v>65</v>
      </c>
      <c r="F9529" t="s">
        <v>66</v>
      </c>
      <c r="G9529" t="str">
        <f t="shared" si="398"/>
        <v>003CABARET</v>
      </c>
      <c r="H9529" s="5">
        <v>4830</v>
      </c>
      <c r="I9529" s="6">
        <v>2641.8965516184649</v>
      </c>
      <c r="J9529" s="5">
        <v>20000</v>
      </c>
      <c r="K9529" s="6">
        <f t="shared" si="401"/>
        <v>1.8282320695112269</v>
      </c>
    </row>
    <row r="9530" spans="1:11" hidden="1">
      <c r="A9530" s="4">
        <v>2026</v>
      </c>
      <c r="B9530">
        <v>36</v>
      </c>
      <c r="C9530" t="s">
        <v>54</v>
      </c>
      <c r="D9530" t="s">
        <v>11</v>
      </c>
      <c r="E9530" t="s">
        <v>65</v>
      </c>
      <c r="F9530" t="s">
        <v>67</v>
      </c>
      <c r="G9530" t="str">
        <f t="shared" si="398"/>
        <v>003DEEP PURPLE</v>
      </c>
      <c r="H9530" s="5">
        <v>6450</v>
      </c>
      <c r="I9530" s="6">
        <v>3592.9793102010913</v>
      </c>
      <c r="J9530" s="5">
        <v>26044</v>
      </c>
      <c r="K9530" s="6">
        <f t="shared" si="401"/>
        <v>1.7951675874356781</v>
      </c>
    </row>
    <row r="9531" spans="1:11" hidden="1">
      <c r="A9531" s="4">
        <v>2026</v>
      </c>
      <c r="B9531">
        <v>36</v>
      </c>
      <c r="C9531" t="s">
        <v>54</v>
      </c>
      <c r="D9531" t="s">
        <v>11</v>
      </c>
      <c r="E9531" t="s">
        <v>65</v>
      </c>
      <c r="F9531" t="s">
        <v>57</v>
      </c>
      <c r="G9531" t="str">
        <f t="shared" si="398"/>
        <v>003EXPLORER</v>
      </c>
      <c r="H9531" s="5">
        <v>2100</v>
      </c>
      <c r="I9531" s="6">
        <v>1268.1103447768633</v>
      </c>
      <c r="J9531" s="5">
        <v>9600</v>
      </c>
      <c r="K9531" s="6">
        <f t="shared" si="401"/>
        <v>1.6560073093398793</v>
      </c>
    </row>
    <row r="9532" spans="1:11" hidden="1">
      <c r="A9532" s="4">
        <v>2026</v>
      </c>
      <c r="B9532">
        <v>36</v>
      </c>
      <c r="C9532" t="s">
        <v>54</v>
      </c>
      <c r="D9532" t="s">
        <v>11</v>
      </c>
      <c r="E9532" t="s">
        <v>65</v>
      </c>
      <c r="F9532" t="s">
        <v>68</v>
      </c>
      <c r="G9532" t="str">
        <f t="shared" si="398"/>
        <v>003JOCKER</v>
      </c>
      <c r="H9532" s="5">
        <v>750</v>
      </c>
      <c r="I9532" s="6">
        <v>528.37931032368999</v>
      </c>
      <c r="J9532" s="5">
        <v>4000</v>
      </c>
      <c r="K9532" s="6">
        <f t="shared" si="401"/>
        <v>1.4194348365770475</v>
      </c>
    </row>
    <row r="9533" spans="1:11" hidden="1">
      <c r="A9533" s="4">
        <v>2026</v>
      </c>
      <c r="B9533">
        <v>36</v>
      </c>
      <c r="C9533" t="s">
        <v>54</v>
      </c>
      <c r="D9533" t="s">
        <v>11</v>
      </c>
      <c r="E9533" t="s">
        <v>65</v>
      </c>
      <c r="F9533" t="s">
        <v>69</v>
      </c>
      <c r="G9533" t="str">
        <f t="shared" si="398"/>
        <v>003QUICKSAND</v>
      </c>
      <c r="H9533" s="5">
        <v>1440</v>
      </c>
      <c r="I9533" s="6">
        <v>1162.4344827121247</v>
      </c>
      <c r="J9533" s="5">
        <v>8800</v>
      </c>
      <c r="K9533" s="6">
        <f t="shared" si="401"/>
        <v>1.2387794937399617</v>
      </c>
    </row>
    <row r="9534" spans="1:11" hidden="1">
      <c r="A9534" s="4">
        <v>2026</v>
      </c>
      <c r="B9534">
        <v>36</v>
      </c>
      <c r="C9534" t="s">
        <v>54</v>
      </c>
      <c r="D9534" t="s">
        <v>11</v>
      </c>
      <c r="E9534" t="s">
        <v>14</v>
      </c>
      <c r="F9534" t="s">
        <v>70</v>
      </c>
      <c r="G9534" t="str">
        <f t="shared" si="398"/>
        <v>004COTOPAXI</v>
      </c>
      <c r="H9534" s="5">
        <v>1920</v>
      </c>
      <c r="I9534" s="6">
        <v>528.3915024419166</v>
      </c>
      <c r="J9534" s="5">
        <v>4000</v>
      </c>
      <c r="K9534" s="6">
        <f t="shared" si="401"/>
        <v>3.6336693363289956</v>
      </c>
    </row>
    <row r="9535" spans="1:11" hidden="1">
      <c r="A9535" s="4">
        <v>2026</v>
      </c>
      <c r="B9535">
        <v>36</v>
      </c>
      <c r="C9535" t="s">
        <v>54</v>
      </c>
      <c r="D9535" t="s">
        <v>11</v>
      </c>
      <c r="E9535" t="s">
        <v>14</v>
      </c>
      <c r="F9535" t="s">
        <v>67</v>
      </c>
      <c r="G9535" t="str">
        <f t="shared" si="398"/>
        <v>004DEEP PURPLE</v>
      </c>
      <c r="H9535" s="5">
        <v>6180</v>
      </c>
      <c r="I9535" s="6">
        <v>3910.1071427007282</v>
      </c>
      <c r="J9535" s="5">
        <v>29260</v>
      </c>
      <c r="K9535" s="6">
        <f t="shared" si="401"/>
        <v>1.5805193500993036</v>
      </c>
    </row>
    <row r="9536" spans="1:11" hidden="1">
      <c r="A9536" s="4">
        <v>2026</v>
      </c>
      <c r="B9536">
        <v>36</v>
      </c>
      <c r="C9536" t="s">
        <v>54</v>
      </c>
      <c r="D9536" t="s">
        <v>11</v>
      </c>
      <c r="E9536" t="s">
        <v>14</v>
      </c>
      <c r="F9536" t="s">
        <v>71</v>
      </c>
      <c r="G9536" t="str">
        <f t="shared" si="398"/>
        <v>004HOT EXPLORER</v>
      </c>
      <c r="H9536" s="5">
        <v>3475</v>
      </c>
      <c r="I9536" s="6">
        <v>1902.2142856381945</v>
      </c>
      <c r="J9536" s="5">
        <v>14400</v>
      </c>
      <c r="K9536" s="6">
        <f t="shared" si="401"/>
        <v>1.8268183696423743</v>
      </c>
    </row>
    <row r="9537" spans="1:11" hidden="1">
      <c r="A9537" s="4">
        <v>2026</v>
      </c>
      <c r="B9537">
        <v>36</v>
      </c>
      <c r="C9537" t="s">
        <v>54</v>
      </c>
      <c r="D9537" t="s">
        <v>11</v>
      </c>
      <c r="E9537" t="s">
        <v>14</v>
      </c>
      <c r="F9537" t="s">
        <v>72</v>
      </c>
      <c r="G9537" t="str">
        <f t="shared" si="398"/>
        <v>004HOT MERENGUE</v>
      </c>
      <c r="H9537" s="5">
        <v>2070</v>
      </c>
      <c r="I9537" s="6">
        <v>1162.4642856677858</v>
      </c>
      <c r="J9537" s="5">
        <v>8800</v>
      </c>
      <c r="K9537" s="6">
        <f t="shared" si="401"/>
        <v>1.7806998679627166</v>
      </c>
    </row>
    <row r="9538" spans="1:11" hidden="1">
      <c r="A9538" s="4">
        <v>2026</v>
      </c>
      <c r="B9538">
        <v>36</v>
      </c>
      <c r="C9538" t="s">
        <v>54</v>
      </c>
      <c r="D9538" t="s">
        <v>11</v>
      </c>
      <c r="E9538" t="s">
        <v>14</v>
      </c>
      <c r="F9538" t="s">
        <v>64</v>
      </c>
      <c r="G9538" t="str">
        <f t="shared" si="398"/>
        <v>004SWEETNESS</v>
      </c>
      <c r="H9538" s="5">
        <v>540</v>
      </c>
      <c r="I9538" s="6">
        <v>317.03571427303262</v>
      </c>
      <c r="J9538" s="5">
        <v>2400</v>
      </c>
      <c r="K9538" s="6">
        <f t="shared" si="401"/>
        <v>1.7032781345730328</v>
      </c>
    </row>
    <row r="9539" spans="1:11" hidden="1">
      <c r="A9539" s="4">
        <v>2026</v>
      </c>
      <c r="B9539">
        <v>36</v>
      </c>
      <c r="C9539" t="s">
        <v>54</v>
      </c>
      <c r="D9539" t="s">
        <v>11</v>
      </c>
      <c r="E9539" t="s">
        <v>16</v>
      </c>
      <c r="F9539" t="s">
        <v>57</v>
      </c>
      <c r="G9539" t="str">
        <f t="shared" si="398"/>
        <v>005EXPLORER</v>
      </c>
      <c r="H9539" s="5">
        <v>1250</v>
      </c>
      <c r="I9539" s="6">
        <v>951.10714281875391</v>
      </c>
      <c r="J9539" s="5">
        <v>7200</v>
      </c>
      <c r="K9539" s="6">
        <f t="shared" si="401"/>
        <v>1.3142578198870747</v>
      </c>
    </row>
    <row r="9540" spans="1:11" hidden="1">
      <c r="A9540" s="4">
        <v>2026</v>
      </c>
      <c r="B9540">
        <v>36</v>
      </c>
      <c r="C9540" t="s">
        <v>54</v>
      </c>
      <c r="D9540" t="s">
        <v>11</v>
      </c>
      <c r="E9540" t="s">
        <v>16</v>
      </c>
      <c r="F9540" t="s">
        <v>73</v>
      </c>
      <c r="G9540" t="str">
        <f t="shared" si="398"/>
        <v>005GOLDFINCH</v>
      </c>
      <c r="H9540" s="5">
        <v>725</v>
      </c>
      <c r="I9540" s="6">
        <v>898.26785710660101</v>
      </c>
      <c r="J9540" s="5">
        <v>6800</v>
      </c>
      <c r="K9540" s="6">
        <f t="shared" si="401"/>
        <v>0.80710891997770928</v>
      </c>
    </row>
    <row r="9541" spans="1:11" hidden="1">
      <c r="A9541" s="4">
        <v>2026</v>
      </c>
      <c r="B9541">
        <v>36</v>
      </c>
      <c r="C9541" t="s">
        <v>54</v>
      </c>
      <c r="D9541" t="s">
        <v>11</v>
      </c>
      <c r="E9541" t="s">
        <v>16</v>
      </c>
      <c r="F9541" t="s">
        <v>68</v>
      </c>
      <c r="G9541" t="str">
        <f t="shared" si="398"/>
        <v>005JOCKER</v>
      </c>
      <c r="H9541" s="5">
        <v>1825</v>
      </c>
      <c r="I9541" s="6">
        <v>1162.4642856673661</v>
      </c>
      <c r="J9541" s="5">
        <v>8800</v>
      </c>
      <c r="K9541" s="6">
        <f t="shared" si="401"/>
        <v>1.5699407048469234</v>
      </c>
    </row>
    <row r="9542" spans="1:11" hidden="1">
      <c r="A9542" s="4">
        <v>2026</v>
      </c>
      <c r="B9542">
        <v>36</v>
      </c>
      <c r="C9542" t="s">
        <v>54</v>
      </c>
      <c r="D9542" t="s">
        <v>11</v>
      </c>
      <c r="E9542" t="s">
        <v>16</v>
      </c>
      <c r="F9542" t="s">
        <v>74</v>
      </c>
      <c r="G9542" t="str">
        <f t="shared" si="398"/>
        <v>005VENDELA</v>
      </c>
      <c r="H9542" s="5">
        <v>1680</v>
      </c>
      <c r="I9542" s="6">
        <v>686.91071425798896</v>
      </c>
      <c r="J9542" s="5">
        <v>5200</v>
      </c>
      <c r="K9542" s="6">
        <f t="shared" si="401"/>
        <v>2.4457327060544696</v>
      </c>
    </row>
    <row r="9543" spans="1:11" hidden="1">
      <c r="A9543" s="4">
        <v>2026</v>
      </c>
      <c r="B9543">
        <v>36</v>
      </c>
      <c r="C9543" t="s">
        <v>54</v>
      </c>
      <c r="D9543" t="s">
        <v>11</v>
      </c>
      <c r="E9543" t="s">
        <v>75</v>
      </c>
      <c r="F9543" t="s">
        <v>76</v>
      </c>
      <c r="G9543" t="str">
        <f t="shared" si="398"/>
        <v>006ATOMIC</v>
      </c>
      <c r="H9543" s="5">
        <v>500</v>
      </c>
      <c r="I9543" s="6">
        <v>845.428571394752</v>
      </c>
      <c r="J9543" s="5">
        <v>6400</v>
      </c>
      <c r="K9543" s="6">
        <f t="shared" si="401"/>
        <v>0.59141601894897089</v>
      </c>
    </row>
    <row r="9544" spans="1:11" hidden="1">
      <c r="A9544" s="4">
        <v>2026</v>
      </c>
      <c r="B9544">
        <v>36</v>
      </c>
      <c r="C9544" t="s">
        <v>54</v>
      </c>
      <c r="D9544" t="s">
        <v>11</v>
      </c>
      <c r="E9544" t="s">
        <v>75</v>
      </c>
      <c r="F9544" t="s">
        <v>57</v>
      </c>
      <c r="G9544" t="str">
        <f t="shared" si="398"/>
        <v>006EXPLORER</v>
      </c>
      <c r="H9544" s="5">
        <v>5850</v>
      </c>
      <c r="I9544" s="6">
        <v>3910.1071427007355</v>
      </c>
      <c r="J9544" s="5">
        <v>29600</v>
      </c>
      <c r="K9544" s="6">
        <f t="shared" si="401"/>
        <v>1.4961226857736099</v>
      </c>
    </row>
    <row r="9545" spans="1:11" hidden="1">
      <c r="A9545" s="4">
        <v>2026</v>
      </c>
      <c r="B9545">
        <v>36</v>
      </c>
      <c r="C9545" t="s">
        <v>54</v>
      </c>
      <c r="D9545" t="s">
        <v>11</v>
      </c>
      <c r="E9545" t="s">
        <v>75</v>
      </c>
      <c r="F9545" t="s">
        <v>77</v>
      </c>
      <c r="G9545" t="str">
        <f t="shared" si="398"/>
        <v>006MONDIAL</v>
      </c>
      <c r="H9545" s="5">
        <v>5525</v>
      </c>
      <c r="I9545" s="6">
        <v>4015.7857141250793</v>
      </c>
      <c r="J9545" s="5">
        <v>30400</v>
      </c>
      <c r="K9545" s="6">
        <f t="shared" si="401"/>
        <v>1.3758204230286559</v>
      </c>
    </row>
    <row r="9546" spans="1:11" hidden="1">
      <c r="A9546" s="4">
        <v>2026</v>
      </c>
      <c r="B9546">
        <v>36</v>
      </c>
      <c r="C9546" t="s">
        <v>54</v>
      </c>
      <c r="D9546" t="s">
        <v>11</v>
      </c>
      <c r="E9546" t="s">
        <v>20</v>
      </c>
      <c r="F9546" t="s">
        <v>70</v>
      </c>
      <c r="G9546" t="str">
        <f t="shared" si="398"/>
        <v>007COTOPAXI</v>
      </c>
      <c r="H9546" s="5">
        <v>6270</v>
      </c>
      <c r="I9546" s="6">
        <v>2747.5751230427709</v>
      </c>
      <c r="J9546" s="5">
        <v>20800</v>
      </c>
      <c r="K9546" s="6">
        <f t="shared" si="401"/>
        <v>2.282012217761078</v>
      </c>
    </row>
    <row r="9547" spans="1:11" hidden="1">
      <c r="A9547" s="4">
        <v>2026</v>
      </c>
      <c r="B9547">
        <v>36</v>
      </c>
      <c r="C9547" t="s">
        <v>54</v>
      </c>
      <c r="D9547" t="s">
        <v>11</v>
      </c>
      <c r="E9547" t="s">
        <v>20</v>
      </c>
      <c r="F9547" t="s">
        <v>78</v>
      </c>
      <c r="G9547" t="str">
        <f t="shared" si="398"/>
        <v>007REDIANT</v>
      </c>
      <c r="H9547" s="5">
        <v>1350</v>
      </c>
      <c r="I9547" s="6">
        <v>1056.75862064738</v>
      </c>
      <c r="J9547" s="5">
        <v>9600</v>
      </c>
      <c r="K9547" s="6">
        <f t="shared" si="401"/>
        <v>1.2774913529193428</v>
      </c>
    </row>
    <row r="9548" spans="1:11" hidden="1">
      <c r="A9548" s="4">
        <v>2026</v>
      </c>
      <c r="B9548">
        <v>36</v>
      </c>
      <c r="C9548" t="s">
        <v>54</v>
      </c>
      <c r="D9548" t="s">
        <v>11</v>
      </c>
      <c r="E9548" t="s">
        <v>20</v>
      </c>
      <c r="F9548" t="s">
        <v>63</v>
      </c>
      <c r="G9548" t="str">
        <f t="shared" si="398"/>
        <v>007SUMMER ROMANCE</v>
      </c>
      <c r="H9548" s="5">
        <v>1200</v>
      </c>
      <c r="I9548" s="6">
        <v>369.86551722658481</v>
      </c>
      <c r="J9548" s="5">
        <v>3080</v>
      </c>
      <c r="K9548" s="6">
        <f t="shared" si="401"/>
        <v>3.244422483604664</v>
      </c>
    </row>
    <row r="9549" spans="1:11" hidden="1">
      <c r="A9549" s="4">
        <v>2026</v>
      </c>
      <c r="B9549">
        <v>36</v>
      </c>
      <c r="C9549" t="s">
        <v>54</v>
      </c>
      <c r="D9549" t="s">
        <v>11</v>
      </c>
      <c r="E9549" t="s">
        <v>20</v>
      </c>
      <c r="F9549" t="s">
        <v>74</v>
      </c>
      <c r="G9549" t="str">
        <f t="shared" ref="G9549:G9612" si="402">+E9549&amp;F9549</f>
        <v>007VENDELA</v>
      </c>
      <c r="H9549" s="5">
        <v>9570</v>
      </c>
      <c r="I9549" s="6">
        <v>3592.9793102011122</v>
      </c>
      <c r="J9549" s="5">
        <v>27820</v>
      </c>
      <c r="K9549" s="6">
        <f t="shared" si="401"/>
        <v>2.6635277227533858</v>
      </c>
    </row>
    <row r="9550" spans="1:11" hidden="1">
      <c r="A9550" s="4">
        <v>2026</v>
      </c>
      <c r="B9550">
        <v>36</v>
      </c>
      <c r="C9550" t="s">
        <v>54</v>
      </c>
      <c r="D9550" t="s">
        <v>11</v>
      </c>
      <c r="E9550" t="s">
        <v>79</v>
      </c>
      <c r="F9550" t="s">
        <v>67</v>
      </c>
      <c r="G9550" t="str">
        <f t="shared" si="402"/>
        <v>008DEEP PURPLE</v>
      </c>
      <c r="H9550" s="5">
        <v>2100</v>
      </c>
      <c r="I9550" s="6">
        <v>1585.2222221588099</v>
      </c>
      <c r="J9550" s="5">
        <v>11490</v>
      </c>
      <c r="K9550" s="6">
        <f t="shared" si="401"/>
        <v>1.324735403431418</v>
      </c>
    </row>
    <row r="9551" spans="1:11" hidden="1">
      <c r="A9551" s="4">
        <v>2026</v>
      </c>
      <c r="B9551">
        <v>36</v>
      </c>
      <c r="C9551" t="s">
        <v>54</v>
      </c>
      <c r="D9551" t="s">
        <v>11</v>
      </c>
      <c r="E9551" t="s">
        <v>79</v>
      </c>
      <c r="F9551" t="s">
        <v>81</v>
      </c>
      <c r="G9551" t="str">
        <f t="shared" si="402"/>
        <v>008FREEDOM</v>
      </c>
      <c r="H9551" s="5">
        <v>2430</v>
      </c>
      <c r="I9551" s="6">
        <v>2219.311111022334</v>
      </c>
      <c r="J9551" s="5">
        <v>16800</v>
      </c>
      <c r="K9551" s="6">
        <f t="shared" si="401"/>
        <v>1.0949343640606617</v>
      </c>
    </row>
    <row r="9552" spans="1:11" hidden="1">
      <c r="A9552" s="4">
        <v>2026</v>
      </c>
      <c r="B9552">
        <v>36</v>
      </c>
      <c r="C9552" t="s">
        <v>54</v>
      </c>
      <c r="D9552" t="s">
        <v>11</v>
      </c>
      <c r="E9552" t="s">
        <v>79</v>
      </c>
      <c r="F9552" t="s">
        <v>68</v>
      </c>
      <c r="G9552" t="str">
        <f t="shared" si="402"/>
        <v>008JOCKER</v>
      </c>
      <c r="H9552" s="5">
        <v>4050</v>
      </c>
      <c r="I9552" s="6">
        <v>2959.0814813631118</v>
      </c>
      <c r="J9552" s="5">
        <v>22400</v>
      </c>
      <c r="K9552" s="6">
        <f t="shared" si="401"/>
        <v>1.3686679550758274</v>
      </c>
    </row>
    <row r="9553" spans="1:11" hidden="1">
      <c r="A9553" s="4">
        <v>2026</v>
      </c>
      <c r="B9553">
        <v>36</v>
      </c>
      <c r="C9553" t="s">
        <v>54</v>
      </c>
      <c r="D9553" t="s">
        <v>11</v>
      </c>
      <c r="E9553" t="s">
        <v>79</v>
      </c>
      <c r="F9553" t="s">
        <v>61</v>
      </c>
      <c r="G9553" t="str">
        <f t="shared" si="402"/>
        <v>008LUMIA</v>
      </c>
      <c r="H9553" s="5">
        <v>0</v>
      </c>
      <c r="I9553" s="6">
        <v>1796.5851851133182</v>
      </c>
      <c r="J9553" s="5">
        <v>13600</v>
      </c>
      <c r="K9553" s="6">
        <f t="shared" si="401"/>
        <v>0</v>
      </c>
    </row>
    <row r="9554" spans="1:11" hidden="1">
      <c r="A9554" s="4">
        <v>2026</v>
      </c>
      <c r="B9554">
        <v>36</v>
      </c>
      <c r="C9554" t="s">
        <v>54</v>
      </c>
      <c r="D9554" t="s">
        <v>11</v>
      </c>
      <c r="E9554" t="s">
        <v>82</v>
      </c>
      <c r="F9554" t="s">
        <v>83</v>
      </c>
      <c r="G9554" t="str">
        <f t="shared" si="402"/>
        <v>010COOLDOWN</v>
      </c>
      <c r="H9554" s="5">
        <v>2875</v>
      </c>
      <c r="I9554" s="6">
        <v>1912.3542857142861</v>
      </c>
      <c r="J9554" s="5">
        <v>16320</v>
      </c>
      <c r="K9554" s="6">
        <f t="shared" si="401"/>
        <v>1.5033825172860973</v>
      </c>
    </row>
    <row r="9555" spans="1:11" hidden="1">
      <c r="A9555" s="4">
        <v>2026</v>
      </c>
      <c r="B9555">
        <v>36</v>
      </c>
      <c r="C9555" t="s">
        <v>54</v>
      </c>
      <c r="D9555" t="s">
        <v>11</v>
      </c>
      <c r="E9555" t="s">
        <v>82</v>
      </c>
      <c r="F9555" t="s">
        <v>84</v>
      </c>
      <c r="G9555" t="str">
        <f t="shared" si="402"/>
        <v>010VIOLET HILL</v>
      </c>
      <c r="H9555" s="5">
        <v>5640</v>
      </c>
      <c r="I9555" s="6">
        <v>2812.2857142428579</v>
      </c>
      <c r="J9555" s="5">
        <v>20000</v>
      </c>
      <c r="K9555" s="6">
        <f t="shared" si="401"/>
        <v>2.0054861323073063</v>
      </c>
    </row>
    <row r="9556" spans="1:11" hidden="1">
      <c r="A9556" s="4">
        <v>2026</v>
      </c>
      <c r="B9556">
        <v>36</v>
      </c>
      <c r="C9556" t="s">
        <v>54</v>
      </c>
      <c r="D9556" t="s">
        <v>11</v>
      </c>
      <c r="E9556" t="s">
        <v>85</v>
      </c>
      <c r="F9556" t="s">
        <v>86</v>
      </c>
      <c r="G9556" t="str">
        <f t="shared" si="402"/>
        <v>011BRIGHTON</v>
      </c>
      <c r="H9556" s="5">
        <v>2825</v>
      </c>
      <c r="I9556" s="6">
        <v>1768.8376470588223</v>
      </c>
      <c r="J9556" s="5">
        <v>12800</v>
      </c>
      <c r="K9556" s="6">
        <f t="shared" si="401"/>
        <v>1.5970940039055237</v>
      </c>
    </row>
    <row r="9557" spans="1:11" hidden="1">
      <c r="A9557" s="4">
        <v>2026</v>
      </c>
      <c r="B9557">
        <v>36</v>
      </c>
      <c r="C9557" t="s">
        <v>54</v>
      </c>
      <c r="D9557" t="s">
        <v>11</v>
      </c>
      <c r="E9557" t="s">
        <v>85</v>
      </c>
      <c r="F9557" t="s">
        <v>87</v>
      </c>
      <c r="G9557" t="str">
        <f t="shared" si="402"/>
        <v>011CANDLELIGHT</v>
      </c>
      <c r="H9557" s="5">
        <v>6180</v>
      </c>
      <c r="I9557" s="6">
        <v>2263.7999998868127</v>
      </c>
      <c r="J9557" s="5">
        <v>17920</v>
      </c>
      <c r="K9557" s="6">
        <f t="shared" si="401"/>
        <v>2.7299231382228966</v>
      </c>
    </row>
    <row r="9558" spans="1:11" hidden="1">
      <c r="A9558" s="4">
        <v>2026</v>
      </c>
      <c r="B9558">
        <v>36</v>
      </c>
      <c r="C9558" t="s">
        <v>54</v>
      </c>
      <c r="D9558" t="s">
        <v>11</v>
      </c>
      <c r="E9558" t="s">
        <v>85</v>
      </c>
      <c r="F9558" t="s">
        <v>88</v>
      </c>
      <c r="G9558" t="str">
        <f t="shared" si="402"/>
        <v>011CAYENNE</v>
      </c>
      <c r="H9558" s="5">
        <v>510</v>
      </c>
      <c r="I9558" s="6">
        <v>994.97117647058747</v>
      </c>
      <c r="J9558" s="5">
        <v>7200</v>
      </c>
      <c r="K9558" s="6">
        <f t="shared" si="401"/>
        <v>0.5125776626103864</v>
      </c>
    </row>
    <row r="9559" spans="1:11" hidden="1">
      <c r="A9559" s="4">
        <v>2026</v>
      </c>
      <c r="B9559">
        <v>36</v>
      </c>
      <c r="C9559" t="s">
        <v>54</v>
      </c>
      <c r="D9559" t="s">
        <v>11</v>
      </c>
      <c r="E9559" t="s">
        <v>85</v>
      </c>
      <c r="F9559" t="s">
        <v>61</v>
      </c>
      <c r="G9559" t="str">
        <f t="shared" si="402"/>
        <v>011LUMIA</v>
      </c>
      <c r="H9559" s="5">
        <v>1740</v>
      </c>
      <c r="I9559" s="6">
        <v>994.97117647058747</v>
      </c>
      <c r="J9559" s="5">
        <v>7920</v>
      </c>
      <c r="K9559" s="6">
        <f t="shared" si="401"/>
        <v>1.7487943783177888</v>
      </c>
    </row>
    <row r="9560" spans="1:11" hidden="1">
      <c r="A9560" s="4">
        <v>2026</v>
      </c>
      <c r="B9560">
        <v>36</v>
      </c>
      <c r="C9560" t="s">
        <v>54</v>
      </c>
      <c r="D9560" t="s">
        <v>11</v>
      </c>
      <c r="E9560" t="s">
        <v>85</v>
      </c>
      <c r="F9560" t="s">
        <v>89</v>
      </c>
      <c r="G9560" t="str">
        <f t="shared" si="402"/>
        <v>011STARDUST</v>
      </c>
      <c r="H9560" s="5">
        <v>3175</v>
      </c>
      <c r="I9560" s="6">
        <v>2263.7999998868127</v>
      </c>
      <c r="J9560" s="5">
        <v>17920</v>
      </c>
      <c r="K9560" s="6">
        <f t="shared" si="401"/>
        <v>1.4025090556404038</v>
      </c>
    </row>
    <row r="9561" spans="1:11" hidden="1">
      <c r="A9561" s="4">
        <v>2026</v>
      </c>
      <c r="B9561">
        <v>36</v>
      </c>
      <c r="C9561" t="s">
        <v>54</v>
      </c>
      <c r="D9561" t="s">
        <v>11</v>
      </c>
      <c r="E9561" t="s">
        <v>90</v>
      </c>
      <c r="F9561" t="s">
        <v>67</v>
      </c>
      <c r="G9561" t="str">
        <f t="shared" si="402"/>
        <v>012DEEP PURPLE</v>
      </c>
      <c r="H9561" s="5">
        <v>12150</v>
      </c>
      <c r="I9561" s="6">
        <v>6727.0499997982479</v>
      </c>
      <c r="J9561" s="5">
        <v>49210</v>
      </c>
      <c r="K9561" s="6">
        <f t="shared" si="401"/>
        <v>1.8061408790427294</v>
      </c>
    </row>
    <row r="9562" spans="1:11" hidden="1">
      <c r="A9562" s="4">
        <v>2026</v>
      </c>
      <c r="B9562">
        <v>36</v>
      </c>
      <c r="C9562" t="s">
        <v>54</v>
      </c>
      <c r="D9562" t="s">
        <v>11</v>
      </c>
      <c r="E9562" t="s">
        <v>90</v>
      </c>
      <c r="F9562" t="s">
        <v>60</v>
      </c>
      <c r="G9562" t="str">
        <f t="shared" si="402"/>
        <v>012LIGHT HOUSE</v>
      </c>
      <c r="H9562" s="5">
        <v>870</v>
      </c>
      <c r="I9562" s="6">
        <v>994.95</v>
      </c>
      <c r="J9562" s="5">
        <v>7200</v>
      </c>
      <c r="K9562" s="6">
        <f t="shared" si="401"/>
        <v>0.87441579978893402</v>
      </c>
    </row>
    <row r="9563" spans="1:11" hidden="1">
      <c r="A9563" s="4">
        <v>2026</v>
      </c>
      <c r="B9563">
        <v>36</v>
      </c>
      <c r="C9563" t="s">
        <v>54</v>
      </c>
      <c r="D9563" t="s">
        <v>11</v>
      </c>
      <c r="E9563" t="s">
        <v>91</v>
      </c>
      <c r="F9563" t="s">
        <v>92</v>
      </c>
      <c r="G9563" t="str">
        <f t="shared" si="402"/>
        <v>013COUNTRY BLUES</v>
      </c>
      <c r="H9563" s="5">
        <v>1050</v>
      </c>
      <c r="I9563" s="6">
        <v>831.6</v>
      </c>
      <c r="J9563" s="5">
        <v>6300</v>
      </c>
      <c r="K9563" s="6">
        <f t="shared" si="401"/>
        <v>1.2626262626262625</v>
      </c>
    </row>
    <row r="9564" spans="1:11" hidden="1">
      <c r="A9564" s="4">
        <v>2026</v>
      </c>
      <c r="B9564">
        <v>36</v>
      </c>
      <c r="C9564" t="s">
        <v>54</v>
      </c>
      <c r="D9564" t="s">
        <v>11</v>
      </c>
      <c r="E9564" t="s">
        <v>91</v>
      </c>
      <c r="F9564" t="s">
        <v>93</v>
      </c>
      <c r="G9564" t="str">
        <f t="shared" si="402"/>
        <v>013LORRAINE</v>
      </c>
      <c r="H9564" s="5">
        <v>2900</v>
      </c>
      <c r="I9564" s="6">
        <v>1267.2</v>
      </c>
      <c r="J9564" s="5">
        <v>9600</v>
      </c>
      <c r="K9564" s="6">
        <f t="shared" si="401"/>
        <v>2.2885101010101008</v>
      </c>
    </row>
    <row r="9565" spans="1:11" hidden="1">
      <c r="A9565" s="4">
        <v>2026</v>
      </c>
      <c r="B9565">
        <v>36</v>
      </c>
      <c r="C9565" t="s">
        <v>54</v>
      </c>
      <c r="D9565" t="s">
        <v>11</v>
      </c>
      <c r="E9565" t="s">
        <v>91</v>
      </c>
      <c r="F9565" t="s">
        <v>61</v>
      </c>
      <c r="G9565" t="str">
        <f t="shared" si="402"/>
        <v>013LUMIA</v>
      </c>
      <c r="H9565" s="5">
        <v>360</v>
      </c>
      <c r="I9565" s="6">
        <v>316.8</v>
      </c>
      <c r="J9565" s="5">
        <v>2400</v>
      </c>
      <c r="K9565" s="6">
        <f t="shared" si="401"/>
        <v>1.1363636363636362</v>
      </c>
    </row>
    <row r="9566" spans="1:11" hidden="1">
      <c r="A9566" s="4">
        <v>2026</v>
      </c>
      <c r="B9566">
        <v>36</v>
      </c>
      <c r="C9566" t="s">
        <v>54</v>
      </c>
      <c r="D9566" t="s">
        <v>11</v>
      </c>
      <c r="E9566" t="s">
        <v>91</v>
      </c>
      <c r="F9566" t="s">
        <v>74</v>
      </c>
      <c r="G9566" t="str">
        <f t="shared" si="402"/>
        <v>013VENDELA</v>
      </c>
      <c r="H9566" s="5">
        <v>5220</v>
      </c>
      <c r="I9566" s="6">
        <v>3603.6</v>
      </c>
      <c r="J9566" s="5">
        <v>27296</v>
      </c>
      <c r="K9566" s="6">
        <f t="shared" si="401"/>
        <v>1.4485514485514486</v>
      </c>
    </row>
    <row r="9567" spans="1:11" hidden="1">
      <c r="A9567" s="4">
        <v>2026</v>
      </c>
      <c r="B9567">
        <v>36</v>
      </c>
      <c r="C9567" t="s">
        <v>54</v>
      </c>
      <c r="D9567" t="s">
        <v>11</v>
      </c>
      <c r="E9567" t="s">
        <v>23</v>
      </c>
      <c r="F9567" t="s">
        <v>89</v>
      </c>
      <c r="G9567" t="str">
        <f t="shared" si="402"/>
        <v>014STARDUST</v>
      </c>
      <c r="H9567" s="5">
        <v>4550</v>
      </c>
      <c r="I9567" s="6">
        <v>3682.8</v>
      </c>
      <c r="J9567" s="5">
        <v>27900</v>
      </c>
      <c r="K9567" s="6">
        <f t="shared" si="401"/>
        <v>1.235473009666558</v>
      </c>
    </row>
    <row r="9568" spans="1:11" hidden="1">
      <c r="A9568" s="4">
        <v>2026</v>
      </c>
      <c r="B9568">
        <v>36</v>
      </c>
      <c r="C9568" t="s">
        <v>54</v>
      </c>
      <c r="D9568" t="s">
        <v>11</v>
      </c>
      <c r="E9568" t="s">
        <v>25</v>
      </c>
      <c r="F9568" t="s">
        <v>68</v>
      </c>
      <c r="G9568" t="str">
        <f t="shared" si="402"/>
        <v>015JOCKER</v>
      </c>
      <c r="H9568" s="5">
        <v>4325</v>
      </c>
      <c r="I9568" s="6">
        <v>2376</v>
      </c>
      <c r="J9568" s="5">
        <v>18000</v>
      </c>
      <c r="K9568" s="6">
        <f t="shared" si="401"/>
        <v>1.8202861952861953</v>
      </c>
    </row>
    <row r="9569" spans="1:11" hidden="1">
      <c r="A9569" s="4">
        <v>2026</v>
      </c>
      <c r="B9569">
        <v>36</v>
      </c>
      <c r="C9569" t="s">
        <v>54</v>
      </c>
      <c r="D9569" t="s">
        <v>11</v>
      </c>
      <c r="E9569" t="s">
        <v>27</v>
      </c>
      <c r="F9569" t="s">
        <v>94</v>
      </c>
      <c r="G9569" t="str">
        <f t="shared" si="402"/>
        <v>016DREAM IN PEACH</v>
      </c>
      <c r="H9569" s="5">
        <v>600</v>
      </c>
      <c r="I9569" s="6">
        <v>950.4</v>
      </c>
      <c r="J9569" s="5">
        <v>7200</v>
      </c>
      <c r="K9569" s="6">
        <f t="shared" si="401"/>
        <v>0.63131313131313138</v>
      </c>
    </row>
    <row r="9570" spans="1:11" hidden="1">
      <c r="A9570" s="4">
        <v>2026</v>
      </c>
      <c r="B9570">
        <v>36</v>
      </c>
      <c r="C9570" t="s">
        <v>54</v>
      </c>
      <c r="D9570" t="s">
        <v>11</v>
      </c>
      <c r="E9570" t="s">
        <v>27</v>
      </c>
      <c r="F9570" t="s">
        <v>95</v>
      </c>
      <c r="G9570" t="str">
        <f t="shared" si="402"/>
        <v>016NINA</v>
      </c>
      <c r="H9570" s="5">
        <v>2250</v>
      </c>
      <c r="I9570" s="6">
        <v>1346.4</v>
      </c>
      <c r="J9570" s="5">
        <v>10200</v>
      </c>
      <c r="K9570" s="6">
        <f t="shared" si="401"/>
        <v>1.6711229946524062</v>
      </c>
    </row>
    <row r="9571" spans="1:11" hidden="1">
      <c r="A9571" s="4">
        <v>2026</v>
      </c>
      <c r="B9571">
        <v>36</v>
      </c>
      <c r="C9571" t="s">
        <v>54</v>
      </c>
      <c r="D9571" t="s">
        <v>11</v>
      </c>
      <c r="E9571" t="s">
        <v>30</v>
      </c>
      <c r="F9571" t="s">
        <v>81</v>
      </c>
      <c r="G9571" t="str">
        <f t="shared" si="402"/>
        <v>017FREEDOM</v>
      </c>
      <c r="H9571" s="5">
        <v>4200</v>
      </c>
      <c r="I9571" s="6">
        <v>2851.2</v>
      </c>
      <c r="J9571" s="5">
        <v>21600</v>
      </c>
      <c r="K9571" s="6">
        <f t="shared" si="401"/>
        <v>1.4730639730639732</v>
      </c>
    </row>
    <row r="9572" spans="1:11" hidden="1">
      <c r="A9572" s="4">
        <v>2026</v>
      </c>
      <c r="B9572">
        <v>36</v>
      </c>
      <c r="C9572" t="s">
        <v>54</v>
      </c>
      <c r="D9572" t="s">
        <v>11</v>
      </c>
      <c r="E9572" t="s">
        <v>30</v>
      </c>
      <c r="F9572" t="s">
        <v>73</v>
      </c>
      <c r="G9572" t="str">
        <f t="shared" si="402"/>
        <v>017GOLDFINCH</v>
      </c>
      <c r="H9572" s="5">
        <v>2650</v>
      </c>
      <c r="I9572" s="6">
        <v>2138.4</v>
      </c>
      <c r="J9572" s="5">
        <v>16200</v>
      </c>
      <c r="K9572" s="6">
        <f t="shared" si="401"/>
        <v>1.2392442947998503</v>
      </c>
    </row>
    <row r="9573" spans="1:11" hidden="1">
      <c r="A9573" s="4">
        <v>2026</v>
      </c>
      <c r="B9573">
        <v>36</v>
      </c>
      <c r="C9573" t="s">
        <v>54</v>
      </c>
      <c r="D9573" t="s">
        <v>11</v>
      </c>
      <c r="E9573" t="s">
        <v>32</v>
      </c>
      <c r="F9573" t="s">
        <v>86</v>
      </c>
      <c r="G9573" t="str">
        <f t="shared" si="402"/>
        <v>018BRIGHTON</v>
      </c>
      <c r="H9573" s="5">
        <v>1300</v>
      </c>
      <c r="I9573" s="6">
        <v>963.6</v>
      </c>
      <c r="J9573" s="5">
        <v>7570</v>
      </c>
      <c r="K9573" s="6">
        <f t="shared" si="401"/>
        <v>1.349107513491075</v>
      </c>
    </row>
    <row r="9574" spans="1:11" hidden="1">
      <c r="A9574" s="4">
        <v>2026</v>
      </c>
      <c r="B9574">
        <v>36</v>
      </c>
      <c r="C9574" t="s">
        <v>54</v>
      </c>
      <c r="D9574" t="s">
        <v>11</v>
      </c>
      <c r="E9574" t="s">
        <v>35</v>
      </c>
      <c r="F9574" t="s">
        <v>86</v>
      </c>
      <c r="G9574" t="str">
        <f t="shared" si="402"/>
        <v>019BRIGHTON</v>
      </c>
      <c r="H9574" s="5">
        <v>3850</v>
      </c>
      <c r="I9574" s="6">
        <v>3168</v>
      </c>
      <c r="J9574" s="5">
        <v>24000</v>
      </c>
      <c r="K9574" s="6">
        <f t="shared" si="401"/>
        <v>1.2152777777777777</v>
      </c>
    </row>
    <row r="9575" spans="1:11" hidden="1">
      <c r="A9575" s="4">
        <v>2026</v>
      </c>
      <c r="B9575">
        <v>36</v>
      </c>
      <c r="C9575" t="s">
        <v>54</v>
      </c>
      <c r="D9575" t="s">
        <v>11</v>
      </c>
      <c r="E9575" t="s">
        <v>35</v>
      </c>
      <c r="F9575" t="s">
        <v>96</v>
      </c>
      <c r="G9575" t="str">
        <f t="shared" si="402"/>
        <v>019TABATHA</v>
      </c>
      <c r="H9575" s="5">
        <v>1740</v>
      </c>
      <c r="I9575" s="6">
        <v>1188</v>
      </c>
      <c r="J9575" s="5">
        <v>9000</v>
      </c>
      <c r="K9575" s="6">
        <f t="shared" si="401"/>
        <v>1.4646464646464648</v>
      </c>
    </row>
    <row r="9576" spans="1:11" hidden="1">
      <c r="A9576" s="4">
        <v>2026</v>
      </c>
      <c r="B9576">
        <v>36</v>
      </c>
      <c r="C9576" t="s">
        <v>54</v>
      </c>
      <c r="D9576" t="s">
        <v>11</v>
      </c>
      <c r="E9576" t="s">
        <v>36</v>
      </c>
      <c r="F9576" t="s">
        <v>86</v>
      </c>
      <c r="G9576" t="str">
        <f t="shared" si="402"/>
        <v>020BRIGHTON</v>
      </c>
      <c r="H9576" s="5">
        <v>3650</v>
      </c>
      <c r="I9576" s="6">
        <v>2732.4</v>
      </c>
      <c r="J9576" s="5">
        <v>20700</v>
      </c>
      <c r="K9576" s="6">
        <f t="shared" si="401"/>
        <v>1.335821987995901</v>
      </c>
    </row>
    <row r="9577" spans="1:11" hidden="1">
      <c r="A9577" s="4">
        <v>2026</v>
      </c>
      <c r="B9577">
        <v>36</v>
      </c>
      <c r="C9577" t="s">
        <v>54</v>
      </c>
      <c r="D9577" t="s">
        <v>11</v>
      </c>
      <c r="E9577" t="s">
        <v>36</v>
      </c>
      <c r="F9577" t="s">
        <v>97</v>
      </c>
      <c r="G9577" t="str">
        <f t="shared" si="402"/>
        <v>020TYCOON</v>
      </c>
      <c r="H9577" s="5">
        <v>780</v>
      </c>
      <c r="I9577" s="6">
        <v>673.2</v>
      </c>
      <c r="J9577" s="5">
        <v>5100</v>
      </c>
      <c r="K9577" s="6">
        <f t="shared" si="401"/>
        <v>1.1586452762923349</v>
      </c>
    </row>
    <row r="9578" spans="1:11" hidden="1">
      <c r="A9578" s="4">
        <v>2026</v>
      </c>
      <c r="B9578">
        <v>36</v>
      </c>
      <c r="C9578" t="s">
        <v>54</v>
      </c>
      <c r="D9578" t="s">
        <v>11</v>
      </c>
      <c r="E9578" t="s">
        <v>38</v>
      </c>
      <c r="F9578" t="s">
        <v>98</v>
      </c>
      <c r="G9578" t="str">
        <f t="shared" si="402"/>
        <v>021SHOW GIRL</v>
      </c>
      <c r="H9578" s="5">
        <v>2350</v>
      </c>
      <c r="I9578" s="6">
        <v>1100.4749999999999</v>
      </c>
      <c r="J9578" s="5">
        <v>8000</v>
      </c>
      <c r="K9578" s="6">
        <f t="shared" si="401"/>
        <v>2.1354415138917289</v>
      </c>
    </row>
    <row r="9579" spans="1:11" hidden="1">
      <c r="A9579" s="4">
        <v>2026</v>
      </c>
      <c r="B9579">
        <v>36</v>
      </c>
      <c r="C9579" t="s">
        <v>54</v>
      </c>
      <c r="D9579" t="s">
        <v>11</v>
      </c>
      <c r="E9579" t="s">
        <v>43</v>
      </c>
      <c r="F9579" t="s">
        <v>99</v>
      </c>
      <c r="G9579" t="str">
        <f t="shared" si="402"/>
        <v>022CORAL REEF</v>
      </c>
      <c r="H9579" s="5">
        <v>1400</v>
      </c>
      <c r="I9579" s="6">
        <v>1287</v>
      </c>
      <c r="J9579" s="5">
        <v>9400</v>
      </c>
      <c r="K9579" s="6">
        <f t="shared" si="401"/>
        <v>1.0878010878010878</v>
      </c>
    </row>
    <row r="9580" spans="1:11" hidden="1">
      <c r="A9580" s="4">
        <v>2026</v>
      </c>
      <c r="B9580">
        <v>36</v>
      </c>
      <c r="C9580" t="s">
        <v>54</v>
      </c>
      <c r="D9580" t="s">
        <v>11</v>
      </c>
      <c r="E9580" t="s">
        <v>100</v>
      </c>
      <c r="F9580" t="s">
        <v>70</v>
      </c>
      <c r="G9580" t="str">
        <f t="shared" si="402"/>
        <v>023COTOPAXI</v>
      </c>
      <c r="H9580" s="5">
        <v>8250</v>
      </c>
      <c r="I9580" s="6">
        <v>2641.14</v>
      </c>
      <c r="J9580" s="5">
        <v>19200</v>
      </c>
      <c r="K9580" s="6">
        <f t="shared" si="401"/>
        <v>3.1236511506394966</v>
      </c>
    </row>
    <row r="9581" spans="1:11" hidden="1">
      <c r="A9581" s="4">
        <v>2026</v>
      </c>
      <c r="B9581">
        <v>36</v>
      </c>
      <c r="C9581" t="s">
        <v>54</v>
      </c>
      <c r="D9581" t="s">
        <v>11</v>
      </c>
      <c r="E9581" t="s">
        <v>100</v>
      </c>
      <c r="F9581" t="s">
        <v>101</v>
      </c>
      <c r="G9581" t="str">
        <f t="shared" si="402"/>
        <v>023FRUTTETO</v>
      </c>
      <c r="H9581" s="5">
        <v>3960</v>
      </c>
      <c r="I9581" s="6">
        <v>2641.14</v>
      </c>
      <c r="J9581" s="5">
        <v>19200</v>
      </c>
      <c r="K9581" s="6">
        <f t="shared" si="401"/>
        <v>1.4993525523069584</v>
      </c>
    </row>
    <row r="9582" spans="1:11" hidden="1">
      <c r="A9582" s="4">
        <v>2026</v>
      </c>
      <c r="B9582">
        <v>36</v>
      </c>
      <c r="C9582" t="s">
        <v>54</v>
      </c>
      <c r="D9582" t="s">
        <v>11</v>
      </c>
      <c r="E9582" t="s">
        <v>102</v>
      </c>
      <c r="F9582" t="s">
        <v>70</v>
      </c>
      <c r="G9582" t="str">
        <f t="shared" si="402"/>
        <v>024COTOPAXI</v>
      </c>
      <c r="H9582" s="5">
        <v>4080</v>
      </c>
      <c r="I9582" s="6">
        <v>1430.6174906250001</v>
      </c>
      <c r="J9582" s="5">
        <v>10400</v>
      </c>
      <c r="K9582" s="6">
        <f t="shared" si="401"/>
        <v>2.8519153629371279</v>
      </c>
    </row>
    <row r="9583" spans="1:11" hidden="1">
      <c r="A9583" s="4">
        <v>2026</v>
      </c>
      <c r="B9583">
        <v>36</v>
      </c>
      <c r="C9583" t="s">
        <v>54</v>
      </c>
      <c r="D9583" t="s">
        <v>11</v>
      </c>
      <c r="E9583" t="s">
        <v>102</v>
      </c>
      <c r="F9583" t="s">
        <v>64</v>
      </c>
      <c r="G9583" t="str">
        <f t="shared" si="402"/>
        <v>024SWEETNESS</v>
      </c>
      <c r="H9583" s="5">
        <v>3450</v>
      </c>
      <c r="I9583" s="6">
        <v>1430.6175000000001</v>
      </c>
      <c r="J9583" s="5">
        <v>10400</v>
      </c>
      <c r="K9583" s="6">
        <f t="shared" si="401"/>
        <v>2.4115460631510519</v>
      </c>
    </row>
    <row r="9584" spans="1:11" hidden="1">
      <c r="A9584" s="4">
        <v>2026</v>
      </c>
      <c r="B9584">
        <v>36</v>
      </c>
      <c r="C9584" t="s">
        <v>54</v>
      </c>
      <c r="D9584" t="s">
        <v>11</v>
      </c>
      <c r="E9584" t="s">
        <v>102</v>
      </c>
      <c r="F9584" t="s">
        <v>97</v>
      </c>
      <c r="G9584" t="str">
        <f t="shared" si="402"/>
        <v>024TYCOON</v>
      </c>
      <c r="H9584" s="5">
        <v>5010</v>
      </c>
      <c r="I9584" s="6">
        <v>2861.2350000000001</v>
      </c>
      <c r="J9584" s="5">
        <v>20800</v>
      </c>
      <c r="K9584" s="6">
        <f t="shared" si="401"/>
        <v>1.7509921415053289</v>
      </c>
    </row>
    <row r="9585" spans="1:11" hidden="1">
      <c r="A9585" s="4">
        <v>2026</v>
      </c>
      <c r="B9585">
        <v>36</v>
      </c>
      <c r="C9585" t="s">
        <v>54</v>
      </c>
      <c r="D9585" t="s">
        <v>11</v>
      </c>
      <c r="E9585" t="s">
        <v>103</v>
      </c>
      <c r="F9585" t="s">
        <v>104</v>
      </c>
      <c r="G9585" t="str">
        <f t="shared" si="402"/>
        <v>025PINK MONDIAL</v>
      </c>
      <c r="H9585" s="5">
        <v>4225</v>
      </c>
      <c r="I9585" s="6">
        <v>3071.9505625000002</v>
      </c>
      <c r="J9585" s="5">
        <v>22400</v>
      </c>
      <c r="K9585" s="6">
        <f t="shared" si="401"/>
        <v>1.3753476542153824</v>
      </c>
    </row>
    <row r="9586" spans="1:11" hidden="1">
      <c r="A9586" s="4">
        <v>2026</v>
      </c>
      <c r="B9586">
        <v>36</v>
      </c>
      <c r="C9586" t="s">
        <v>54</v>
      </c>
      <c r="D9586" t="s">
        <v>11</v>
      </c>
      <c r="E9586" t="s">
        <v>45</v>
      </c>
      <c r="F9586" t="s">
        <v>105</v>
      </c>
      <c r="G9586" t="str">
        <f t="shared" si="402"/>
        <v>026LOLA</v>
      </c>
      <c r="H9586" s="5">
        <v>2975</v>
      </c>
      <c r="I9586" s="6">
        <v>1097.125</v>
      </c>
      <c r="J9586" s="5">
        <v>8000</v>
      </c>
      <c r="K9586" s="6">
        <f t="shared" si="401"/>
        <v>2.7116326763130911</v>
      </c>
    </row>
    <row r="9587" spans="1:11" hidden="1">
      <c r="A9587" s="4">
        <v>2026</v>
      </c>
      <c r="B9587">
        <v>36</v>
      </c>
      <c r="C9587" t="s">
        <v>54</v>
      </c>
      <c r="D9587" t="s">
        <v>11</v>
      </c>
      <c r="E9587" t="s">
        <v>45</v>
      </c>
      <c r="F9587" t="s">
        <v>106</v>
      </c>
      <c r="G9587" t="str">
        <f t="shared" si="402"/>
        <v>026PALOMA</v>
      </c>
      <c r="H9587" s="5">
        <v>4425</v>
      </c>
      <c r="I9587" s="6">
        <v>2852.5250000000001</v>
      </c>
      <c r="J9587" s="5">
        <v>20800</v>
      </c>
      <c r="K9587" s="6">
        <f t="shared" si="401"/>
        <v>1.5512572194809862</v>
      </c>
    </row>
    <row r="9588" spans="1:11" hidden="1">
      <c r="A9588" s="4">
        <v>2026</v>
      </c>
      <c r="B9588">
        <v>36</v>
      </c>
      <c r="C9588" t="s">
        <v>54</v>
      </c>
      <c r="D9588" t="s">
        <v>11</v>
      </c>
      <c r="E9588" t="s">
        <v>107</v>
      </c>
      <c r="F9588" t="s">
        <v>108</v>
      </c>
      <c r="G9588" t="str">
        <f t="shared" si="402"/>
        <v>027SATISFACTION</v>
      </c>
      <c r="H9588" s="5">
        <v>4050</v>
      </c>
      <c r="I9588" s="6">
        <v>2633.1</v>
      </c>
      <c r="J9588" s="5">
        <v>19200</v>
      </c>
      <c r="K9588" s="6">
        <f t="shared" si="401"/>
        <v>1.538110971858266</v>
      </c>
    </row>
    <row r="9589" spans="1:11" hidden="1">
      <c r="A9589" s="4">
        <v>2026</v>
      </c>
      <c r="B9589">
        <v>36</v>
      </c>
      <c r="C9589" t="s">
        <v>54</v>
      </c>
      <c r="D9589" t="s">
        <v>11</v>
      </c>
      <c r="E9589" t="s">
        <v>107</v>
      </c>
      <c r="F9589" t="s">
        <v>109</v>
      </c>
      <c r="G9589" t="str">
        <f t="shared" si="402"/>
        <v>027TIFFANY</v>
      </c>
      <c r="H9589" s="5">
        <v>4830</v>
      </c>
      <c r="I9589" s="6">
        <v>2633.1</v>
      </c>
      <c r="J9589" s="5">
        <v>19200</v>
      </c>
      <c r="K9589" s="6">
        <f t="shared" si="401"/>
        <v>1.8343397516235616</v>
      </c>
    </row>
    <row r="9590" spans="1:11" hidden="1">
      <c r="A9590" s="4">
        <v>2026</v>
      </c>
      <c r="B9590">
        <v>36</v>
      </c>
      <c r="C9590" t="s">
        <v>54</v>
      </c>
      <c r="D9590" t="s">
        <v>11</v>
      </c>
      <c r="E9590" t="s">
        <v>110</v>
      </c>
      <c r="F9590" t="s">
        <v>70</v>
      </c>
      <c r="G9590" t="str">
        <f t="shared" si="402"/>
        <v>028COTOPAXI</v>
      </c>
      <c r="H9590" s="5">
        <v>5910</v>
      </c>
      <c r="I9590" s="6">
        <v>2852.5250000000001</v>
      </c>
      <c r="J9590" s="5">
        <v>20800</v>
      </c>
      <c r="K9590" s="6">
        <f t="shared" si="401"/>
        <v>2.0718486253407069</v>
      </c>
    </row>
    <row r="9591" spans="1:11" hidden="1">
      <c r="A9591" s="4">
        <v>2026</v>
      </c>
      <c r="B9591">
        <v>36</v>
      </c>
      <c r="C9591" t="s">
        <v>54</v>
      </c>
      <c r="D9591" t="s">
        <v>11</v>
      </c>
      <c r="E9591" t="s">
        <v>110</v>
      </c>
      <c r="F9591" t="s">
        <v>67</v>
      </c>
      <c r="G9591" t="str">
        <f t="shared" si="402"/>
        <v>028DEEP PURPLE</v>
      </c>
      <c r="H9591" s="5">
        <v>6060</v>
      </c>
      <c r="I9591" s="6">
        <v>2852.5250000000001</v>
      </c>
      <c r="J9591" s="5">
        <v>20800</v>
      </c>
      <c r="K9591" s="6">
        <f t="shared" ref="K9591:K9628" si="403">+H9591/I9591</f>
        <v>2.1244336158315877</v>
      </c>
    </row>
    <row r="9592" spans="1:11" hidden="1">
      <c r="A9592" s="4">
        <v>2026</v>
      </c>
      <c r="B9592">
        <v>36</v>
      </c>
      <c r="C9592" t="s">
        <v>54</v>
      </c>
      <c r="D9592" t="s">
        <v>11</v>
      </c>
      <c r="E9592" t="s">
        <v>111</v>
      </c>
      <c r="F9592" t="s">
        <v>112</v>
      </c>
      <c r="G9592" t="str">
        <f t="shared" si="402"/>
        <v>029PINK FLOYD</v>
      </c>
      <c r="H9592" s="5">
        <v>2800</v>
      </c>
      <c r="I9592" s="6">
        <v>3071.95</v>
      </c>
      <c r="J9592" s="5">
        <v>22400</v>
      </c>
      <c r="K9592" s="6">
        <f t="shared" si="403"/>
        <v>0.91147316850860205</v>
      </c>
    </row>
    <row r="9593" spans="1:11" hidden="1">
      <c r="A9593" s="4">
        <v>2026</v>
      </c>
      <c r="B9593">
        <v>36</v>
      </c>
      <c r="C9593" t="s">
        <v>54</v>
      </c>
      <c r="D9593" t="s">
        <v>11</v>
      </c>
      <c r="E9593" t="s">
        <v>47</v>
      </c>
      <c r="F9593" t="s">
        <v>57</v>
      </c>
      <c r="G9593" t="str">
        <f t="shared" si="402"/>
        <v>030EXPLORER</v>
      </c>
      <c r="H9593" s="5">
        <v>1900</v>
      </c>
      <c r="I9593" s="6">
        <v>1645.6875</v>
      </c>
      <c r="J9593" s="5">
        <v>12000</v>
      </c>
      <c r="K9593" s="6">
        <f t="shared" si="403"/>
        <v>1.1545326801108959</v>
      </c>
    </row>
    <row r="9594" spans="1:11" hidden="1">
      <c r="A9594" s="4">
        <v>2026</v>
      </c>
      <c r="B9594">
        <v>37</v>
      </c>
      <c r="C9594" t="s">
        <v>10</v>
      </c>
      <c r="D9594" t="s">
        <v>11</v>
      </c>
      <c r="E9594" t="s">
        <v>12</v>
      </c>
      <c r="F9594" t="s">
        <v>13</v>
      </c>
      <c r="G9594" t="str">
        <f t="shared" si="402"/>
        <v>002SOMERSET</v>
      </c>
      <c r="H9594" s="5">
        <v>7800</v>
      </c>
      <c r="I9594" s="6">
        <v>4121.4642855494085</v>
      </c>
      <c r="J9594" s="5">
        <v>31200</v>
      </c>
      <c r="K9594" s="6">
        <f t="shared" si="403"/>
        <v>1.8925312606367102</v>
      </c>
    </row>
    <row r="9595" spans="1:11" hidden="1">
      <c r="A9595" s="4">
        <v>2026</v>
      </c>
      <c r="B9595">
        <v>37</v>
      </c>
      <c r="C9595" t="s">
        <v>10</v>
      </c>
      <c r="D9595" t="s">
        <v>11</v>
      </c>
      <c r="E9595" t="s">
        <v>14</v>
      </c>
      <c r="F9595" t="s">
        <v>15</v>
      </c>
      <c r="G9595" t="str">
        <f t="shared" si="402"/>
        <v>004BELLINA</v>
      </c>
      <c r="H9595" s="5">
        <v>1200</v>
      </c>
      <c r="I9595" s="6">
        <v>1056.7857142434418</v>
      </c>
      <c r="J9595" s="5">
        <v>8000</v>
      </c>
      <c r="K9595" s="6">
        <f t="shared" si="403"/>
        <v>1.1355187563820222</v>
      </c>
    </row>
    <row r="9596" spans="1:11" hidden="1">
      <c r="A9596" s="4">
        <v>2026</v>
      </c>
      <c r="B9596">
        <v>37</v>
      </c>
      <c r="C9596" t="s">
        <v>10</v>
      </c>
      <c r="D9596" t="s">
        <v>11</v>
      </c>
      <c r="E9596" t="s">
        <v>16</v>
      </c>
      <c r="F9596" t="s">
        <v>17</v>
      </c>
      <c r="G9596" t="str">
        <f t="shared" si="402"/>
        <v>005ELBA</v>
      </c>
      <c r="H9596" s="5">
        <v>7170</v>
      </c>
      <c r="I9596" s="6">
        <v>2641.9642856076484</v>
      </c>
      <c r="J9596" s="5">
        <v>19996</v>
      </c>
      <c r="K9596" s="6">
        <f t="shared" si="403"/>
        <v>2.7138898277540151</v>
      </c>
    </row>
    <row r="9597" spans="1:11" hidden="1">
      <c r="A9597" s="4">
        <v>2026</v>
      </c>
      <c r="B9597">
        <v>37</v>
      </c>
      <c r="C9597" t="s">
        <v>10</v>
      </c>
      <c r="D9597" t="s">
        <v>11</v>
      </c>
      <c r="E9597" t="s">
        <v>16</v>
      </c>
      <c r="F9597" t="s">
        <v>18</v>
      </c>
      <c r="G9597" t="str">
        <f t="shared" si="402"/>
        <v>005HOT BUBBLES</v>
      </c>
      <c r="H9597" s="5">
        <v>1040</v>
      </c>
      <c r="I9597" s="6">
        <v>528.39285712153003</v>
      </c>
      <c r="J9597" s="5">
        <v>4000</v>
      </c>
      <c r="K9597" s="6">
        <f t="shared" si="403"/>
        <v>1.9682325110628827</v>
      </c>
    </row>
    <row r="9598" spans="1:11" hidden="1">
      <c r="A9598" s="4">
        <v>2026</v>
      </c>
      <c r="B9598">
        <v>37</v>
      </c>
      <c r="C9598" t="s">
        <v>10</v>
      </c>
      <c r="D9598" t="s">
        <v>11</v>
      </c>
      <c r="E9598" t="s">
        <v>16</v>
      </c>
      <c r="F9598" t="s">
        <v>19</v>
      </c>
      <c r="G9598" t="str">
        <f t="shared" si="402"/>
        <v>005SUSPIRO</v>
      </c>
      <c r="H9598" s="5">
        <v>3240</v>
      </c>
      <c r="I9598" s="6">
        <v>1902.2142856375078</v>
      </c>
      <c r="J9598" s="5">
        <v>14400</v>
      </c>
      <c r="K9598" s="6">
        <f t="shared" si="403"/>
        <v>1.7032781345736487</v>
      </c>
    </row>
    <row r="9599" spans="1:11" hidden="1">
      <c r="A9599" s="4">
        <v>2026</v>
      </c>
      <c r="B9599">
        <v>37</v>
      </c>
      <c r="C9599" t="s">
        <v>10</v>
      </c>
      <c r="D9599" t="s">
        <v>11</v>
      </c>
      <c r="E9599" t="s">
        <v>20</v>
      </c>
      <c r="F9599" t="s">
        <v>21</v>
      </c>
      <c r="G9599" t="str">
        <f t="shared" si="402"/>
        <v>007SNOW BUBBLES</v>
      </c>
      <c r="H9599" s="5">
        <v>860</v>
      </c>
      <c r="I9599" s="6">
        <v>634.05652706821195</v>
      </c>
      <c r="J9599" s="5">
        <v>4800</v>
      </c>
      <c r="K9599" s="6">
        <f t="shared" si="403"/>
        <v>1.3563459459624505</v>
      </c>
    </row>
    <row r="9600" spans="1:11" hidden="1">
      <c r="A9600" s="4">
        <v>2026</v>
      </c>
      <c r="B9600">
        <v>37</v>
      </c>
      <c r="C9600" t="s">
        <v>10</v>
      </c>
      <c r="D9600" t="s">
        <v>11</v>
      </c>
      <c r="E9600" t="s">
        <v>22</v>
      </c>
      <c r="F9600" t="s">
        <v>18</v>
      </c>
      <c r="G9600" t="str">
        <f t="shared" si="402"/>
        <v>009HOT BUBBLES</v>
      </c>
      <c r="H9600" s="5">
        <v>9920</v>
      </c>
      <c r="I9600" s="6">
        <v>4487.9999999102474</v>
      </c>
      <c r="J9600" s="5">
        <v>31740</v>
      </c>
      <c r="K9600" s="6">
        <f t="shared" si="403"/>
        <v>2.2103386809711192</v>
      </c>
    </row>
    <row r="9601" spans="1:11" hidden="1">
      <c r="A9601" s="4">
        <v>2026</v>
      </c>
      <c r="B9601">
        <v>37</v>
      </c>
      <c r="C9601" t="s">
        <v>10</v>
      </c>
      <c r="D9601" t="s">
        <v>11</v>
      </c>
      <c r="E9601" t="s">
        <v>23</v>
      </c>
      <c r="F9601" t="s">
        <v>24</v>
      </c>
      <c r="G9601" t="str">
        <f t="shared" si="402"/>
        <v>014FRUITY BUBBLES</v>
      </c>
      <c r="H9601" s="5">
        <v>2450</v>
      </c>
      <c r="I9601" s="6">
        <v>1702.8</v>
      </c>
      <c r="J9601" s="5">
        <v>12900</v>
      </c>
      <c r="K9601" s="6">
        <f t="shared" si="403"/>
        <v>1.4388066713648109</v>
      </c>
    </row>
    <row r="9602" spans="1:11" hidden="1">
      <c r="A9602" s="4">
        <v>2026</v>
      </c>
      <c r="B9602">
        <v>37</v>
      </c>
      <c r="C9602" t="s">
        <v>10</v>
      </c>
      <c r="D9602" t="s">
        <v>11</v>
      </c>
      <c r="E9602" t="s">
        <v>25</v>
      </c>
      <c r="F9602" t="s">
        <v>26</v>
      </c>
      <c r="G9602" t="str">
        <f t="shared" si="402"/>
        <v>015FELLINI</v>
      </c>
      <c r="H9602" s="5">
        <v>4360</v>
      </c>
      <c r="I9602" s="6">
        <v>3009.6</v>
      </c>
      <c r="J9602" s="5">
        <v>22800</v>
      </c>
      <c r="K9602" s="6">
        <f t="shared" si="403"/>
        <v>1.4486975013290804</v>
      </c>
    </row>
    <row r="9603" spans="1:11" hidden="1">
      <c r="A9603" s="4">
        <v>2026</v>
      </c>
      <c r="B9603">
        <v>37</v>
      </c>
      <c r="C9603" t="s">
        <v>10</v>
      </c>
      <c r="D9603" t="s">
        <v>11</v>
      </c>
      <c r="E9603" t="s">
        <v>27</v>
      </c>
      <c r="F9603" t="s">
        <v>28</v>
      </c>
      <c r="G9603" t="str">
        <f t="shared" si="402"/>
        <v>016GOOD PEACH</v>
      </c>
      <c r="H9603" s="5">
        <v>3540</v>
      </c>
      <c r="I9603" s="6">
        <v>1386</v>
      </c>
      <c r="J9603" s="5">
        <v>10500</v>
      </c>
      <c r="K9603" s="6">
        <f t="shared" si="403"/>
        <v>2.554112554112554</v>
      </c>
    </row>
    <row r="9604" spans="1:11" hidden="1">
      <c r="A9604" s="4">
        <v>2026</v>
      </c>
      <c r="B9604">
        <v>37</v>
      </c>
      <c r="C9604" t="s">
        <v>10</v>
      </c>
      <c r="D9604" t="s">
        <v>11</v>
      </c>
      <c r="E9604" t="s">
        <v>27</v>
      </c>
      <c r="F9604" t="s">
        <v>29</v>
      </c>
      <c r="G9604" t="str">
        <f t="shared" si="402"/>
        <v>016GOOD YELLOW</v>
      </c>
      <c r="H9604" s="5">
        <v>3870</v>
      </c>
      <c r="I9604" s="6">
        <v>1386</v>
      </c>
      <c r="J9604" s="5">
        <v>10500</v>
      </c>
      <c r="K9604" s="6">
        <f t="shared" si="403"/>
        <v>2.7922077922077921</v>
      </c>
    </row>
    <row r="9605" spans="1:11" hidden="1">
      <c r="A9605" s="4">
        <v>2026</v>
      </c>
      <c r="B9605">
        <v>37</v>
      </c>
      <c r="C9605" t="s">
        <v>10</v>
      </c>
      <c r="D9605" t="s">
        <v>11</v>
      </c>
      <c r="E9605" t="s">
        <v>30</v>
      </c>
      <c r="F9605" t="s">
        <v>31</v>
      </c>
      <c r="G9605" t="str">
        <f t="shared" si="402"/>
        <v>017ORANGE STAR</v>
      </c>
      <c r="H9605" s="5">
        <v>1150</v>
      </c>
      <c r="I9605" s="6">
        <v>1029.5999999999999</v>
      </c>
      <c r="J9605" s="5">
        <v>7800</v>
      </c>
      <c r="K9605" s="6">
        <f t="shared" si="403"/>
        <v>1.1169386169386171</v>
      </c>
    </row>
    <row r="9606" spans="1:11" hidden="1">
      <c r="A9606" s="4">
        <v>2026</v>
      </c>
      <c r="B9606">
        <v>37</v>
      </c>
      <c r="C9606" t="s">
        <v>10</v>
      </c>
      <c r="D9606" t="s">
        <v>11</v>
      </c>
      <c r="E9606" t="s">
        <v>32</v>
      </c>
      <c r="F9606" t="s">
        <v>33</v>
      </c>
      <c r="G9606" t="str">
        <f t="shared" si="402"/>
        <v>018COSMO</v>
      </c>
      <c r="H9606" s="5">
        <v>3625</v>
      </c>
      <c r="I9606" s="6">
        <v>2653.2</v>
      </c>
      <c r="J9606" s="5">
        <v>20100</v>
      </c>
      <c r="K9606" s="6">
        <f t="shared" si="403"/>
        <v>1.3662746871702096</v>
      </c>
    </row>
    <row r="9607" spans="1:11" hidden="1">
      <c r="A9607" s="4">
        <v>2026</v>
      </c>
      <c r="B9607">
        <v>37</v>
      </c>
      <c r="C9607" t="s">
        <v>10</v>
      </c>
      <c r="D9607" t="s">
        <v>11</v>
      </c>
      <c r="E9607" t="s">
        <v>32</v>
      </c>
      <c r="F9607" t="s">
        <v>34</v>
      </c>
      <c r="G9607" t="str">
        <f t="shared" si="402"/>
        <v>018RUBICON</v>
      </c>
      <c r="H9607" s="5">
        <v>3960</v>
      </c>
      <c r="I9607" s="6">
        <v>1768.8</v>
      </c>
      <c r="J9607" s="5">
        <v>13400</v>
      </c>
      <c r="K9607" s="6">
        <f t="shared" si="403"/>
        <v>2.238805970149254</v>
      </c>
    </row>
    <row r="9608" spans="1:11" hidden="1">
      <c r="A9608" s="4">
        <v>2026</v>
      </c>
      <c r="B9608">
        <v>37</v>
      </c>
      <c r="C9608" t="s">
        <v>10</v>
      </c>
      <c r="D9608" t="s">
        <v>11</v>
      </c>
      <c r="E9608" t="s">
        <v>35</v>
      </c>
      <c r="F9608" t="s">
        <v>15</v>
      </c>
      <c r="G9608" t="str">
        <f t="shared" si="402"/>
        <v>019BELLINA</v>
      </c>
      <c r="H9608" s="5">
        <v>930</v>
      </c>
      <c r="I9608" s="6">
        <v>1029.5999999999999</v>
      </c>
      <c r="J9608" s="5">
        <v>7800</v>
      </c>
      <c r="K9608" s="6">
        <f t="shared" si="403"/>
        <v>0.90326340326340337</v>
      </c>
    </row>
    <row r="9609" spans="1:11" hidden="1">
      <c r="A9609" s="4">
        <v>2026</v>
      </c>
      <c r="B9609">
        <v>37</v>
      </c>
      <c r="C9609" t="s">
        <v>10</v>
      </c>
      <c r="D9609" t="s">
        <v>11</v>
      </c>
      <c r="E9609" t="s">
        <v>36</v>
      </c>
      <c r="F9609" t="s">
        <v>37</v>
      </c>
      <c r="G9609" t="str">
        <f t="shared" si="402"/>
        <v>020SUMMER DANCE</v>
      </c>
      <c r="H9609" s="5">
        <v>2675</v>
      </c>
      <c r="I9609" s="6">
        <v>1346.4</v>
      </c>
      <c r="J9609" s="5">
        <v>10200</v>
      </c>
      <c r="K9609" s="6">
        <f t="shared" si="403"/>
        <v>1.986779560308972</v>
      </c>
    </row>
    <row r="9610" spans="1:11" hidden="1">
      <c r="A9610" s="4">
        <v>2026</v>
      </c>
      <c r="B9610">
        <v>37</v>
      </c>
      <c r="C9610" t="s">
        <v>10</v>
      </c>
      <c r="D9610" t="s">
        <v>11</v>
      </c>
      <c r="E9610" t="s">
        <v>38</v>
      </c>
      <c r="F9610" t="s">
        <v>39</v>
      </c>
      <c r="G9610" t="str">
        <f t="shared" si="402"/>
        <v>021ELEGANT ROSEVER</v>
      </c>
      <c r="H9610" s="5">
        <v>270</v>
      </c>
      <c r="I9610" s="6">
        <v>440.18999062500001</v>
      </c>
      <c r="J9610" s="5">
        <v>3200</v>
      </c>
      <c r="K9610" s="6">
        <f t="shared" si="403"/>
        <v>0.61337151173438265</v>
      </c>
    </row>
    <row r="9611" spans="1:11" hidden="1">
      <c r="A9611" s="4">
        <v>2026</v>
      </c>
      <c r="B9611">
        <v>37</v>
      </c>
      <c r="C9611" t="s">
        <v>10</v>
      </c>
      <c r="D9611" t="s">
        <v>11</v>
      </c>
      <c r="E9611" t="s">
        <v>38</v>
      </c>
      <c r="F9611" t="s">
        <v>40</v>
      </c>
      <c r="G9611" t="str">
        <f t="shared" si="402"/>
        <v>021FLAME CLUB</v>
      </c>
      <c r="H9611" s="5">
        <v>1325</v>
      </c>
      <c r="I9611" s="6">
        <v>880.38</v>
      </c>
      <c r="J9611" s="5">
        <v>6400</v>
      </c>
      <c r="K9611" s="6">
        <f t="shared" si="403"/>
        <v>1.5050319180353937</v>
      </c>
    </row>
    <row r="9612" spans="1:11" hidden="1">
      <c r="A9612" s="4">
        <v>2026</v>
      </c>
      <c r="B9612">
        <v>37</v>
      </c>
      <c r="C9612" t="s">
        <v>10</v>
      </c>
      <c r="D9612" t="s">
        <v>11</v>
      </c>
      <c r="E9612" t="s">
        <v>38</v>
      </c>
      <c r="F9612" t="s">
        <v>41</v>
      </c>
      <c r="G9612" t="str">
        <f t="shared" si="402"/>
        <v>021KELLY</v>
      </c>
      <c r="H9612" s="5">
        <v>800</v>
      </c>
      <c r="I9612" s="6">
        <v>330.14249999999998</v>
      </c>
      <c r="J9612" s="5">
        <v>2400</v>
      </c>
      <c r="K9612" s="6">
        <f t="shared" si="403"/>
        <v>2.423196044132458</v>
      </c>
    </row>
    <row r="9613" spans="1:11" hidden="1">
      <c r="A9613" s="4">
        <v>2026</v>
      </c>
      <c r="B9613">
        <v>37</v>
      </c>
      <c r="C9613" t="s">
        <v>10</v>
      </c>
      <c r="D9613" t="s">
        <v>11</v>
      </c>
      <c r="E9613" t="s">
        <v>38</v>
      </c>
      <c r="F9613" t="s">
        <v>42</v>
      </c>
      <c r="G9613" t="str">
        <f t="shared" ref="G9613:G9676" si="404">+E9613&amp;F9613</f>
        <v>021LEILA</v>
      </c>
      <c r="H9613" s="5">
        <v>2700</v>
      </c>
      <c r="I9613" s="6">
        <v>1650.7125000000001</v>
      </c>
      <c r="J9613" s="5">
        <v>12000</v>
      </c>
      <c r="K9613" s="6">
        <f t="shared" si="403"/>
        <v>1.635657329789409</v>
      </c>
    </row>
    <row r="9614" spans="1:11" hidden="1">
      <c r="A9614" s="4">
        <v>2026</v>
      </c>
      <c r="B9614">
        <v>37</v>
      </c>
      <c r="C9614" t="s">
        <v>10</v>
      </c>
      <c r="D9614" t="s">
        <v>11</v>
      </c>
      <c r="E9614" t="s">
        <v>38</v>
      </c>
      <c r="F9614" t="s">
        <v>21</v>
      </c>
      <c r="G9614" t="str">
        <f t="shared" si="404"/>
        <v>021SNOW BUBBLES</v>
      </c>
      <c r="H9614" s="5">
        <v>1820</v>
      </c>
      <c r="I9614" s="6">
        <v>1287.0000000000018</v>
      </c>
      <c r="J9614" s="5">
        <v>9400</v>
      </c>
      <c r="K9614" s="6">
        <f t="shared" si="403"/>
        <v>1.4141414141414121</v>
      </c>
    </row>
    <row r="9615" spans="1:11" hidden="1">
      <c r="A9615" s="4">
        <v>2026</v>
      </c>
      <c r="B9615">
        <v>37</v>
      </c>
      <c r="C9615" t="s">
        <v>10</v>
      </c>
      <c r="D9615" t="s">
        <v>11</v>
      </c>
      <c r="E9615" t="s">
        <v>43</v>
      </c>
      <c r="F9615" t="s">
        <v>24</v>
      </c>
      <c r="G9615" t="str">
        <f t="shared" si="404"/>
        <v>022FRUITY BUBBLES</v>
      </c>
      <c r="H9615" s="5">
        <v>3875</v>
      </c>
      <c r="I9615" s="6">
        <v>2641.14</v>
      </c>
      <c r="J9615" s="5">
        <v>19200</v>
      </c>
      <c r="K9615" s="6">
        <f t="shared" si="403"/>
        <v>1.4671694798458241</v>
      </c>
    </row>
    <row r="9616" spans="1:11" hidden="1">
      <c r="A9616" s="4">
        <v>2026</v>
      </c>
      <c r="B9616">
        <v>37</v>
      </c>
      <c r="C9616" t="s">
        <v>10</v>
      </c>
      <c r="D9616" t="s">
        <v>11</v>
      </c>
      <c r="E9616" t="s">
        <v>43</v>
      </c>
      <c r="F9616" t="s">
        <v>28</v>
      </c>
      <c r="G9616" t="str">
        <f t="shared" si="404"/>
        <v>022GOOD PEACH</v>
      </c>
      <c r="H9616" s="5">
        <v>1950</v>
      </c>
      <c r="I9616" s="6">
        <v>880.38</v>
      </c>
      <c r="J9616" s="5">
        <v>6400</v>
      </c>
      <c r="K9616" s="6">
        <f t="shared" si="403"/>
        <v>2.2149526340898249</v>
      </c>
    </row>
    <row r="9617" spans="1:11" hidden="1">
      <c r="A9617" s="4">
        <v>2026</v>
      </c>
      <c r="B9617">
        <v>37</v>
      </c>
      <c r="C9617" t="s">
        <v>10</v>
      </c>
      <c r="D9617" t="s">
        <v>11</v>
      </c>
      <c r="E9617" t="s">
        <v>43</v>
      </c>
      <c r="F9617" t="s">
        <v>44</v>
      </c>
      <c r="G9617" t="str">
        <f t="shared" si="404"/>
        <v>022MIRABEL</v>
      </c>
      <c r="H9617" s="5">
        <v>1500</v>
      </c>
      <c r="I9617" s="6">
        <v>880.38</v>
      </c>
      <c r="J9617" s="5">
        <v>6400</v>
      </c>
      <c r="K9617" s="6">
        <f t="shared" si="403"/>
        <v>1.7038097185306345</v>
      </c>
    </row>
    <row r="9618" spans="1:11" hidden="1">
      <c r="A9618" s="4">
        <v>2026</v>
      </c>
      <c r="B9618">
        <v>37</v>
      </c>
      <c r="C9618" t="s">
        <v>10</v>
      </c>
      <c r="D9618" t="s">
        <v>11</v>
      </c>
      <c r="E9618" t="s">
        <v>45</v>
      </c>
      <c r="F9618" t="s">
        <v>46</v>
      </c>
      <c r="G9618" t="str">
        <f t="shared" si="404"/>
        <v>026PURPLE BUBBLY</v>
      </c>
      <c r="H9618" s="5">
        <v>340</v>
      </c>
      <c r="I9618" s="6">
        <v>1755.4</v>
      </c>
      <c r="J9618" s="5">
        <v>12800</v>
      </c>
      <c r="K9618" s="6">
        <f t="shared" si="403"/>
        <v>0.19368804830807793</v>
      </c>
    </row>
    <row r="9619" spans="1:11" hidden="1">
      <c r="A9619" s="4">
        <v>2026</v>
      </c>
      <c r="B9619">
        <v>37</v>
      </c>
      <c r="C9619" t="s">
        <v>10</v>
      </c>
      <c r="D9619" t="s">
        <v>11</v>
      </c>
      <c r="E9619" t="s">
        <v>47</v>
      </c>
      <c r="F9619" t="s">
        <v>44</v>
      </c>
      <c r="G9619" t="str">
        <f t="shared" si="404"/>
        <v>030MIRABEL</v>
      </c>
      <c r="H9619" s="5">
        <v>4060</v>
      </c>
      <c r="I9619" s="6">
        <v>2413.6749943750001</v>
      </c>
      <c r="J9619" s="5">
        <v>17600</v>
      </c>
      <c r="K9619" s="6">
        <f t="shared" si="403"/>
        <v>1.6820823058041008</v>
      </c>
    </row>
    <row r="9620" spans="1:11" hidden="1">
      <c r="A9620" s="4">
        <v>2026</v>
      </c>
      <c r="B9620">
        <v>37</v>
      </c>
      <c r="C9620" t="s">
        <v>10</v>
      </c>
      <c r="D9620" t="s">
        <v>11</v>
      </c>
      <c r="E9620" t="s">
        <v>47</v>
      </c>
      <c r="F9620" t="s">
        <v>13</v>
      </c>
      <c r="G9620" t="str">
        <f t="shared" si="404"/>
        <v>030SOMERSET</v>
      </c>
      <c r="H9620" s="5">
        <v>3180</v>
      </c>
      <c r="I9620" s="6">
        <v>1645.6875</v>
      </c>
      <c r="J9620" s="5">
        <v>12000</v>
      </c>
      <c r="K9620" s="6">
        <f t="shared" si="403"/>
        <v>1.9323231172382362</v>
      </c>
    </row>
    <row r="9621" spans="1:11" hidden="1">
      <c r="A9621" s="4">
        <v>2026</v>
      </c>
      <c r="B9621">
        <v>37</v>
      </c>
      <c r="C9621" t="s">
        <v>10</v>
      </c>
      <c r="D9621" t="s">
        <v>11</v>
      </c>
      <c r="E9621" t="s">
        <v>48</v>
      </c>
      <c r="F9621" t="s">
        <v>49</v>
      </c>
      <c r="G9621" t="str">
        <f t="shared" si="404"/>
        <v>03182989</v>
      </c>
      <c r="H9621" s="5">
        <v>2300</v>
      </c>
      <c r="I9621" s="6">
        <v>726.32013058333712</v>
      </c>
      <c r="J9621" s="5">
        <v>5712</v>
      </c>
      <c r="K9621" s="6">
        <f t="shared" si="403"/>
        <v>3.1666477399611339</v>
      </c>
    </row>
    <row r="9622" spans="1:11" hidden="1">
      <c r="A9622" s="4">
        <v>2026</v>
      </c>
      <c r="B9622">
        <v>37</v>
      </c>
      <c r="C9622" t="s">
        <v>10</v>
      </c>
      <c r="D9622" t="s">
        <v>11</v>
      </c>
      <c r="E9622" t="s">
        <v>48</v>
      </c>
      <c r="F9622" t="s">
        <v>34</v>
      </c>
      <c r="G9622" t="str">
        <f t="shared" si="404"/>
        <v>031RUBICON</v>
      </c>
      <c r="H9622" s="5">
        <v>2100</v>
      </c>
      <c r="I9622" s="6">
        <v>924.39958333667107</v>
      </c>
      <c r="J9622" s="5">
        <v>6720</v>
      </c>
      <c r="K9622" s="6">
        <f t="shared" si="403"/>
        <v>2.2717448578026556</v>
      </c>
    </row>
    <row r="9623" spans="1:11" hidden="1">
      <c r="A9623" s="4">
        <v>2026</v>
      </c>
      <c r="B9623">
        <v>37</v>
      </c>
      <c r="C9623" t="s">
        <v>10</v>
      </c>
      <c r="D9623" t="s">
        <v>11</v>
      </c>
      <c r="E9623" t="s">
        <v>48</v>
      </c>
      <c r="F9623" t="s">
        <v>13</v>
      </c>
      <c r="G9623" t="str">
        <f t="shared" si="404"/>
        <v>031SOMERSET</v>
      </c>
      <c r="H9623" s="5">
        <v>2300</v>
      </c>
      <c r="I9623" s="6">
        <v>1122.485208333339</v>
      </c>
      <c r="J9623" s="5">
        <v>8160</v>
      </c>
      <c r="K9623" s="6">
        <f t="shared" si="403"/>
        <v>2.0490247737117442</v>
      </c>
    </row>
    <row r="9624" spans="1:11" hidden="1">
      <c r="A9624" s="4">
        <v>2026</v>
      </c>
      <c r="B9624">
        <v>37</v>
      </c>
      <c r="C9624" t="s">
        <v>10</v>
      </c>
      <c r="D9624" t="s">
        <v>11</v>
      </c>
      <c r="E9624" t="s">
        <v>48</v>
      </c>
      <c r="F9624" t="s">
        <v>50</v>
      </c>
      <c r="G9624" t="str">
        <f t="shared" si="404"/>
        <v>031VELVET BLOSSOMS</v>
      </c>
      <c r="H9624" s="5">
        <v>580</v>
      </c>
      <c r="I9624" s="6">
        <v>396.17125000000198</v>
      </c>
      <c r="J9624" s="5">
        <v>2880</v>
      </c>
      <c r="K9624" s="6">
        <f t="shared" si="403"/>
        <v>1.4640133528114347</v>
      </c>
    </row>
    <row r="9625" spans="1:11" hidden="1">
      <c r="A9625" s="4">
        <v>2026</v>
      </c>
      <c r="B9625">
        <v>37</v>
      </c>
      <c r="C9625" t="s">
        <v>10</v>
      </c>
      <c r="D9625" t="s">
        <v>11</v>
      </c>
      <c r="E9625" t="s">
        <v>51</v>
      </c>
      <c r="F9625" t="s">
        <v>17</v>
      </c>
      <c r="G9625" t="str">
        <f t="shared" si="404"/>
        <v>032ELBA</v>
      </c>
      <c r="H9625" s="5">
        <v>2970</v>
      </c>
      <c r="I9625" s="6">
        <v>1535.9749999999999</v>
      </c>
      <c r="J9625" s="5">
        <v>11200</v>
      </c>
      <c r="K9625" s="6">
        <f t="shared" si="403"/>
        <v>1.9336252217646772</v>
      </c>
    </row>
    <row r="9626" spans="1:11" hidden="1">
      <c r="A9626" s="4">
        <v>2026</v>
      </c>
      <c r="B9626">
        <v>37</v>
      </c>
      <c r="C9626" t="s">
        <v>10</v>
      </c>
      <c r="D9626" t="s">
        <v>11</v>
      </c>
      <c r="E9626" t="s">
        <v>51</v>
      </c>
      <c r="F9626" t="s">
        <v>44</v>
      </c>
      <c r="G9626" t="str">
        <f t="shared" si="404"/>
        <v>032MIRABEL</v>
      </c>
      <c r="H9626" s="5">
        <v>1800</v>
      </c>
      <c r="I9626" s="6">
        <v>1535.9749999999999</v>
      </c>
      <c r="J9626" s="5">
        <v>11200</v>
      </c>
      <c r="K9626" s="6">
        <f t="shared" si="403"/>
        <v>1.171894073796774</v>
      </c>
    </row>
    <row r="9627" spans="1:11" hidden="1">
      <c r="A9627" s="4">
        <v>2026</v>
      </c>
      <c r="B9627">
        <v>37</v>
      </c>
      <c r="C9627" t="s">
        <v>10</v>
      </c>
      <c r="D9627" t="s">
        <v>11</v>
      </c>
      <c r="E9627" t="s">
        <v>52</v>
      </c>
      <c r="F9627" t="s">
        <v>53</v>
      </c>
      <c r="G9627" t="str">
        <f t="shared" si="404"/>
        <v>033CREAMY FOLIES</v>
      </c>
      <c r="H9627" s="5">
        <v>1350</v>
      </c>
      <c r="I9627" s="6">
        <v>594.25687500000299</v>
      </c>
      <c r="J9627" s="5">
        <v>4320</v>
      </c>
      <c r="K9627" s="6">
        <f t="shared" si="403"/>
        <v>2.2717448578108468</v>
      </c>
    </row>
    <row r="9628" spans="1:11" hidden="1">
      <c r="A9628" s="4">
        <v>2026</v>
      </c>
      <c r="B9628">
        <v>37</v>
      </c>
      <c r="C9628" t="s">
        <v>10</v>
      </c>
      <c r="D9628" t="s">
        <v>11</v>
      </c>
      <c r="E9628" t="s">
        <v>52</v>
      </c>
      <c r="F9628" t="s">
        <v>18</v>
      </c>
      <c r="G9628" t="str">
        <f t="shared" si="404"/>
        <v>033HOT BUBBLES</v>
      </c>
      <c r="H9628" s="5">
        <v>4500</v>
      </c>
      <c r="I9628" s="6">
        <v>2575.1131250013459</v>
      </c>
      <c r="J9628" s="5">
        <v>18720</v>
      </c>
      <c r="K9628" s="6">
        <f t="shared" si="403"/>
        <v>1.7474960444689778</v>
      </c>
    </row>
    <row r="9629" spans="1:11" hidden="1">
      <c r="A9629" s="4">
        <v>2026</v>
      </c>
      <c r="B9629">
        <v>37</v>
      </c>
      <c r="C9629" t="s">
        <v>54</v>
      </c>
      <c r="D9629" t="s">
        <v>11</v>
      </c>
      <c r="E9629" t="s">
        <v>55</v>
      </c>
      <c r="F9629" t="s">
        <v>56</v>
      </c>
      <c r="G9629" t="str">
        <f t="shared" si="404"/>
        <v>001BELIEVE IN PINK</v>
      </c>
      <c r="H9629" s="5">
        <v>1320</v>
      </c>
      <c r="I9629" s="6">
        <v>528.37931032368999</v>
      </c>
      <c r="J9629" s="5">
        <v>4000</v>
      </c>
      <c r="K9629" s="6">
        <f t="shared" ref="K9629:K9635" si="405">IFERROR(H9629/I9629,"")</f>
        <v>2.4982053123756036</v>
      </c>
    </row>
    <row r="9630" spans="1:11" hidden="1">
      <c r="A9630" s="4">
        <v>2026</v>
      </c>
      <c r="B9630">
        <v>37</v>
      </c>
      <c r="C9630" t="s">
        <v>54</v>
      </c>
      <c r="D9630" t="s">
        <v>11</v>
      </c>
      <c r="E9630" t="s">
        <v>55</v>
      </c>
      <c r="F9630" t="s">
        <v>57</v>
      </c>
      <c r="G9630" t="str">
        <f t="shared" si="404"/>
        <v>001EXPLORER</v>
      </c>
      <c r="H9630" s="5">
        <v>3950</v>
      </c>
      <c r="I9630" s="6">
        <v>2272.0310343918732</v>
      </c>
      <c r="J9630" s="5">
        <v>17200</v>
      </c>
      <c r="K9630" s="6">
        <f t="shared" si="405"/>
        <v>1.7385325905362241</v>
      </c>
    </row>
    <row r="9631" spans="1:11" hidden="1">
      <c r="A9631" s="4">
        <v>2026</v>
      </c>
      <c r="B9631">
        <v>37</v>
      </c>
      <c r="C9631" t="s">
        <v>54</v>
      </c>
      <c r="D9631" t="s">
        <v>11</v>
      </c>
      <c r="E9631" t="s">
        <v>55</v>
      </c>
      <c r="F9631" t="s">
        <v>58</v>
      </c>
      <c r="G9631" t="str">
        <f t="shared" si="404"/>
        <v>001GRACE KELLY</v>
      </c>
      <c r="H9631" s="5">
        <v>2160</v>
      </c>
      <c r="I9631" s="6">
        <v>1162.4344827121224</v>
      </c>
      <c r="J9631" s="5">
        <v>8800</v>
      </c>
      <c r="K9631" s="6">
        <f t="shared" si="405"/>
        <v>1.8581692406099461</v>
      </c>
    </row>
    <row r="9632" spans="1:11" hidden="1">
      <c r="A9632" s="4">
        <v>2026</v>
      </c>
      <c r="B9632">
        <v>37</v>
      </c>
      <c r="C9632" t="s">
        <v>54</v>
      </c>
      <c r="D9632" t="s">
        <v>11</v>
      </c>
      <c r="E9632" t="s">
        <v>55</v>
      </c>
      <c r="F9632" t="s">
        <v>59</v>
      </c>
      <c r="G9632" t="str">
        <f t="shared" si="404"/>
        <v>001IDOLE</v>
      </c>
      <c r="H9632" s="5">
        <v>770</v>
      </c>
      <c r="I9632" s="6">
        <v>1162.4344827121181</v>
      </c>
      <c r="J9632" s="5">
        <v>8800</v>
      </c>
      <c r="K9632" s="6">
        <f t="shared" si="405"/>
        <v>0.66240292373595544</v>
      </c>
    </row>
    <row r="9633" spans="1:11" hidden="1">
      <c r="A9633" s="4">
        <v>2026</v>
      </c>
      <c r="B9633">
        <v>37</v>
      </c>
      <c r="C9633" t="s">
        <v>54</v>
      </c>
      <c r="D9633" t="s">
        <v>11</v>
      </c>
      <c r="E9633" t="s">
        <v>55</v>
      </c>
      <c r="F9633" t="s">
        <v>60</v>
      </c>
      <c r="G9633" t="str">
        <f t="shared" si="404"/>
        <v>001LIGHT HOUSE</v>
      </c>
      <c r="H9633" s="5">
        <v>870</v>
      </c>
      <c r="I9633" s="6">
        <v>1056.7586206473827</v>
      </c>
      <c r="J9633" s="5">
        <v>8000</v>
      </c>
      <c r="K9633" s="6">
        <f t="shared" si="405"/>
        <v>0.82327220521468547</v>
      </c>
    </row>
    <row r="9634" spans="1:11" hidden="1">
      <c r="A9634" s="4">
        <v>2026</v>
      </c>
      <c r="B9634">
        <v>37</v>
      </c>
      <c r="C9634" t="s">
        <v>54</v>
      </c>
      <c r="D9634" t="s">
        <v>11</v>
      </c>
      <c r="E9634" t="s">
        <v>55</v>
      </c>
      <c r="F9634" t="s">
        <v>61</v>
      </c>
      <c r="G9634" t="str">
        <f t="shared" si="404"/>
        <v>001LUMIA</v>
      </c>
      <c r="H9634" s="5">
        <v>1290</v>
      </c>
      <c r="I9634" s="6">
        <v>1109.596551679753</v>
      </c>
      <c r="J9634" s="5">
        <v>8400</v>
      </c>
      <c r="K9634" s="6">
        <f t="shared" si="405"/>
        <v>1.1625847232916728</v>
      </c>
    </row>
    <row r="9635" spans="1:11" hidden="1">
      <c r="A9635" s="4">
        <v>2026</v>
      </c>
      <c r="B9635">
        <v>37</v>
      </c>
      <c r="C9635" t="s">
        <v>54</v>
      </c>
      <c r="D9635" t="s">
        <v>11</v>
      </c>
      <c r="E9635" t="s">
        <v>55</v>
      </c>
      <c r="F9635" t="s">
        <v>62</v>
      </c>
      <c r="G9635" t="str">
        <f t="shared" si="404"/>
        <v>001MOMENTUM</v>
      </c>
      <c r="H9635" s="5">
        <v>3450</v>
      </c>
      <c r="I9635" s="6">
        <v>1902.1655171652881</v>
      </c>
      <c r="J9635" s="5">
        <v>14400</v>
      </c>
      <c r="K9635" s="6">
        <f t="shared" si="405"/>
        <v>1.8137222911817792</v>
      </c>
    </row>
    <row r="9636" spans="1:11" hidden="1">
      <c r="A9636" s="4">
        <v>2026</v>
      </c>
      <c r="B9636">
        <v>37</v>
      </c>
      <c r="C9636" t="s">
        <v>54</v>
      </c>
      <c r="D9636" t="s">
        <v>11</v>
      </c>
      <c r="E9636" t="s">
        <v>12</v>
      </c>
      <c r="F9636" t="s">
        <v>63</v>
      </c>
      <c r="G9636" t="str">
        <f t="shared" si="404"/>
        <v>002SUMMER ROMANCE</v>
      </c>
      <c r="H9636" s="5">
        <v>3025</v>
      </c>
      <c r="I9636" s="6">
        <v>951.10714281909407</v>
      </c>
      <c r="J9636" s="5">
        <v>7200</v>
      </c>
      <c r="K9636" s="6">
        <f t="shared" ref="K9636:K9699" si="406">+H9636/I9636</f>
        <v>3.180503924125583</v>
      </c>
    </row>
    <row r="9637" spans="1:11" hidden="1">
      <c r="A9637" s="4">
        <v>2026</v>
      </c>
      <c r="B9637">
        <v>37</v>
      </c>
      <c r="C9637" t="s">
        <v>54</v>
      </c>
      <c r="D9637" t="s">
        <v>11</v>
      </c>
      <c r="E9637" t="s">
        <v>12</v>
      </c>
      <c r="F9637" t="s">
        <v>64</v>
      </c>
      <c r="G9637" t="str">
        <f t="shared" si="404"/>
        <v>002SWEETNESS</v>
      </c>
      <c r="H9637" s="5">
        <v>6540</v>
      </c>
      <c r="I9637" s="6">
        <v>3804.4285712763772</v>
      </c>
      <c r="J9637" s="5">
        <v>28800</v>
      </c>
      <c r="K9637" s="6">
        <f t="shared" si="406"/>
        <v>1.7190492284116783</v>
      </c>
    </row>
    <row r="9638" spans="1:11" hidden="1">
      <c r="A9638" s="4">
        <v>2026</v>
      </c>
      <c r="B9638">
        <v>37</v>
      </c>
      <c r="C9638" t="s">
        <v>54</v>
      </c>
      <c r="D9638" t="s">
        <v>11</v>
      </c>
      <c r="E9638" t="s">
        <v>65</v>
      </c>
      <c r="F9638" t="s">
        <v>66</v>
      </c>
      <c r="G9638" t="str">
        <f t="shared" si="404"/>
        <v>003CABARET</v>
      </c>
      <c r="H9638" s="5">
        <v>4110</v>
      </c>
      <c r="I9638" s="6">
        <v>2641.8965516184649</v>
      </c>
      <c r="J9638" s="5">
        <v>20000</v>
      </c>
      <c r="K9638" s="6">
        <f t="shared" si="406"/>
        <v>1.5557005808884354</v>
      </c>
    </row>
    <row r="9639" spans="1:11" hidden="1">
      <c r="A9639" s="4">
        <v>2026</v>
      </c>
      <c r="B9639">
        <v>37</v>
      </c>
      <c r="C9639" t="s">
        <v>54</v>
      </c>
      <c r="D9639" t="s">
        <v>11</v>
      </c>
      <c r="E9639" t="s">
        <v>65</v>
      </c>
      <c r="F9639" t="s">
        <v>67</v>
      </c>
      <c r="G9639" t="str">
        <f t="shared" si="404"/>
        <v>003DEEP PURPLE</v>
      </c>
      <c r="H9639" s="5">
        <v>5910</v>
      </c>
      <c r="I9639" s="6">
        <v>3592.9793102010913</v>
      </c>
      <c r="J9639" s="5">
        <v>26044</v>
      </c>
      <c r="K9639" s="6">
        <f t="shared" si="406"/>
        <v>1.6448744870922261</v>
      </c>
    </row>
    <row r="9640" spans="1:11" hidden="1">
      <c r="A9640" s="4">
        <v>2026</v>
      </c>
      <c r="B9640">
        <v>37</v>
      </c>
      <c r="C9640" t="s">
        <v>54</v>
      </c>
      <c r="D9640" t="s">
        <v>11</v>
      </c>
      <c r="E9640" t="s">
        <v>65</v>
      </c>
      <c r="F9640" t="s">
        <v>57</v>
      </c>
      <c r="G9640" t="str">
        <f t="shared" si="404"/>
        <v>003EXPLORER</v>
      </c>
      <c r="H9640" s="5">
        <v>2275</v>
      </c>
      <c r="I9640" s="6">
        <v>1268.1103447768633</v>
      </c>
      <c r="J9640" s="5">
        <v>9600</v>
      </c>
      <c r="K9640" s="6">
        <f t="shared" si="406"/>
        <v>1.7940079184515358</v>
      </c>
    </row>
    <row r="9641" spans="1:11" hidden="1">
      <c r="A9641" s="4">
        <v>2026</v>
      </c>
      <c r="B9641">
        <v>37</v>
      </c>
      <c r="C9641" t="s">
        <v>54</v>
      </c>
      <c r="D9641" t="s">
        <v>11</v>
      </c>
      <c r="E9641" t="s">
        <v>65</v>
      </c>
      <c r="F9641" t="s">
        <v>68</v>
      </c>
      <c r="G9641" t="str">
        <f t="shared" si="404"/>
        <v>003JOCKER</v>
      </c>
      <c r="H9641" s="5">
        <v>900</v>
      </c>
      <c r="I9641" s="6">
        <v>528.37931032368999</v>
      </c>
      <c r="J9641" s="5">
        <v>4000</v>
      </c>
      <c r="K9641" s="6">
        <f t="shared" si="406"/>
        <v>1.7033218038924571</v>
      </c>
    </row>
    <row r="9642" spans="1:11" hidden="1">
      <c r="A9642" s="4">
        <v>2026</v>
      </c>
      <c r="B9642">
        <v>37</v>
      </c>
      <c r="C9642" t="s">
        <v>54</v>
      </c>
      <c r="D9642" t="s">
        <v>11</v>
      </c>
      <c r="E9642" t="s">
        <v>65</v>
      </c>
      <c r="F9642" t="s">
        <v>69</v>
      </c>
      <c r="G9642" t="str">
        <f t="shared" si="404"/>
        <v>003QUICKSAND</v>
      </c>
      <c r="H9642" s="5">
        <v>1320</v>
      </c>
      <c r="I9642" s="6">
        <v>1162.4344827121247</v>
      </c>
      <c r="J9642" s="5">
        <v>8800</v>
      </c>
      <c r="K9642" s="6">
        <f t="shared" si="406"/>
        <v>1.1355478692616314</v>
      </c>
    </row>
    <row r="9643" spans="1:11" hidden="1">
      <c r="A9643" s="4">
        <v>2026</v>
      </c>
      <c r="B9643">
        <v>37</v>
      </c>
      <c r="C9643" t="s">
        <v>54</v>
      </c>
      <c r="D9643" t="s">
        <v>11</v>
      </c>
      <c r="E9643" t="s">
        <v>14</v>
      </c>
      <c r="F9643" t="s">
        <v>70</v>
      </c>
      <c r="G9643" t="str">
        <f t="shared" si="404"/>
        <v>004COTOPAXI</v>
      </c>
      <c r="H9643" s="5">
        <v>1200</v>
      </c>
      <c r="I9643" s="6">
        <v>528.3915024419166</v>
      </c>
      <c r="J9643" s="5">
        <v>4000</v>
      </c>
      <c r="K9643" s="6">
        <f t="shared" si="406"/>
        <v>2.2710433352056225</v>
      </c>
    </row>
    <row r="9644" spans="1:11" hidden="1">
      <c r="A9644" s="4">
        <v>2026</v>
      </c>
      <c r="B9644">
        <v>37</v>
      </c>
      <c r="C9644" t="s">
        <v>54</v>
      </c>
      <c r="D9644" t="s">
        <v>11</v>
      </c>
      <c r="E9644" t="s">
        <v>14</v>
      </c>
      <c r="F9644" t="s">
        <v>67</v>
      </c>
      <c r="G9644" t="str">
        <f t="shared" si="404"/>
        <v>004DEEP PURPLE</v>
      </c>
      <c r="H9644" s="5">
        <v>5700</v>
      </c>
      <c r="I9644" s="6">
        <v>3910.1071427007282</v>
      </c>
      <c r="J9644" s="5">
        <v>29260</v>
      </c>
      <c r="K9644" s="6">
        <f t="shared" si="406"/>
        <v>1.4577605656255712</v>
      </c>
    </row>
    <row r="9645" spans="1:11" hidden="1">
      <c r="A9645" s="4">
        <v>2026</v>
      </c>
      <c r="B9645">
        <v>37</v>
      </c>
      <c r="C9645" t="s">
        <v>54</v>
      </c>
      <c r="D9645" t="s">
        <v>11</v>
      </c>
      <c r="E9645" t="s">
        <v>14</v>
      </c>
      <c r="F9645" t="s">
        <v>71</v>
      </c>
      <c r="G9645" t="str">
        <f t="shared" si="404"/>
        <v>004HOT EXPLORER</v>
      </c>
      <c r="H9645" s="5">
        <v>3250</v>
      </c>
      <c r="I9645" s="6">
        <v>1902.2142856381945</v>
      </c>
      <c r="J9645" s="5">
        <v>14400</v>
      </c>
      <c r="K9645" s="6">
        <f t="shared" si="406"/>
        <v>1.7085351658525803</v>
      </c>
    </row>
    <row r="9646" spans="1:11" hidden="1">
      <c r="A9646" s="4">
        <v>2026</v>
      </c>
      <c r="B9646">
        <v>37</v>
      </c>
      <c r="C9646" t="s">
        <v>54</v>
      </c>
      <c r="D9646" t="s">
        <v>11</v>
      </c>
      <c r="E9646" t="s">
        <v>14</v>
      </c>
      <c r="F9646" t="s">
        <v>72</v>
      </c>
      <c r="G9646" t="str">
        <f t="shared" si="404"/>
        <v>004HOT MERENGUE</v>
      </c>
      <c r="H9646" s="5">
        <v>2370</v>
      </c>
      <c r="I9646" s="6">
        <v>1162.4642856677858</v>
      </c>
      <c r="J9646" s="5">
        <v>8800</v>
      </c>
      <c r="K9646" s="6">
        <f t="shared" si="406"/>
        <v>2.0387723125949946</v>
      </c>
    </row>
    <row r="9647" spans="1:11" hidden="1">
      <c r="A9647" s="4">
        <v>2026</v>
      </c>
      <c r="B9647">
        <v>37</v>
      </c>
      <c r="C9647" t="s">
        <v>54</v>
      </c>
      <c r="D9647" t="s">
        <v>11</v>
      </c>
      <c r="E9647" t="s">
        <v>14</v>
      </c>
      <c r="F9647" t="s">
        <v>64</v>
      </c>
      <c r="G9647" t="str">
        <f t="shared" si="404"/>
        <v>004SWEETNESS</v>
      </c>
      <c r="H9647" s="5">
        <v>390</v>
      </c>
      <c r="I9647" s="6">
        <v>317.03571427303262</v>
      </c>
      <c r="J9647" s="5">
        <v>2400</v>
      </c>
      <c r="K9647" s="6">
        <f t="shared" si="406"/>
        <v>1.230145319413857</v>
      </c>
    </row>
    <row r="9648" spans="1:11" hidden="1">
      <c r="A9648" s="4">
        <v>2026</v>
      </c>
      <c r="B9648">
        <v>37</v>
      </c>
      <c r="C9648" t="s">
        <v>54</v>
      </c>
      <c r="D9648" t="s">
        <v>11</v>
      </c>
      <c r="E9648" t="s">
        <v>16</v>
      </c>
      <c r="F9648" t="s">
        <v>57</v>
      </c>
      <c r="G9648" t="str">
        <f t="shared" si="404"/>
        <v>005EXPLORER</v>
      </c>
      <c r="H9648" s="5">
        <v>1450</v>
      </c>
      <c r="I9648" s="6">
        <v>951.10714281875391</v>
      </c>
      <c r="J9648" s="5">
        <v>7200</v>
      </c>
      <c r="K9648" s="6">
        <f t="shared" si="406"/>
        <v>1.5245390710690065</v>
      </c>
    </row>
    <row r="9649" spans="1:11" hidden="1">
      <c r="A9649" s="4">
        <v>2026</v>
      </c>
      <c r="B9649">
        <v>37</v>
      </c>
      <c r="C9649" t="s">
        <v>54</v>
      </c>
      <c r="D9649" t="s">
        <v>11</v>
      </c>
      <c r="E9649" t="s">
        <v>16</v>
      </c>
      <c r="F9649" t="s">
        <v>73</v>
      </c>
      <c r="G9649" t="str">
        <f t="shared" si="404"/>
        <v>005GOLDFINCH</v>
      </c>
      <c r="H9649" s="5">
        <v>825</v>
      </c>
      <c r="I9649" s="6">
        <v>898.26785710660101</v>
      </c>
      <c r="J9649" s="5">
        <v>6800</v>
      </c>
      <c r="K9649" s="6">
        <f t="shared" si="406"/>
        <v>0.91843428825049678</v>
      </c>
    </row>
    <row r="9650" spans="1:11" hidden="1">
      <c r="A9650" s="4">
        <v>2026</v>
      </c>
      <c r="B9650">
        <v>37</v>
      </c>
      <c r="C9650" t="s">
        <v>54</v>
      </c>
      <c r="D9650" t="s">
        <v>11</v>
      </c>
      <c r="E9650" t="s">
        <v>16</v>
      </c>
      <c r="F9650" t="s">
        <v>68</v>
      </c>
      <c r="G9650" t="str">
        <f t="shared" si="404"/>
        <v>005JOCKER</v>
      </c>
      <c r="H9650" s="5">
        <v>1875</v>
      </c>
      <c r="I9650" s="6">
        <v>1162.4642856673661</v>
      </c>
      <c r="J9650" s="5">
        <v>8800</v>
      </c>
      <c r="K9650" s="6">
        <f t="shared" si="406"/>
        <v>1.6129527789523186</v>
      </c>
    </row>
    <row r="9651" spans="1:11" hidden="1">
      <c r="A9651" s="4">
        <v>2026</v>
      </c>
      <c r="B9651">
        <v>37</v>
      </c>
      <c r="C9651" t="s">
        <v>54</v>
      </c>
      <c r="D9651" t="s">
        <v>11</v>
      </c>
      <c r="E9651" t="s">
        <v>16</v>
      </c>
      <c r="F9651" t="s">
        <v>74</v>
      </c>
      <c r="G9651" t="str">
        <f t="shared" si="404"/>
        <v>005VENDELA</v>
      </c>
      <c r="H9651" s="5">
        <v>1560</v>
      </c>
      <c r="I9651" s="6">
        <v>686.91071425798896</v>
      </c>
      <c r="J9651" s="5">
        <v>5200</v>
      </c>
      <c r="K9651" s="6">
        <f t="shared" si="406"/>
        <v>2.271037512764865</v>
      </c>
    </row>
    <row r="9652" spans="1:11" hidden="1">
      <c r="A9652" s="4">
        <v>2026</v>
      </c>
      <c r="B9652">
        <v>37</v>
      </c>
      <c r="C9652" t="s">
        <v>54</v>
      </c>
      <c r="D9652" t="s">
        <v>11</v>
      </c>
      <c r="E9652" t="s">
        <v>75</v>
      </c>
      <c r="F9652" t="s">
        <v>76</v>
      </c>
      <c r="G9652" t="str">
        <f t="shared" si="404"/>
        <v>006ATOMIC</v>
      </c>
      <c r="H9652" s="5">
        <v>500</v>
      </c>
      <c r="I9652" s="6">
        <v>845.428571394752</v>
      </c>
      <c r="J9652" s="5">
        <v>6400</v>
      </c>
      <c r="K9652" s="6">
        <f t="shared" si="406"/>
        <v>0.59141601894897089</v>
      </c>
    </row>
    <row r="9653" spans="1:11" hidden="1">
      <c r="A9653" s="4">
        <v>2026</v>
      </c>
      <c r="B9653">
        <v>37</v>
      </c>
      <c r="C9653" t="s">
        <v>54</v>
      </c>
      <c r="D9653" t="s">
        <v>11</v>
      </c>
      <c r="E9653" t="s">
        <v>75</v>
      </c>
      <c r="F9653" t="s">
        <v>57</v>
      </c>
      <c r="G9653" t="str">
        <f t="shared" si="404"/>
        <v>006EXPLORER</v>
      </c>
      <c r="H9653" s="5">
        <v>4650</v>
      </c>
      <c r="I9653" s="6">
        <v>3910.1071427007355</v>
      </c>
      <c r="J9653" s="5">
        <v>29600</v>
      </c>
      <c r="K9653" s="6">
        <f t="shared" si="406"/>
        <v>1.1892257245892797</v>
      </c>
    </row>
    <row r="9654" spans="1:11" hidden="1">
      <c r="A9654" s="4">
        <v>2026</v>
      </c>
      <c r="B9654">
        <v>37</v>
      </c>
      <c r="C9654" t="s">
        <v>54</v>
      </c>
      <c r="D9654" t="s">
        <v>11</v>
      </c>
      <c r="E9654" t="s">
        <v>75</v>
      </c>
      <c r="F9654" t="s">
        <v>77</v>
      </c>
      <c r="G9654" t="str">
        <f t="shared" si="404"/>
        <v>006MONDIAL</v>
      </c>
      <c r="H9654" s="5">
        <v>5475</v>
      </c>
      <c r="I9654" s="6">
        <v>4015.7857141250793</v>
      </c>
      <c r="J9654" s="5">
        <v>30400</v>
      </c>
      <c r="K9654" s="6">
        <f t="shared" si="406"/>
        <v>1.3633695594718356</v>
      </c>
    </row>
    <row r="9655" spans="1:11" hidden="1">
      <c r="A9655" s="4">
        <v>2026</v>
      </c>
      <c r="B9655">
        <v>37</v>
      </c>
      <c r="C9655" t="s">
        <v>54</v>
      </c>
      <c r="D9655" t="s">
        <v>11</v>
      </c>
      <c r="E9655" t="s">
        <v>20</v>
      </c>
      <c r="F9655" t="s">
        <v>70</v>
      </c>
      <c r="G9655" t="str">
        <f t="shared" si="404"/>
        <v>007COTOPAXI</v>
      </c>
      <c r="H9655" s="5">
        <v>4470</v>
      </c>
      <c r="I9655" s="6">
        <v>2747.5751230427709</v>
      </c>
      <c r="J9655" s="5">
        <v>20800</v>
      </c>
      <c r="K9655" s="6">
        <f t="shared" si="406"/>
        <v>1.6268890930449789</v>
      </c>
    </row>
    <row r="9656" spans="1:11" hidden="1">
      <c r="A9656" s="4">
        <v>2026</v>
      </c>
      <c r="B9656">
        <v>37</v>
      </c>
      <c r="C9656" t="s">
        <v>54</v>
      </c>
      <c r="D9656" t="s">
        <v>11</v>
      </c>
      <c r="E9656" t="s">
        <v>20</v>
      </c>
      <c r="F9656" t="s">
        <v>78</v>
      </c>
      <c r="G9656" t="str">
        <f t="shared" si="404"/>
        <v>007REDIANT</v>
      </c>
      <c r="H9656" s="5">
        <v>1200</v>
      </c>
      <c r="I9656" s="6">
        <v>1056.75862064738</v>
      </c>
      <c r="J9656" s="5">
        <v>9600</v>
      </c>
      <c r="K9656" s="6">
        <f t="shared" si="406"/>
        <v>1.1355478692616381</v>
      </c>
    </row>
    <row r="9657" spans="1:11" hidden="1">
      <c r="A9657" s="4">
        <v>2026</v>
      </c>
      <c r="B9657">
        <v>37</v>
      </c>
      <c r="C9657" t="s">
        <v>54</v>
      </c>
      <c r="D9657" t="s">
        <v>11</v>
      </c>
      <c r="E9657" t="s">
        <v>20</v>
      </c>
      <c r="F9657" t="s">
        <v>63</v>
      </c>
      <c r="G9657" t="str">
        <f t="shared" si="404"/>
        <v>007SUMMER ROMANCE</v>
      </c>
      <c r="H9657" s="5">
        <v>825</v>
      </c>
      <c r="I9657" s="6">
        <v>369.86551722658481</v>
      </c>
      <c r="J9657" s="5">
        <v>3080</v>
      </c>
      <c r="K9657" s="6">
        <f t="shared" si="406"/>
        <v>2.2305404574782064</v>
      </c>
    </row>
    <row r="9658" spans="1:11" hidden="1">
      <c r="A9658" s="4">
        <v>2026</v>
      </c>
      <c r="B9658">
        <v>37</v>
      </c>
      <c r="C9658" t="s">
        <v>54</v>
      </c>
      <c r="D9658" t="s">
        <v>11</v>
      </c>
      <c r="E9658" t="s">
        <v>20</v>
      </c>
      <c r="F9658" t="s">
        <v>74</v>
      </c>
      <c r="G9658" t="str">
        <f t="shared" si="404"/>
        <v>007VENDELA</v>
      </c>
      <c r="H9658" s="5">
        <v>8340</v>
      </c>
      <c r="I9658" s="6">
        <v>3592.9793102011122</v>
      </c>
      <c r="J9658" s="5">
        <v>27820</v>
      </c>
      <c r="K9658" s="6">
        <f t="shared" si="406"/>
        <v>2.3211934386377471</v>
      </c>
    </row>
    <row r="9659" spans="1:11" hidden="1">
      <c r="A9659" s="4">
        <v>2026</v>
      </c>
      <c r="B9659">
        <v>37</v>
      </c>
      <c r="C9659" t="s">
        <v>54</v>
      </c>
      <c r="D9659" t="s">
        <v>11</v>
      </c>
      <c r="E9659" t="s">
        <v>79</v>
      </c>
      <c r="F9659" t="s">
        <v>67</v>
      </c>
      <c r="G9659" t="str">
        <f t="shared" si="404"/>
        <v>008DEEP PURPLE</v>
      </c>
      <c r="H9659" s="5">
        <v>2070</v>
      </c>
      <c r="I9659" s="6">
        <v>1585.2222221588099</v>
      </c>
      <c r="J9659" s="5">
        <v>11490</v>
      </c>
      <c r="K9659" s="6">
        <f t="shared" si="406"/>
        <v>1.3058106119538264</v>
      </c>
    </row>
    <row r="9660" spans="1:11" hidden="1">
      <c r="A9660" s="4">
        <v>2026</v>
      </c>
      <c r="B9660">
        <v>37</v>
      </c>
      <c r="C9660" t="s">
        <v>54</v>
      </c>
      <c r="D9660" t="s">
        <v>11</v>
      </c>
      <c r="E9660" t="s">
        <v>79</v>
      </c>
      <c r="F9660" t="s">
        <v>81</v>
      </c>
      <c r="G9660" t="str">
        <f t="shared" si="404"/>
        <v>008FREEDOM</v>
      </c>
      <c r="H9660" s="5">
        <v>2070</v>
      </c>
      <c r="I9660" s="6">
        <v>2219.311111022334</v>
      </c>
      <c r="J9660" s="5">
        <v>16800</v>
      </c>
      <c r="K9660" s="6">
        <f t="shared" si="406"/>
        <v>0.93272186568130444</v>
      </c>
    </row>
    <row r="9661" spans="1:11" hidden="1">
      <c r="A9661" s="4">
        <v>2026</v>
      </c>
      <c r="B9661">
        <v>37</v>
      </c>
      <c r="C9661" t="s">
        <v>54</v>
      </c>
      <c r="D9661" t="s">
        <v>11</v>
      </c>
      <c r="E9661" t="s">
        <v>79</v>
      </c>
      <c r="F9661" t="s">
        <v>68</v>
      </c>
      <c r="G9661" t="str">
        <f t="shared" si="404"/>
        <v>008JOCKER</v>
      </c>
      <c r="H9661" s="5">
        <v>3150</v>
      </c>
      <c r="I9661" s="6">
        <v>2959.0814813631118</v>
      </c>
      <c r="J9661" s="5">
        <v>22400</v>
      </c>
      <c r="K9661" s="6">
        <f t="shared" si="406"/>
        <v>1.0645195206145324</v>
      </c>
    </row>
    <row r="9662" spans="1:11" hidden="1">
      <c r="A9662" s="4">
        <v>2026</v>
      </c>
      <c r="B9662">
        <v>37</v>
      </c>
      <c r="C9662" t="s">
        <v>54</v>
      </c>
      <c r="D9662" t="s">
        <v>11</v>
      </c>
      <c r="E9662" t="s">
        <v>79</v>
      </c>
      <c r="F9662" t="s">
        <v>61</v>
      </c>
      <c r="G9662" t="str">
        <f t="shared" si="404"/>
        <v>008LUMIA</v>
      </c>
      <c r="H9662" s="5">
        <v>0</v>
      </c>
      <c r="I9662" s="6">
        <v>1796.5851851133182</v>
      </c>
      <c r="J9662" s="5">
        <v>13600</v>
      </c>
      <c r="K9662" s="6">
        <f t="shared" si="406"/>
        <v>0</v>
      </c>
    </row>
    <row r="9663" spans="1:11" hidden="1">
      <c r="A9663" s="4">
        <v>2026</v>
      </c>
      <c r="B9663">
        <v>37</v>
      </c>
      <c r="C9663" t="s">
        <v>54</v>
      </c>
      <c r="D9663" t="s">
        <v>11</v>
      </c>
      <c r="E9663" t="s">
        <v>82</v>
      </c>
      <c r="F9663" t="s">
        <v>83</v>
      </c>
      <c r="G9663" t="str">
        <f t="shared" si="404"/>
        <v>010COOLDOWN</v>
      </c>
      <c r="H9663" s="5">
        <v>1875</v>
      </c>
      <c r="I9663" s="6">
        <v>1912.3542857142861</v>
      </c>
      <c r="J9663" s="5">
        <v>16320</v>
      </c>
      <c r="K9663" s="6">
        <f t="shared" si="406"/>
        <v>0.98046685909962872</v>
      </c>
    </row>
    <row r="9664" spans="1:11" hidden="1">
      <c r="A9664" s="4">
        <v>2026</v>
      </c>
      <c r="B9664">
        <v>37</v>
      </c>
      <c r="C9664" t="s">
        <v>54</v>
      </c>
      <c r="D9664" t="s">
        <v>11</v>
      </c>
      <c r="E9664" t="s">
        <v>82</v>
      </c>
      <c r="F9664" t="s">
        <v>84</v>
      </c>
      <c r="G9664" t="str">
        <f t="shared" si="404"/>
        <v>010VIOLET HILL</v>
      </c>
      <c r="H9664" s="5">
        <v>4860</v>
      </c>
      <c r="I9664" s="6">
        <v>2812.2857142428579</v>
      </c>
      <c r="J9664" s="5">
        <v>20000</v>
      </c>
      <c r="K9664" s="6">
        <f t="shared" si="406"/>
        <v>1.7281316672009768</v>
      </c>
    </row>
    <row r="9665" spans="1:11" hidden="1">
      <c r="A9665" s="4">
        <v>2026</v>
      </c>
      <c r="B9665">
        <v>37</v>
      </c>
      <c r="C9665" t="s">
        <v>54</v>
      </c>
      <c r="D9665" t="s">
        <v>11</v>
      </c>
      <c r="E9665" t="s">
        <v>85</v>
      </c>
      <c r="F9665" t="s">
        <v>86</v>
      </c>
      <c r="G9665" t="str">
        <f t="shared" si="404"/>
        <v>011BRIGHTON</v>
      </c>
      <c r="H9665" s="5">
        <v>1700</v>
      </c>
      <c r="I9665" s="6">
        <v>1768.8376470588223</v>
      </c>
      <c r="J9665" s="5">
        <v>12800</v>
      </c>
      <c r="K9665" s="6">
        <f t="shared" si="406"/>
        <v>0.96108311739447438</v>
      </c>
    </row>
    <row r="9666" spans="1:11" hidden="1">
      <c r="A9666" s="4">
        <v>2026</v>
      </c>
      <c r="B9666">
        <v>37</v>
      </c>
      <c r="C9666" t="s">
        <v>54</v>
      </c>
      <c r="D9666" t="s">
        <v>11</v>
      </c>
      <c r="E9666" t="s">
        <v>85</v>
      </c>
      <c r="F9666" t="s">
        <v>87</v>
      </c>
      <c r="G9666" t="str">
        <f t="shared" si="404"/>
        <v>011CANDLELIGHT</v>
      </c>
      <c r="H9666" s="5">
        <v>4420</v>
      </c>
      <c r="I9666" s="6">
        <v>2263.7999998868127</v>
      </c>
      <c r="J9666" s="5">
        <v>17920</v>
      </c>
      <c r="K9666" s="6">
        <f t="shared" si="406"/>
        <v>1.952469299505696</v>
      </c>
    </row>
    <row r="9667" spans="1:11" hidden="1">
      <c r="A9667" s="4">
        <v>2026</v>
      </c>
      <c r="B9667">
        <v>37</v>
      </c>
      <c r="C9667" t="s">
        <v>54</v>
      </c>
      <c r="D9667" t="s">
        <v>11</v>
      </c>
      <c r="E9667" t="s">
        <v>85</v>
      </c>
      <c r="F9667" t="s">
        <v>88</v>
      </c>
      <c r="G9667" t="str">
        <f t="shared" si="404"/>
        <v>011CAYENNE</v>
      </c>
      <c r="H9667" s="5">
        <v>900</v>
      </c>
      <c r="I9667" s="6">
        <v>994.97117647058747</v>
      </c>
      <c r="J9667" s="5">
        <v>7200</v>
      </c>
      <c r="K9667" s="6">
        <f t="shared" si="406"/>
        <v>0.90454881637127005</v>
      </c>
    </row>
    <row r="9668" spans="1:11" hidden="1">
      <c r="A9668" s="4">
        <v>2026</v>
      </c>
      <c r="B9668">
        <v>37</v>
      </c>
      <c r="C9668" t="s">
        <v>54</v>
      </c>
      <c r="D9668" t="s">
        <v>11</v>
      </c>
      <c r="E9668" t="s">
        <v>85</v>
      </c>
      <c r="F9668" t="s">
        <v>61</v>
      </c>
      <c r="G9668" t="str">
        <f t="shared" si="404"/>
        <v>011LUMIA</v>
      </c>
      <c r="H9668" s="5">
        <v>1200</v>
      </c>
      <c r="I9668" s="6">
        <v>994.97117647058747</v>
      </c>
      <c r="J9668" s="5">
        <v>7920</v>
      </c>
      <c r="K9668" s="6">
        <f t="shared" si="406"/>
        <v>1.2060650884950268</v>
      </c>
    </row>
    <row r="9669" spans="1:11" hidden="1">
      <c r="A9669" s="4">
        <v>2026</v>
      </c>
      <c r="B9669">
        <v>37</v>
      </c>
      <c r="C9669" t="s">
        <v>54</v>
      </c>
      <c r="D9669" t="s">
        <v>11</v>
      </c>
      <c r="E9669" t="s">
        <v>85</v>
      </c>
      <c r="F9669" t="s">
        <v>89</v>
      </c>
      <c r="G9669" t="str">
        <f t="shared" si="404"/>
        <v>011STARDUST</v>
      </c>
      <c r="H9669" s="5">
        <v>2775</v>
      </c>
      <c r="I9669" s="6">
        <v>2263.7999998868127</v>
      </c>
      <c r="J9669" s="5">
        <v>17920</v>
      </c>
      <c r="K9669" s="6">
        <f t="shared" si="406"/>
        <v>1.2258150013864948</v>
      </c>
    </row>
    <row r="9670" spans="1:11" hidden="1">
      <c r="A9670" s="4">
        <v>2026</v>
      </c>
      <c r="B9670">
        <v>37</v>
      </c>
      <c r="C9670" t="s">
        <v>54</v>
      </c>
      <c r="D9670" t="s">
        <v>11</v>
      </c>
      <c r="E9670" t="s">
        <v>90</v>
      </c>
      <c r="F9670" t="s">
        <v>67</v>
      </c>
      <c r="G9670" t="str">
        <f t="shared" si="404"/>
        <v>012DEEP PURPLE</v>
      </c>
      <c r="H9670" s="5">
        <v>9450</v>
      </c>
      <c r="I9670" s="6">
        <v>6727.0499997982479</v>
      </c>
      <c r="J9670" s="5">
        <v>49210</v>
      </c>
      <c r="K9670" s="6">
        <f t="shared" si="406"/>
        <v>1.4047762392554561</v>
      </c>
    </row>
    <row r="9671" spans="1:11" hidden="1">
      <c r="A9671" s="4">
        <v>2026</v>
      </c>
      <c r="B9671">
        <v>37</v>
      </c>
      <c r="C9671" t="s">
        <v>54</v>
      </c>
      <c r="D9671" t="s">
        <v>11</v>
      </c>
      <c r="E9671" t="s">
        <v>90</v>
      </c>
      <c r="F9671" t="s">
        <v>60</v>
      </c>
      <c r="G9671" t="str">
        <f t="shared" si="404"/>
        <v>012LIGHT HOUSE</v>
      </c>
      <c r="H9671" s="5">
        <v>630</v>
      </c>
      <c r="I9671" s="6">
        <v>994.95</v>
      </c>
      <c r="J9671" s="5">
        <v>7200</v>
      </c>
      <c r="K9671" s="6">
        <f t="shared" si="406"/>
        <v>0.63319764812302126</v>
      </c>
    </row>
    <row r="9672" spans="1:11" hidden="1">
      <c r="A9672" s="4">
        <v>2026</v>
      </c>
      <c r="B9672">
        <v>37</v>
      </c>
      <c r="C9672" t="s">
        <v>54</v>
      </c>
      <c r="D9672" t="s">
        <v>11</v>
      </c>
      <c r="E9672" t="s">
        <v>91</v>
      </c>
      <c r="F9672" t="s">
        <v>92</v>
      </c>
      <c r="G9672" t="str">
        <f t="shared" si="404"/>
        <v>013COUNTRY BLUES</v>
      </c>
      <c r="H9672" s="5">
        <v>925</v>
      </c>
      <c r="I9672" s="6">
        <v>831.6</v>
      </c>
      <c r="J9672" s="5">
        <v>6300</v>
      </c>
      <c r="K9672" s="6">
        <f t="shared" si="406"/>
        <v>1.1123136123136124</v>
      </c>
    </row>
    <row r="9673" spans="1:11" hidden="1">
      <c r="A9673" s="4">
        <v>2026</v>
      </c>
      <c r="B9673">
        <v>37</v>
      </c>
      <c r="C9673" t="s">
        <v>54</v>
      </c>
      <c r="D9673" t="s">
        <v>11</v>
      </c>
      <c r="E9673" t="s">
        <v>91</v>
      </c>
      <c r="F9673" t="s">
        <v>93</v>
      </c>
      <c r="G9673" t="str">
        <f t="shared" si="404"/>
        <v>013LORRAINE</v>
      </c>
      <c r="H9673" s="5">
        <v>2500</v>
      </c>
      <c r="I9673" s="6">
        <v>1267.2</v>
      </c>
      <c r="J9673" s="5">
        <v>9600</v>
      </c>
      <c r="K9673" s="6">
        <f t="shared" si="406"/>
        <v>1.9728535353535352</v>
      </c>
    </row>
    <row r="9674" spans="1:11" hidden="1">
      <c r="A9674" s="4">
        <v>2026</v>
      </c>
      <c r="B9674">
        <v>37</v>
      </c>
      <c r="C9674" t="s">
        <v>54</v>
      </c>
      <c r="D9674" t="s">
        <v>11</v>
      </c>
      <c r="E9674" t="s">
        <v>91</v>
      </c>
      <c r="F9674" t="s">
        <v>61</v>
      </c>
      <c r="G9674" t="str">
        <f t="shared" si="404"/>
        <v>013LUMIA</v>
      </c>
      <c r="H9674" s="5">
        <v>180</v>
      </c>
      <c r="I9674" s="6">
        <v>316.8</v>
      </c>
      <c r="J9674" s="5">
        <v>2400</v>
      </c>
      <c r="K9674" s="6">
        <f t="shared" si="406"/>
        <v>0.56818181818181812</v>
      </c>
    </row>
    <row r="9675" spans="1:11" hidden="1">
      <c r="A9675" s="4">
        <v>2026</v>
      </c>
      <c r="B9675">
        <v>37</v>
      </c>
      <c r="C9675" t="s">
        <v>54</v>
      </c>
      <c r="D9675" t="s">
        <v>11</v>
      </c>
      <c r="E9675" t="s">
        <v>91</v>
      </c>
      <c r="F9675" t="s">
        <v>74</v>
      </c>
      <c r="G9675" t="str">
        <f t="shared" si="404"/>
        <v>013VENDELA</v>
      </c>
      <c r="H9675" s="5">
        <v>4890</v>
      </c>
      <c r="I9675" s="6">
        <v>3603.6</v>
      </c>
      <c r="J9675" s="5">
        <v>27296</v>
      </c>
      <c r="K9675" s="6">
        <f t="shared" si="406"/>
        <v>1.3569763569763571</v>
      </c>
    </row>
    <row r="9676" spans="1:11" hidden="1">
      <c r="A9676" s="4">
        <v>2026</v>
      </c>
      <c r="B9676">
        <v>37</v>
      </c>
      <c r="C9676" t="s">
        <v>54</v>
      </c>
      <c r="D9676" t="s">
        <v>11</v>
      </c>
      <c r="E9676" t="s">
        <v>23</v>
      </c>
      <c r="F9676" t="s">
        <v>89</v>
      </c>
      <c r="G9676" t="str">
        <f t="shared" si="404"/>
        <v>014STARDUST</v>
      </c>
      <c r="H9676" s="5">
        <v>4475</v>
      </c>
      <c r="I9676" s="6">
        <v>3682.8</v>
      </c>
      <c r="J9676" s="5">
        <v>27900</v>
      </c>
      <c r="K9676" s="6">
        <f t="shared" si="406"/>
        <v>1.2151080699467796</v>
      </c>
    </row>
    <row r="9677" spans="1:11" hidden="1">
      <c r="A9677" s="4">
        <v>2026</v>
      </c>
      <c r="B9677">
        <v>37</v>
      </c>
      <c r="C9677" t="s">
        <v>54</v>
      </c>
      <c r="D9677" t="s">
        <v>11</v>
      </c>
      <c r="E9677" t="s">
        <v>25</v>
      </c>
      <c r="F9677" t="s">
        <v>68</v>
      </c>
      <c r="G9677" t="str">
        <f t="shared" ref="G9677:G9702" si="407">+E9677&amp;F9677</f>
        <v>015JOCKER</v>
      </c>
      <c r="H9677" s="5">
        <v>3100</v>
      </c>
      <c r="I9677" s="6">
        <v>2376</v>
      </c>
      <c r="J9677" s="5">
        <v>18000</v>
      </c>
      <c r="K9677" s="6">
        <f t="shared" si="406"/>
        <v>1.3047138047138047</v>
      </c>
    </row>
    <row r="9678" spans="1:11" hidden="1">
      <c r="A9678" s="4">
        <v>2026</v>
      </c>
      <c r="B9678">
        <v>37</v>
      </c>
      <c r="C9678" t="s">
        <v>54</v>
      </c>
      <c r="D9678" t="s">
        <v>11</v>
      </c>
      <c r="E9678" t="s">
        <v>27</v>
      </c>
      <c r="F9678" t="s">
        <v>94</v>
      </c>
      <c r="G9678" t="str">
        <f t="shared" si="407"/>
        <v>016DREAM IN PEACH</v>
      </c>
      <c r="H9678" s="5">
        <v>750</v>
      </c>
      <c r="I9678" s="6">
        <v>950.4</v>
      </c>
      <c r="J9678" s="5">
        <v>7200</v>
      </c>
      <c r="K9678" s="6">
        <f t="shared" si="406"/>
        <v>0.78914141414141414</v>
      </c>
    </row>
    <row r="9679" spans="1:11" hidden="1">
      <c r="A9679" s="4">
        <v>2026</v>
      </c>
      <c r="B9679">
        <v>37</v>
      </c>
      <c r="C9679" t="s">
        <v>54</v>
      </c>
      <c r="D9679" t="s">
        <v>11</v>
      </c>
      <c r="E9679" t="s">
        <v>27</v>
      </c>
      <c r="F9679" t="s">
        <v>95</v>
      </c>
      <c r="G9679" t="str">
        <f t="shared" si="407"/>
        <v>016NINA</v>
      </c>
      <c r="H9679" s="5">
        <v>1525</v>
      </c>
      <c r="I9679" s="6">
        <v>1346.4</v>
      </c>
      <c r="J9679" s="5">
        <v>10200</v>
      </c>
      <c r="K9679" s="6">
        <f t="shared" si="406"/>
        <v>1.1326500297088531</v>
      </c>
    </row>
    <row r="9680" spans="1:11" hidden="1">
      <c r="A9680" s="4">
        <v>2026</v>
      </c>
      <c r="B9680">
        <v>37</v>
      </c>
      <c r="C9680" t="s">
        <v>54</v>
      </c>
      <c r="D9680" t="s">
        <v>11</v>
      </c>
      <c r="E9680" t="s">
        <v>30</v>
      </c>
      <c r="F9680" t="s">
        <v>81</v>
      </c>
      <c r="G9680" t="str">
        <f t="shared" si="407"/>
        <v>017FREEDOM</v>
      </c>
      <c r="H9680" s="5">
        <v>3930</v>
      </c>
      <c r="I9680" s="6">
        <v>2851.2</v>
      </c>
      <c r="J9680" s="5">
        <v>21600</v>
      </c>
      <c r="K9680" s="6">
        <f t="shared" si="406"/>
        <v>1.3783670033670035</v>
      </c>
    </row>
    <row r="9681" spans="1:11" hidden="1">
      <c r="A9681" s="4">
        <v>2026</v>
      </c>
      <c r="B9681">
        <v>37</v>
      </c>
      <c r="C9681" t="s">
        <v>54</v>
      </c>
      <c r="D9681" t="s">
        <v>11</v>
      </c>
      <c r="E9681" t="s">
        <v>30</v>
      </c>
      <c r="F9681" t="s">
        <v>73</v>
      </c>
      <c r="G9681" t="str">
        <f t="shared" si="407"/>
        <v>017GOLDFINCH</v>
      </c>
      <c r="H9681" s="5">
        <v>2825</v>
      </c>
      <c r="I9681" s="6">
        <v>2138.4</v>
      </c>
      <c r="J9681" s="5">
        <v>16200</v>
      </c>
      <c r="K9681" s="6">
        <f t="shared" si="406"/>
        <v>1.3210811821922932</v>
      </c>
    </row>
    <row r="9682" spans="1:11" hidden="1">
      <c r="A9682" s="4">
        <v>2026</v>
      </c>
      <c r="B9682">
        <v>37</v>
      </c>
      <c r="C9682" t="s">
        <v>54</v>
      </c>
      <c r="D9682" t="s">
        <v>11</v>
      </c>
      <c r="E9682" t="s">
        <v>32</v>
      </c>
      <c r="F9682" t="s">
        <v>86</v>
      </c>
      <c r="G9682" t="str">
        <f t="shared" si="407"/>
        <v>018BRIGHTON</v>
      </c>
      <c r="H9682" s="5">
        <v>2025</v>
      </c>
      <c r="I9682" s="6">
        <v>963.6</v>
      </c>
      <c r="J9682" s="5">
        <v>7570</v>
      </c>
      <c r="K9682" s="6">
        <f t="shared" si="406"/>
        <v>2.1014943960149437</v>
      </c>
    </row>
    <row r="9683" spans="1:11" hidden="1">
      <c r="A9683" s="4">
        <v>2026</v>
      </c>
      <c r="B9683">
        <v>37</v>
      </c>
      <c r="C9683" t="s">
        <v>54</v>
      </c>
      <c r="D9683" t="s">
        <v>11</v>
      </c>
      <c r="E9683" t="s">
        <v>35</v>
      </c>
      <c r="F9683" t="s">
        <v>86</v>
      </c>
      <c r="G9683" t="str">
        <f t="shared" si="407"/>
        <v>019BRIGHTON</v>
      </c>
      <c r="H9683" s="5">
        <v>6050</v>
      </c>
      <c r="I9683" s="6">
        <v>3168</v>
      </c>
      <c r="J9683" s="5">
        <v>24000</v>
      </c>
      <c r="K9683" s="6">
        <f t="shared" si="406"/>
        <v>1.9097222222222223</v>
      </c>
    </row>
    <row r="9684" spans="1:11" hidden="1">
      <c r="A9684" s="4">
        <v>2026</v>
      </c>
      <c r="B9684">
        <v>37</v>
      </c>
      <c r="C9684" t="s">
        <v>54</v>
      </c>
      <c r="D9684" t="s">
        <v>11</v>
      </c>
      <c r="E9684" t="s">
        <v>35</v>
      </c>
      <c r="F9684" t="s">
        <v>96</v>
      </c>
      <c r="G9684" t="str">
        <f t="shared" si="407"/>
        <v>019TABATHA</v>
      </c>
      <c r="H9684" s="5">
        <v>1560</v>
      </c>
      <c r="I9684" s="6">
        <v>1188</v>
      </c>
      <c r="J9684" s="5">
        <v>9000</v>
      </c>
      <c r="K9684" s="6">
        <f t="shared" si="406"/>
        <v>1.3131313131313131</v>
      </c>
    </row>
    <row r="9685" spans="1:11" hidden="1">
      <c r="A9685" s="4">
        <v>2026</v>
      </c>
      <c r="B9685">
        <v>37</v>
      </c>
      <c r="C9685" t="s">
        <v>54</v>
      </c>
      <c r="D9685" t="s">
        <v>11</v>
      </c>
      <c r="E9685" t="s">
        <v>36</v>
      </c>
      <c r="F9685" t="s">
        <v>86</v>
      </c>
      <c r="G9685" t="str">
        <f t="shared" si="407"/>
        <v>020BRIGHTON</v>
      </c>
      <c r="H9685" s="5">
        <v>5375</v>
      </c>
      <c r="I9685" s="6">
        <v>2732.4</v>
      </c>
      <c r="J9685" s="5">
        <v>20700</v>
      </c>
      <c r="K9685" s="6">
        <f t="shared" si="406"/>
        <v>1.9671351193090323</v>
      </c>
    </row>
    <row r="9686" spans="1:11" hidden="1">
      <c r="A9686" s="4">
        <v>2026</v>
      </c>
      <c r="B9686">
        <v>37</v>
      </c>
      <c r="C9686" t="s">
        <v>54</v>
      </c>
      <c r="D9686" t="s">
        <v>11</v>
      </c>
      <c r="E9686" t="s">
        <v>36</v>
      </c>
      <c r="F9686" t="s">
        <v>97</v>
      </c>
      <c r="G9686" t="str">
        <f t="shared" si="407"/>
        <v>020TYCOON</v>
      </c>
      <c r="H9686" s="5">
        <v>1080</v>
      </c>
      <c r="I9686" s="6">
        <v>673.2</v>
      </c>
      <c r="J9686" s="5">
        <v>5100</v>
      </c>
      <c r="K9686" s="6">
        <f t="shared" si="406"/>
        <v>1.6042780748663101</v>
      </c>
    </row>
    <row r="9687" spans="1:11" hidden="1">
      <c r="A9687" s="4">
        <v>2026</v>
      </c>
      <c r="B9687">
        <v>37</v>
      </c>
      <c r="C9687" t="s">
        <v>54</v>
      </c>
      <c r="D9687" t="s">
        <v>11</v>
      </c>
      <c r="E9687" t="s">
        <v>38</v>
      </c>
      <c r="F9687" t="s">
        <v>98</v>
      </c>
      <c r="G9687" t="str">
        <f t="shared" si="407"/>
        <v>021SHOW GIRL</v>
      </c>
      <c r="H9687" s="5">
        <v>2025</v>
      </c>
      <c r="I9687" s="6">
        <v>1100.4749999999999</v>
      </c>
      <c r="J9687" s="5">
        <v>8000</v>
      </c>
      <c r="K9687" s="6">
        <f t="shared" si="406"/>
        <v>1.8401144960130855</v>
      </c>
    </row>
    <row r="9688" spans="1:11" hidden="1">
      <c r="A9688" s="4">
        <v>2026</v>
      </c>
      <c r="B9688">
        <v>37</v>
      </c>
      <c r="C9688" t="s">
        <v>54</v>
      </c>
      <c r="D9688" t="s">
        <v>11</v>
      </c>
      <c r="E9688" t="s">
        <v>43</v>
      </c>
      <c r="F9688" t="s">
        <v>99</v>
      </c>
      <c r="G9688" t="str">
        <f t="shared" si="407"/>
        <v>022CORAL REEF</v>
      </c>
      <c r="H9688" s="5">
        <v>1575</v>
      </c>
      <c r="I9688" s="6">
        <v>1287</v>
      </c>
      <c r="J9688" s="5">
        <v>9400</v>
      </c>
      <c r="K9688" s="6">
        <f t="shared" si="406"/>
        <v>1.2237762237762237</v>
      </c>
    </row>
    <row r="9689" spans="1:11" hidden="1">
      <c r="A9689" s="4">
        <v>2026</v>
      </c>
      <c r="B9689">
        <v>37</v>
      </c>
      <c r="C9689" t="s">
        <v>54</v>
      </c>
      <c r="D9689" t="s">
        <v>11</v>
      </c>
      <c r="E9689" t="s">
        <v>100</v>
      </c>
      <c r="F9689" t="s">
        <v>70</v>
      </c>
      <c r="G9689" t="str">
        <f t="shared" si="407"/>
        <v>023COTOPAXI</v>
      </c>
      <c r="H9689" s="5">
        <v>7230</v>
      </c>
      <c r="I9689" s="6">
        <v>2641.14</v>
      </c>
      <c r="J9689" s="5">
        <v>19200</v>
      </c>
      <c r="K9689" s="6">
        <f t="shared" si="406"/>
        <v>2.7374542811058862</v>
      </c>
    </row>
    <row r="9690" spans="1:11" hidden="1">
      <c r="A9690" s="4">
        <v>2026</v>
      </c>
      <c r="B9690">
        <v>37</v>
      </c>
      <c r="C9690" t="s">
        <v>54</v>
      </c>
      <c r="D9690" t="s">
        <v>11</v>
      </c>
      <c r="E9690" t="s">
        <v>100</v>
      </c>
      <c r="F9690" t="s">
        <v>101</v>
      </c>
      <c r="G9690" t="str">
        <f t="shared" si="407"/>
        <v>023FRUTTETO</v>
      </c>
      <c r="H9690" s="5">
        <v>3420</v>
      </c>
      <c r="I9690" s="6">
        <v>2641.14</v>
      </c>
      <c r="J9690" s="5">
        <v>19200</v>
      </c>
      <c r="K9690" s="6">
        <f t="shared" si="406"/>
        <v>1.2948953860832824</v>
      </c>
    </row>
    <row r="9691" spans="1:11" hidden="1">
      <c r="A9691" s="4">
        <v>2026</v>
      </c>
      <c r="B9691">
        <v>37</v>
      </c>
      <c r="C9691" t="s">
        <v>54</v>
      </c>
      <c r="D9691" t="s">
        <v>11</v>
      </c>
      <c r="E9691" t="s">
        <v>102</v>
      </c>
      <c r="F9691" t="s">
        <v>70</v>
      </c>
      <c r="G9691" t="str">
        <f t="shared" si="407"/>
        <v>024COTOPAXI</v>
      </c>
      <c r="H9691" s="5">
        <v>3810</v>
      </c>
      <c r="I9691" s="6">
        <v>1430.6174906250001</v>
      </c>
      <c r="J9691" s="5">
        <v>10400</v>
      </c>
      <c r="K9691" s="6">
        <f t="shared" si="406"/>
        <v>2.6631856698015826</v>
      </c>
    </row>
    <row r="9692" spans="1:11" hidden="1">
      <c r="A9692" s="4">
        <v>2026</v>
      </c>
      <c r="B9692">
        <v>37</v>
      </c>
      <c r="C9692" t="s">
        <v>54</v>
      </c>
      <c r="D9692" t="s">
        <v>11</v>
      </c>
      <c r="E9692" t="s">
        <v>102</v>
      </c>
      <c r="F9692" t="s">
        <v>64</v>
      </c>
      <c r="G9692" t="str">
        <f t="shared" si="407"/>
        <v>024SWEETNESS</v>
      </c>
      <c r="H9692" s="5">
        <v>4200</v>
      </c>
      <c r="I9692" s="6">
        <v>1430.6175000000001</v>
      </c>
      <c r="J9692" s="5">
        <v>10400</v>
      </c>
      <c r="K9692" s="6">
        <f t="shared" si="406"/>
        <v>2.9357952073143241</v>
      </c>
    </row>
    <row r="9693" spans="1:11" hidden="1">
      <c r="A9693" s="4">
        <v>2026</v>
      </c>
      <c r="B9693">
        <v>37</v>
      </c>
      <c r="C9693" t="s">
        <v>54</v>
      </c>
      <c r="D9693" t="s">
        <v>11</v>
      </c>
      <c r="E9693" t="s">
        <v>102</v>
      </c>
      <c r="F9693" t="s">
        <v>97</v>
      </c>
      <c r="G9693" t="str">
        <f t="shared" si="407"/>
        <v>024TYCOON</v>
      </c>
      <c r="H9693" s="5">
        <v>5460</v>
      </c>
      <c r="I9693" s="6">
        <v>2861.2350000000001</v>
      </c>
      <c r="J9693" s="5">
        <v>20800</v>
      </c>
      <c r="K9693" s="6">
        <f t="shared" si="406"/>
        <v>1.9082668847543105</v>
      </c>
    </row>
    <row r="9694" spans="1:11" hidden="1">
      <c r="A9694" s="4">
        <v>2026</v>
      </c>
      <c r="B9694">
        <v>37</v>
      </c>
      <c r="C9694" t="s">
        <v>54</v>
      </c>
      <c r="D9694" t="s">
        <v>11</v>
      </c>
      <c r="E9694" t="s">
        <v>103</v>
      </c>
      <c r="F9694" t="s">
        <v>104</v>
      </c>
      <c r="G9694" t="str">
        <f t="shared" si="407"/>
        <v>025PINK MONDIAL</v>
      </c>
      <c r="H9694" s="5">
        <v>5850</v>
      </c>
      <c r="I9694" s="6">
        <v>3071.9505625000002</v>
      </c>
      <c r="J9694" s="5">
        <v>22400</v>
      </c>
      <c r="K9694" s="6">
        <f t="shared" si="406"/>
        <v>1.9043275212212989</v>
      </c>
    </row>
    <row r="9695" spans="1:11" hidden="1">
      <c r="A9695" s="4">
        <v>2026</v>
      </c>
      <c r="B9695">
        <v>37</v>
      </c>
      <c r="C9695" t="s">
        <v>54</v>
      </c>
      <c r="D9695" t="s">
        <v>11</v>
      </c>
      <c r="E9695" t="s">
        <v>45</v>
      </c>
      <c r="F9695" t="s">
        <v>105</v>
      </c>
      <c r="G9695" t="str">
        <f t="shared" si="407"/>
        <v>026LOLA</v>
      </c>
      <c r="H9695" s="5">
        <v>3750</v>
      </c>
      <c r="I9695" s="6">
        <v>1097.125</v>
      </c>
      <c r="J9695" s="5">
        <v>8000</v>
      </c>
      <c r="K9695" s="6">
        <f t="shared" si="406"/>
        <v>3.4180243819072578</v>
      </c>
    </row>
    <row r="9696" spans="1:11" hidden="1">
      <c r="A9696" s="4">
        <v>2026</v>
      </c>
      <c r="B9696">
        <v>37</v>
      </c>
      <c r="C9696" t="s">
        <v>54</v>
      </c>
      <c r="D9696" t="s">
        <v>11</v>
      </c>
      <c r="E9696" t="s">
        <v>45</v>
      </c>
      <c r="F9696" t="s">
        <v>106</v>
      </c>
      <c r="G9696" t="str">
        <f t="shared" si="407"/>
        <v>026PALOMA</v>
      </c>
      <c r="H9696" s="5">
        <v>4450</v>
      </c>
      <c r="I9696" s="6">
        <v>2852.5250000000001</v>
      </c>
      <c r="J9696" s="5">
        <v>20800</v>
      </c>
      <c r="K9696" s="6">
        <f t="shared" si="406"/>
        <v>1.5600213845627995</v>
      </c>
    </row>
    <row r="9697" spans="1:11" hidden="1">
      <c r="A9697" s="4">
        <v>2026</v>
      </c>
      <c r="B9697">
        <v>37</v>
      </c>
      <c r="C9697" t="s">
        <v>54</v>
      </c>
      <c r="D9697" t="s">
        <v>11</v>
      </c>
      <c r="E9697" t="s">
        <v>107</v>
      </c>
      <c r="F9697" t="s">
        <v>108</v>
      </c>
      <c r="G9697" t="str">
        <f t="shared" si="407"/>
        <v>027SATISFACTION</v>
      </c>
      <c r="H9697" s="5">
        <v>3570</v>
      </c>
      <c r="I9697" s="6">
        <v>2633.1</v>
      </c>
      <c r="J9697" s="5">
        <v>19200</v>
      </c>
      <c r="K9697" s="6">
        <f t="shared" si="406"/>
        <v>1.3558163381565456</v>
      </c>
    </row>
    <row r="9698" spans="1:11" hidden="1">
      <c r="A9698" s="4">
        <v>2026</v>
      </c>
      <c r="B9698">
        <v>37</v>
      </c>
      <c r="C9698" t="s">
        <v>54</v>
      </c>
      <c r="D9698" t="s">
        <v>11</v>
      </c>
      <c r="E9698" t="s">
        <v>107</v>
      </c>
      <c r="F9698" t="s">
        <v>109</v>
      </c>
      <c r="G9698" t="str">
        <f t="shared" si="407"/>
        <v>027TIFFANY</v>
      </c>
      <c r="H9698" s="5">
        <v>3720</v>
      </c>
      <c r="I9698" s="6">
        <v>2633.1</v>
      </c>
      <c r="J9698" s="5">
        <v>19200</v>
      </c>
      <c r="K9698" s="6">
        <f t="shared" si="406"/>
        <v>1.4127834111883333</v>
      </c>
    </row>
    <row r="9699" spans="1:11" hidden="1">
      <c r="A9699" s="4">
        <v>2026</v>
      </c>
      <c r="B9699">
        <v>37</v>
      </c>
      <c r="C9699" t="s">
        <v>54</v>
      </c>
      <c r="D9699" t="s">
        <v>11</v>
      </c>
      <c r="E9699" t="s">
        <v>110</v>
      </c>
      <c r="F9699" t="s">
        <v>70</v>
      </c>
      <c r="G9699" t="str">
        <f t="shared" si="407"/>
        <v>028COTOPAXI</v>
      </c>
      <c r="H9699" s="5">
        <v>7380</v>
      </c>
      <c r="I9699" s="6">
        <v>2852.5250000000001</v>
      </c>
      <c r="J9699" s="5">
        <v>20800</v>
      </c>
      <c r="K9699" s="6">
        <f t="shared" si="406"/>
        <v>2.5871815321513396</v>
      </c>
    </row>
    <row r="9700" spans="1:11" hidden="1">
      <c r="A9700" s="4">
        <v>2026</v>
      </c>
      <c r="B9700">
        <v>37</v>
      </c>
      <c r="C9700" t="s">
        <v>54</v>
      </c>
      <c r="D9700" t="s">
        <v>11</v>
      </c>
      <c r="E9700" t="s">
        <v>110</v>
      </c>
      <c r="F9700" t="s">
        <v>67</v>
      </c>
      <c r="G9700" t="str">
        <f t="shared" si="407"/>
        <v>028DEEP PURPLE</v>
      </c>
      <c r="H9700" s="5">
        <v>5310</v>
      </c>
      <c r="I9700" s="6">
        <v>2852.5250000000001</v>
      </c>
      <c r="J9700" s="5">
        <v>20800</v>
      </c>
      <c r="K9700" s="6">
        <f t="shared" ref="K9700:K9702" si="408">+H9700/I9700</f>
        <v>1.8615086633771833</v>
      </c>
    </row>
    <row r="9701" spans="1:11" hidden="1">
      <c r="A9701" s="4">
        <v>2026</v>
      </c>
      <c r="B9701">
        <v>37</v>
      </c>
      <c r="C9701" t="s">
        <v>54</v>
      </c>
      <c r="D9701" t="s">
        <v>11</v>
      </c>
      <c r="E9701" t="s">
        <v>111</v>
      </c>
      <c r="F9701" t="s">
        <v>112</v>
      </c>
      <c r="G9701" t="str">
        <f t="shared" si="407"/>
        <v>029PINK FLOYD</v>
      </c>
      <c r="H9701" s="5">
        <v>2300</v>
      </c>
      <c r="I9701" s="6">
        <v>3071.95</v>
      </c>
      <c r="J9701" s="5">
        <v>22400</v>
      </c>
      <c r="K9701" s="6">
        <f t="shared" si="408"/>
        <v>0.74871010270349458</v>
      </c>
    </row>
    <row r="9702" spans="1:11" hidden="1">
      <c r="A9702" s="4">
        <v>2026</v>
      </c>
      <c r="B9702">
        <v>37</v>
      </c>
      <c r="C9702" t="s">
        <v>54</v>
      </c>
      <c r="D9702" t="s">
        <v>11</v>
      </c>
      <c r="E9702" t="s">
        <v>47</v>
      </c>
      <c r="F9702" t="s">
        <v>57</v>
      </c>
      <c r="G9702" t="str">
        <f t="shared" si="407"/>
        <v>030EXPLORER</v>
      </c>
      <c r="H9702" s="5">
        <v>1950</v>
      </c>
      <c r="I9702" s="6">
        <v>1645.6875</v>
      </c>
      <c r="J9702" s="5">
        <v>12000</v>
      </c>
      <c r="K9702" s="6">
        <f t="shared" si="408"/>
        <v>1.1849151190611826</v>
      </c>
    </row>
  </sheetData>
  <autoFilter ref="A1:K9702">
    <filterColumn colId="0">
      <filters>
        <filter val="2026"/>
      </filters>
    </filterColumn>
    <filterColumn colId="1">
      <filters>
        <filter val="33"/>
      </filters>
    </filterColumn>
    <filterColumn colId="6"/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2026-08-19T17:55:55Z</dcterms:modified>
</cp:coreProperties>
</file>